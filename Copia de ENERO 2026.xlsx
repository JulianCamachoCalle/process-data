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Resumen Mensual" sheetId="2" r:id="rId6"/>
    <sheet state="visible" name="INFO VENDEDOR" sheetId="3" r:id="rId7"/>
    <sheet state="visible" name="COMISIONES Y LEADS" sheetId="4" r:id="rId8"/>
    <sheet state="visible" name="Ciclo_Vida" sheetId="5" r:id="rId9"/>
    <sheet state="visible" name="INFO TIENDA" sheetId="6" r:id="rId10"/>
    <sheet state="visible" name="Tiendas" sheetId="7" r:id="rId11"/>
    <sheet state="visible" name="DATA ENVIOS" sheetId="8" r:id="rId12"/>
    <sheet state="visible" name="DATA RECOJOS" sheetId="9" r:id="rId13"/>
    <sheet state="visible" name="DATA APLICATIVOS" sheetId="10" r:id="rId14"/>
    <sheet state="visible" name="DATA DE TARIFA" sheetId="11" r:id="rId15"/>
    <sheet state="visible" name="Listas" sheetId="12" r:id="rId16"/>
    <sheet state="visible" name="Helper_Vendedor" sheetId="13" r:id="rId17"/>
  </sheets>
  <definedNames>
    <definedName hidden="1" localSheetId="1" name="_xlnm._FilterDatabase">'Resumen Mensual'!$K$2:$L$64</definedName>
    <definedName hidden="1" localSheetId="4" name="_xlnm._FilterDatabase">Ciclo_Vida!$A$3:$I$65</definedName>
    <definedName hidden="1" localSheetId="6" name="_xlnm._FilterDatabase">Tiendas!$A$3:$R$176</definedName>
    <definedName hidden="1" localSheetId="7" name="_xlnm._FilterDatabase">'DATA ENVIOS'!$A$3:$O$1107</definedName>
    <definedName hidden="1" localSheetId="12" name="_xlnm._FilterDatabase">Helper_Vendedor!$A$3:$D$177</definedName>
  </definedNames>
  <calcPr/>
</workbook>
</file>

<file path=xl/sharedStrings.xml><?xml version="1.0" encoding="utf-8"?>
<sst xmlns="http://schemas.openxmlformats.org/spreadsheetml/2006/main" count="4885" uniqueCount="342">
  <si>
    <t>DINSIDES — Cierre Comercial | Periodo mensual ---</t>
  </si>
  <si>
    <t>Periodo de análisis</t>
  </si>
  <si>
    <t>Periodo_mes</t>
  </si>
  <si>
    <t>Moneda</t>
  </si>
  <si>
    <t>Soles (S/)</t>
  </si>
  <si>
    <t>Inicio (incluye)</t>
  </si>
  <si>
    <t>Fin (incluye)</t>
  </si>
  <si>
    <t>Código periodo (Mes 1)</t>
  </si>
  <si>
    <t>Pago moto por recojo (S/)</t>
  </si>
  <si>
    <t>Mes 2 (periodo)</t>
  </si>
  <si>
    <t>Mes 3 (periodo)</t>
  </si>
  <si>
    <t>Resumen Periodo</t>
  </si>
  <si>
    <t>Distrito</t>
  </si>
  <si>
    <t>Frecuencia (Tiendas)</t>
  </si>
  <si>
    <t>KPIs del periodo</t>
  </si>
  <si>
    <t>Santiago de Surco</t>
  </si>
  <si>
    <t>Periodo</t>
  </si>
  <si>
    <t>ENVIOS TOTALES</t>
  </si>
  <si>
    <t>San Juan de Miraflores</t>
  </si>
  <si>
    <t>TIENDAS REGISTRADAS</t>
  </si>
  <si>
    <t>PROMEDIO T. E.</t>
  </si>
  <si>
    <t>San Martín de Porres</t>
  </si>
  <si>
    <t>LEADS GANADOS</t>
  </si>
  <si>
    <t>El Agustino</t>
  </si>
  <si>
    <t>La Victoria</t>
  </si>
  <si>
    <t>Ingreso total operativo (S/)</t>
  </si>
  <si>
    <t>Ate</t>
  </si>
  <si>
    <t>Costo total operativo (S/)</t>
  </si>
  <si>
    <t>BREÑA</t>
  </si>
  <si>
    <t>Margen total operativo (S/)</t>
  </si>
  <si>
    <t>Cercado de Lima</t>
  </si>
  <si>
    <t>Ticket promedio del mes (S/Envios)</t>
  </si>
  <si>
    <t>San Juan de Lurigancho</t>
  </si>
  <si>
    <t>Costo operativo por lead ganado (S/)</t>
  </si>
  <si>
    <t>Chorrillos</t>
  </si>
  <si>
    <t>Ingreso por lead ganado (S/)</t>
  </si>
  <si>
    <t>Los Olivos</t>
  </si>
  <si>
    <t>Ingreso anulados fulfillment (S/)</t>
  </si>
  <si>
    <t>San Borja</t>
  </si>
  <si>
    <t>Recojos — conteo clave</t>
  </si>
  <si>
    <t>San Isidro</t>
  </si>
  <si>
    <t>Recojos cobrados (veces)</t>
  </si>
  <si>
    <t>Surquillo</t>
  </si>
  <si>
    <t>Recojos gratis (veces)</t>
  </si>
  <si>
    <t>Carabayllo</t>
  </si>
  <si>
    <t>Pago total al motorizado por recojos (S/)</t>
  </si>
  <si>
    <t>Comas</t>
  </si>
  <si>
    <t>Puente Piedra</t>
  </si>
  <si>
    <t>Vendedores — comisiones</t>
  </si>
  <si>
    <t>Ventanilla</t>
  </si>
  <si>
    <t>Comisión total vendedores (S/)</t>
  </si>
  <si>
    <t>Villa María del Triunfo</t>
  </si>
  <si>
    <t>Costo total + comisión (S/)</t>
  </si>
  <si>
    <t>Barranco</t>
  </si>
  <si>
    <t>Margen - comisión (S/)</t>
  </si>
  <si>
    <t>Jesús María</t>
  </si>
  <si>
    <t>Costo por lead ganado + comisión (S/)</t>
  </si>
  <si>
    <t>La Molina</t>
  </si>
  <si>
    <t>Magdalena del Mar</t>
  </si>
  <si>
    <t>Distrito lead ganado más frecuente</t>
  </si>
  <si>
    <t>Pueblo Libre</t>
  </si>
  <si>
    <t>Rímac</t>
  </si>
  <si>
    <t>San Luis</t>
  </si>
  <si>
    <t>San Miguel</t>
  </si>
  <si>
    <t>Santa Anita</t>
  </si>
  <si>
    <t>Callao</t>
  </si>
  <si>
    <t>Carmen de la Legua Reynoso</t>
  </si>
  <si>
    <t>Villa El Salvador</t>
  </si>
  <si>
    <t>Lurin</t>
  </si>
  <si>
    <t>Lince</t>
  </si>
  <si>
    <t>Miraflores</t>
  </si>
  <si>
    <t>Salamanca Ate</t>
  </si>
  <si>
    <t>Bellavista</t>
  </si>
  <si>
    <t>El Márquez - Callao</t>
  </si>
  <si>
    <t>Huaycan</t>
  </si>
  <si>
    <t>Independencia</t>
  </si>
  <si>
    <t>La Perla</t>
  </si>
  <si>
    <t>La Punta</t>
  </si>
  <si>
    <t>Mi Perú</t>
  </si>
  <si>
    <t>Santa Clara - Ate</t>
  </si>
  <si>
    <t>Huachipa</t>
  </si>
  <si>
    <t>Jicamarca - Anexo 22</t>
  </si>
  <si>
    <t>Lurigancho - Chosica</t>
  </si>
  <si>
    <t>Ancón</t>
  </si>
  <si>
    <t>Cieneguilla</t>
  </si>
  <si>
    <t>Chaclacayo</t>
  </si>
  <si>
    <t>Manchay</t>
  </si>
  <si>
    <t>Punta Hermosa</t>
  </si>
  <si>
    <t>Santa Rosa</t>
  </si>
  <si>
    <t>Pachacamac</t>
  </si>
  <si>
    <t>Cajamarquilla</t>
  </si>
  <si>
    <t>Jicamarca - Anexo 8</t>
  </si>
  <si>
    <t>Punta Negra</t>
  </si>
  <si>
    <t>Chosica</t>
  </si>
  <si>
    <t>San Bartolo</t>
  </si>
  <si>
    <t>Ricardo Palma</t>
  </si>
  <si>
    <t>Santa Eulalia</t>
  </si>
  <si>
    <t>Santa María del Mar</t>
  </si>
  <si>
    <t>Pucusana</t>
  </si>
  <si>
    <t>Vista_Vendedor — resumen comercial y operativo (mensual)</t>
  </si>
  <si>
    <t>Nombre de vendedor:</t>
  </si>
  <si>
    <t>jordan</t>
  </si>
  <si>
    <t>Nivel de vendedor:</t>
  </si>
  <si>
    <t>Envíos del periodo (Entregados):</t>
  </si>
  <si>
    <t>Comisión por envío (S/):</t>
  </si>
  <si>
    <t>Comisión total (S/):</t>
  </si>
  <si>
    <t>Leads — gestión y conversiones</t>
  </si>
  <si>
    <t>Finanzas — envíos + recojos</t>
  </si>
  <si>
    <t>Leads entrantes:</t>
  </si>
  <si>
    <t>Ingreso total (S/):</t>
  </si>
  <si>
    <t>Leads orgánicos:</t>
  </si>
  <si>
    <t>Costo moto total (S/):</t>
  </si>
  <si>
    <t>Leads ganados entrantes:</t>
  </si>
  <si>
    <t>Margen vs moto (S/):</t>
  </si>
  <si>
    <t>Leads ganados organicos</t>
  </si>
  <si>
    <t>Comisión vendedor (S/):</t>
  </si>
  <si>
    <t>Leads totales gestionados:</t>
  </si>
  <si>
    <t>Costo total + comisión (S/):</t>
  </si>
  <si>
    <t>Leads ganados totales:</t>
  </si>
  <si>
    <t>Margen - comisión (S/):</t>
  </si>
  <si>
    <t>Cierre comercial (días, entrantes):</t>
  </si>
  <si>
    <t>Costo operativo por lead ganado (S/):</t>
  </si>
  <si>
    <t>Cierre comercial (días, orgánicos):</t>
  </si>
  <si>
    <t>Costo total por lead ganado + comisión (S/):</t>
  </si>
  <si>
    <t>Efectividad general:</t>
  </si>
  <si>
    <t>Ingreso por lead ganado (S/):</t>
  </si>
  <si>
    <t>Efectividad entrantes:</t>
  </si>
  <si>
    <t>Ticket promedio (S/ por envío entregado):</t>
  </si>
  <si>
    <t>Efectividad orgánica:</t>
  </si>
  <si>
    <t>Número de tiendas fulfillment:</t>
  </si>
  <si>
    <t>Top 3 tiendas con más envíos (Entregados)</t>
  </si>
  <si>
    <t>Ranking</t>
  </si>
  <si>
    <t>Tienda</t>
  </si>
  <si>
    <t>Envios entregados</t>
  </si>
  <si>
    <t>Vendedores — comisión por envíos (periodo único)</t>
  </si>
  <si>
    <t>Tabla de comisión por nivel</t>
  </si>
  <si>
    <t>Nivel</t>
  </si>
  <si>
    <t>Desde envíos</t>
  </si>
  <si>
    <t>Hasta envíos</t>
  </si>
  <si>
    <t>Comisión por envío (S/)</t>
  </si>
  <si>
    <t>Apus</t>
  </si>
  <si>
    <t>Pacha Mama</t>
  </si>
  <si>
    <t>Mama Quilla</t>
  </si>
  <si>
    <t>Inti</t>
  </si>
  <si>
    <t>Huiracocha</t>
  </si>
  <si>
    <t>Comisión por vendedor (periodo)</t>
  </si>
  <si>
    <t>Vendedor</t>
  </si>
  <si>
    <t>Envíos del periodo</t>
  </si>
  <si>
    <t>Comisión total (S/)</t>
  </si>
  <si>
    <t>Notas</t>
  </si>
  <si>
    <t>Leads entrantes (manual)</t>
  </si>
  <si>
    <t>Leads orgánicos (manual)</t>
  </si>
  <si>
    <t>ALEXIS</t>
  </si>
  <si>
    <t>SANDRA</t>
  </si>
  <si>
    <t>JORDAN</t>
  </si>
  <si>
    <t>CHRISTIAN</t>
  </si>
  <si>
    <t>SEBASTIAN</t>
  </si>
  <si>
    <t>CICLO DE VIDA</t>
  </si>
  <si>
    <t>Nombre tienda</t>
  </si>
  <si>
    <t>Mes 1 (envíos)</t>
  </si>
  <si>
    <t>Mes 2 (envíos)</t>
  </si>
  <si>
    <t>Mes 3 (envíos)</t>
  </si>
  <si>
    <t>Mes 2 (recojos)</t>
  </si>
  <si>
    <t>Mes 3 (recojos)</t>
  </si>
  <si>
    <t>Mov. Mes 3 (total)</t>
  </si>
  <si>
    <t>Estado</t>
  </si>
  <si>
    <t>Vista_Tienda — resumen del mes (envíos + recojos)</t>
  </si>
  <si>
    <t>Selecciona tienda</t>
  </si>
  <si>
    <t>Fulfillment</t>
  </si>
  <si>
    <t>Fecha ingreso lead</t>
  </si>
  <si>
    <t>Fecha registro lead</t>
  </si>
  <si>
    <t>Fecha Lead Ganado</t>
  </si>
  <si>
    <t>Días Lead→Ganado</t>
  </si>
  <si>
    <t>Lead ganado en periodo?</t>
  </si>
  <si>
    <t>Resumen del periodo</t>
  </si>
  <si>
    <t>Envios</t>
  </si>
  <si>
    <t>Recojos</t>
  </si>
  <si>
    <t>N° entregados</t>
  </si>
  <si>
    <t>N° rechazados</t>
  </si>
  <si>
    <t>Ingreso envíos (S/)</t>
  </si>
  <si>
    <t>Ingreso recojos (S/)</t>
  </si>
  <si>
    <t>Costo envíos (S/)</t>
  </si>
  <si>
    <t>Costo recojos (S/)</t>
  </si>
  <si>
    <t>Margen envíos (S/)</t>
  </si>
  <si>
    <t>TOTAL OPERATIVO</t>
  </si>
  <si>
    <t>Ingreso total (S/)</t>
  </si>
  <si>
    <t>Costo total (S/)</t>
  </si>
  <si>
    <t>Margen total (S/)</t>
  </si>
  <si>
    <t>DATA DE LEADS GANADOS</t>
  </si>
  <si>
    <t>Días Lead→Registro</t>
  </si>
  <si>
    <t>Días Registro→Ganado</t>
  </si>
  <si>
    <t>Cantidad de envíos</t>
  </si>
  <si>
    <t>Origen lead</t>
  </si>
  <si>
    <t>Distrito (lead ganado)</t>
  </si>
  <si>
    <t>Nivel vendedor (periodo)</t>
  </si>
  <si>
    <t>Tienda_ID (auto)</t>
  </si>
  <si>
    <t>Anulados Fulfillment</t>
  </si>
  <si>
    <t>Forever20</t>
  </si>
  <si>
    <t>No</t>
  </si>
  <si>
    <t>Entrante</t>
  </si>
  <si>
    <t>Seralta</t>
  </si>
  <si>
    <t>FELIPE AMORIN CABALLERO</t>
  </si>
  <si>
    <t>Vrillita</t>
  </si>
  <si>
    <t>Tiens By Lucy</t>
  </si>
  <si>
    <t>speechless_peru</t>
  </si>
  <si>
    <t>Fame shop</t>
  </si>
  <si>
    <t>Joyful Shop</t>
  </si>
  <si>
    <t>Industrias Osorio</t>
  </si>
  <si>
    <t>NAYTEL STORE</t>
  </si>
  <si>
    <t>Lune Atelier</t>
  </si>
  <si>
    <t>ALOANKA IMPORT</t>
  </si>
  <si>
    <t>Breña</t>
  </si>
  <si>
    <t>Dmarc Gafas exclusivas</t>
  </si>
  <si>
    <t>Trends importaciones</t>
  </si>
  <si>
    <t>Elsa Elizabeth Angeles Carrasco</t>
  </si>
  <si>
    <t>Importa Pe</t>
  </si>
  <si>
    <t xml:space="preserve">LA VICTORIA </t>
  </si>
  <si>
    <t>Blue Perú</t>
  </si>
  <si>
    <t>PATRICIA NUSKIN</t>
  </si>
  <si>
    <t>Aesthetics Perú</t>
  </si>
  <si>
    <t>FWP express</t>
  </si>
  <si>
    <t>Sofía's Store</t>
  </si>
  <si>
    <t>TIENDA LM IMPORTACIONES</t>
  </si>
  <si>
    <t>Jean Paul Salazar Maticorena</t>
  </si>
  <si>
    <t>Tienda ClickStore</t>
  </si>
  <si>
    <t>Joyeria Siberiana</t>
  </si>
  <si>
    <t>SPRING</t>
  </si>
  <si>
    <t>SURQUILLO</t>
  </si>
  <si>
    <t>FABRU SHOP</t>
  </si>
  <si>
    <t>Si</t>
  </si>
  <si>
    <t>Verveo</t>
  </si>
  <si>
    <t>Paltas Beauty*</t>
  </si>
  <si>
    <t>Izinova store Perú</t>
  </si>
  <si>
    <t>Maia collection</t>
  </si>
  <si>
    <t>COROTY TENDENCIA SECRETA</t>
  </si>
  <si>
    <t>Lavandería Revollé</t>
  </si>
  <si>
    <t>Domyhouse</t>
  </si>
  <si>
    <t>ALTAVIRA</t>
  </si>
  <si>
    <t>MC ORIGINALS</t>
  </si>
  <si>
    <t>AVEFENIX3107</t>
  </si>
  <si>
    <t>AnkalliStore</t>
  </si>
  <si>
    <t>Thialeshop Perú</t>
  </si>
  <si>
    <t>GOOD CHOICE</t>
  </si>
  <si>
    <t>LOS OLIVOS</t>
  </si>
  <si>
    <t>Joyería y Relojería Condor</t>
  </si>
  <si>
    <t>Luixtech Store</t>
  </si>
  <si>
    <t>MonoCar</t>
  </si>
  <si>
    <t>Hesla Import</t>
  </si>
  <si>
    <t>Tienda Maranatha</t>
  </si>
  <si>
    <t>Greeh gar</t>
  </si>
  <si>
    <t>YESSICA TORRES</t>
  </si>
  <si>
    <t>Brandon Quispe Choque</t>
  </si>
  <si>
    <t>Reyshop Perú sac</t>
  </si>
  <si>
    <t>OVERSOUL</t>
  </si>
  <si>
    <t>GAMONA</t>
  </si>
  <si>
    <t>Neoryders</t>
  </si>
  <si>
    <t>RyJ Store</t>
  </si>
  <si>
    <t>Ponte Bacán</t>
  </si>
  <si>
    <t>Lumea Makeup</t>
  </si>
  <si>
    <t>Bienestar Perú</t>
  </si>
  <si>
    <t>Ozko</t>
  </si>
  <si>
    <t>Emerald</t>
  </si>
  <si>
    <t>Lalazuliv</t>
  </si>
  <si>
    <t>Kael importaciones sac</t>
  </si>
  <si>
    <t>Alessia Chloe Perú</t>
  </si>
  <si>
    <t>San Juan de lurigancho</t>
  </si>
  <si>
    <t>Alphanova Perú</t>
  </si>
  <si>
    <t>Sev7n shop</t>
  </si>
  <si>
    <t>Audra</t>
  </si>
  <si>
    <t>Yolandita Vestimenta Casual</t>
  </si>
  <si>
    <t>KIKMIT.PE STORE</t>
  </si>
  <si>
    <t>Mishop Perú</t>
  </si>
  <si>
    <t>Maar jewelry</t>
  </si>
  <si>
    <t>Camilu Store</t>
  </si>
  <si>
    <t>blamlab</t>
  </si>
  <si>
    <t>Fiopy store</t>
  </si>
  <si>
    <t>JAHL PERU</t>
  </si>
  <si>
    <t>nyconbex sac</t>
  </si>
  <si>
    <t>TIENDA RESTART</t>
  </si>
  <si>
    <t>DON PET</t>
  </si>
  <si>
    <t>Envios — cierre comercial (mensual + puntos dobles/triples + fulfillment)</t>
  </si>
  <si>
    <t>Mes</t>
  </si>
  <si>
    <t>Destino</t>
  </si>
  <si>
    <t>Resultado</t>
  </si>
  <si>
    <t>Cobro entrega (S/)</t>
  </si>
  <si>
    <t>Pago moto (S/)</t>
  </si>
  <si>
    <t>Excedente pagado moto (S/)</t>
  </si>
  <si>
    <t>Ingreso total fila (S/)</t>
  </si>
  <si>
    <t>Costo total fila (S/)</t>
  </si>
  <si>
    <t>Observaciones</t>
  </si>
  <si>
    <t>Vendedor (auto)</t>
  </si>
  <si>
    <t>Tipo Punto</t>
  </si>
  <si>
    <t>¿Es tienda Fulfillment?</t>
  </si>
  <si>
    <t>Extra punto moto (S/)</t>
  </si>
  <si>
    <t>Extra punto empresa (S/)</t>
  </si>
  <si>
    <t>Entregado</t>
  </si>
  <si>
    <t>Normal</t>
  </si>
  <si>
    <t>Rechazado</t>
  </si>
  <si>
    <t>entregado</t>
  </si>
  <si>
    <t>Good Choice</t>
  </si>
  <si>
    <t>cARAbayllo</t>
  </si>
  <si>
    <t>ventanilla</t>
  </si>
  <si>
    <t>rímac</t>
  </si>
  <si>
    <t>BARRANCO</t>
  </si>
  <si>
    <t>RECOJO TURNO TARDE</t>
  </si>
  <si>
    <t>ate</t>
  </si>
  <si>
    <t>Envio Agencia Olva Courier</t>
  </si>
  <si>
    <t>La molina</t>
  </si>
  <si>
    <t>Envío Agencia Shalom</t>
  </si>
  <si>
    <t>cercado de Lima</t>
  </si>
  <si>
    <t>RECOJOS</t>
  </si>
  <si>
    <t>Tipo recojo</t>
  </si>
  <si>
    <t>Veces</t>
  </si>
  <si>
    <t>Cobro a tienda por recojo (S/)</t>
  </si>
  <si>
    <t>Ingreso recojo total (S/)</t>
  </si>
  <si>
    <t>Costo recojo total (S/)</t>
  </si>
  <si>
    <t>2+ entregados (gratis)</t>
  </si>
  <si>
    <t>1 pedido (cobra S/8)</t>
  </si>
  <si>
    <t>APLICATIVOS</t>
  </si>
  <si>
    <t>Courier</t>
  </si>
  <si>
    <t>Contexto</t>
  </si>
  <si>
    <t>Coste aplicativo (S/)</t>
  </si>
  <si>
    <t>JHONNY</t>
  </si>
  <si>
    <t>El motorizado Jhonny no contaba con espacio para poder realizar todos los recojos asignados</t>
  </si>
  <si>
    <t>6.60</t>
  </si>
  <si>
    <t>Tarifas_Zonas (referencia)</t>
  </si>
  <si>
    <t>RETIRO SEDE (CERCADO/GAMARRA)</t>
  </si>
  <si>
    <t>Vendedores</t>
  </si>
  <si>
    <t>Destinos</t>
  </si>
  <si>
    <t>Origen</t>
  </si>
  <si>
    <t>Sí</t>
  </si>
  <si>
    <t>Punto doble cobrar</t>
  </si>
  <si>
    <t>Orgánico</t>
  </si>
  <si>
    <t>Punto triple cobrar</t>
  </si>
  <si>
    <t>Punto doble no cobrar</t>
  </si>
  <si>
    <t>Punto triple no cobrar</t>
  </si>
  <si>
    <t>Salamanca - Ate</t>
  </si>
  <si>
    <t>Carmen de la Legua - Reynoso</t>
  </si>
  <si>
    <t>Lurín</t>
  </si>
  <si>
    <t>Envío Agencia Olva</t>
  </si>
  <si>
    <t>Helper — ranking de tiendas por vendedor</t>
  </si>
  <si>
    <t>Rank (según Vista_Vendedor)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</si>
</sst>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"/>
    <numFmt numFmtId="165" formatCode="dd/mm/yyyy"/>
    <numFmt numFmtId="166" formatCode="&quot;S/&quot;\ #,##0.00"/>
    <numFmt numFmtId="167" formatCode="yyyy-mm"/>
    <numFmt numFmtId="168" formatCode="0.00;[Red]\-0.00;&quot;-&quot;"/>
    <numFmt numFmtId="169" formatCode="0.0"/>
    <numFmt numFmtId="170" formatCode="0.0%"/>
    <numFmt numFmtId="171" formatCode="0;[Red]\-0;&quot;-&quot;"/>
    <numFmt numFmtId="172" formatCode="d/m/yyyy"/>
    <numFmt numFmtId="173" formatCode="D/M/YYYY"/>
  </numFmts>
  <fonts count="12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b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7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80F1E"/>
        <bgColor rgb="FFD80F1E"/>
      </patternFill>
    </fill>
    <fill>
      <patternFill patternType="solid">
        <fgColor rgb="FF000000"/>
        <bgColor rgb="FF000000"/>
      </patternFill>
    </fill>
    <fill>
      <patternFill patternType="solid">
        <fgColor rgb="FFFCF5EB"/>
        <bgColor rgb="FFFCF5EB"/>
      </patternFill>
    </fill>
    <fill>
      <patternFill patternType="solid">
        <fgColor rgb="FFFBE9EA"/>
        <bgColor rgb="FFFBE9E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13">
    <border/>
    <border>
      <left/>
      <top/>
      <bottom/>
    </border>
    <border>
      <top/>
      <bottom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6E6E6E"/>
      </left>
      <right style="thin">
        <color rgb="FF6E6E6E"/>
      </right>
      <bottom style="thin">
        <color rgb="FF6E6E6E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3" fillId="5" fontId="5" numFmtId="164" xfId="0" applyAlignment="1" applyBorder="1" applyFill="1" applyFont="1" applyNumberFormat="1">
      <alignment horizontal="center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3" fillId="5" fontId="5" numFmtId="165" xfId="0" applyAlignment="1" applyBorder="1" applyFont="1" applyNumberFormat="1">
      <alignment horizontal="center" shrinkToFit="0" vertical="center" wrapText="1"/>
    </xf>
    <xf borderId="0" fillId="0" fontId="7" numFmtId="0" xfId="0" applyFont="1"/>
    <xf borderId="0" fillId="0" fontId="7" numFmtId="164" xfId="0" applyFont="1" applyNumberFormat="1"/>
    <xf borderId="3" fillId="5" fontId="5" numFmtId="166" xfId="0" applyAlignment="1" applyBorder="1" applyFont="1" applyNumberFormat="1">
      <alignment horizontal="center" shrinkToFit="0" vertical="center" wrapText="1"/>
    </xf>
    <xf borderId="0" fillId="0" fontId="7" numFmtId="167" xfId="0" applyFont="1" applyNumberFormat="1"/>
    <xf borderId="4" fillId="3" fontId="4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4" fontId="5" numFmtId="0" xfId="0" applyAlignment="1" applyBorder="1" applyFont="1">
      <alignment horizontal="left" shrinkToFit="0" vertical="center" wrapText="1"/>
    </xf>
    <xf borderId="7" fillId="4" fontId="6" numFmtId="164" xfId="0" applyAlignment="1" applyBorder="1" applyFont="1" applyNumberFormat="1">
      <alignment horizontal="center" shrinkToFit="0" vertical="center" wrapText="1"/>
    </xf>
    <xf borderId="7" fillId="4" fontId="6" numFmtId="1" xfId="0" applyAlignment="1" applyBorder="1" applyFont="1" applyNumberFormat="1">
      <alignment horizontal="center" shrinkToFit="0" vertical="center" wrapText="1"/>
    </xf>
    <xf borderId="7" fillId="4" fontId="6" numFmtId="166" xfId="0" applyAlignment="1" applyBorder="1" applyFont="1" applyNumberFormat="1">
      <alignment horizontal="right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7" fillId="6" fontId="6" numFmtId="166" xfId="0" applyAlignment="1" applyBorder="1" applyFont="1" applyNumberFormat="1">
      <alignment horizontal="right" shrinkToFit="0" vertical="center" wrapText="1"/>
    </xf>
    <xf borderId="7" fillId="7" fontId="5" numFmtId="0" xfId="0" applyAlignment="1" applyBorder="1" applyFill="1" applyFont="1">
      <alignment horizontal="left" shrinkToFit="0" vertical="center" wrapText="1"/>
    </xf>
    <xf borderId="7" fillId="7" fontId="5" numFmtId="166" xfId="0" applyAlignment="1" applyBorder="1" applyFont="1" applyNumberFormat="1">
      <alignment horizontal="right" shrinkToFit="0" vertical="center" wrapText="1"/>
    </xf>
    <xf borderId="7" fillId="8" fontId="5" numFmtId="0" xfId="0" applyAlignment="1" applyBorder="1" applyFill="1" applyFont="1">
      <alignment horizontal="left" shrinkToFit="0" vertical="center" wrapText="1"/>
    </xf>
    <xf borderId="7" fillId="8" fontId="6" numFmtId="166" xfId="0" applyAlignment="1" applyBorder="1" applyFont="1" applyNumberFormat="1">
      <alignment horizontal="right" shrinkToFit="0" vertical="center" wrapText="1"/>
    </xf>
    <xf borderId="8" fillId="3" fontId="4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7" fillId="5" fontId="8" numFmtId="0" xfId="0" applyAlignment="1" applyBorder="1" applyFont="1">
      <alignment horizontal="left" shrinkToFit="0" vertical="center" wrapText="1"/>
    </xf>
    <xf borderId="7" fillId="9" fontId="8" numFmtId="0" xfId="0" applyAlignment="1" applyBorder="1" applyFill="1" applyFont="1">
      <alignment horizontal="left" shrinkToFit="0" vertical="center" wrapText="1"/>
    </xf>
    <xf borderId="7" fillId="9" fontId="6" numFmtId="166" xfId="0" applyAlignment="1" applyBorder="1" applyFont="1" applyNumberFormat="1">
      <alignment horizontal="right" shrinkToFit="0" vertical="center" wrapText="1"/>
    </xf>
    <xf borderId="7" fillId="8" fontId="8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7" fillId="7" fontId="6" numFmtId="0" xfId="0" applyAlignment="1" applyBorder="1" applyFont="1">
      <alignment horizontal="left" shrinkToFit="0" vertical="center" wrapText="1"/>
    </xf>
    <xf borderId="7" fillId="7" fontId="6" numFmtId="168" xfId="0" applyAlignment="1" applyBorder="1" applyFont="1" applyNumberFormat="1">
      <alignment horizontal="left" shrinkToFit="0" vertical="center" wrapText="1"/>
    </xf>
    <xf borderId="11" fillId="0" fontId="2" numFmtId="0" xfId="0" applyBorder="1" applyFont="1"/>
    <xf borderId="7" fillId="7" fontId="6" numFmtId="169" xfId="0" applyAlignment="1" applyBorder="1" applyFont="1" applyNumberFormat="1">
      <alignment horizontal="left" shrinkToFit="0" vertical="center" wrapText="1"/>
    </xf>
    <xf borderId="7" fillId="7" fontId="6" numFmtId="170" xfId="0" applyAlignment="1" applyBorder="1" applyFont="1" applyNumberFormat="1">
      <alignment horizontal="left" shrinkToFit="0" vertical="center" wrapText="1"/>
    </xf>
    <xf borderId="7" fillId="7" fontId="6" numFmtId="171" xfId="0" applyAlignment="1" applyBorder="1" applyFont="1" applyNumberFormat="1">
      <alignment horizontal="left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7" fillId="7" fontId="6" numFmtId="171" xfId="0" applyAlignment="1" applyBorder="1" applyFont="1" applyNumberFormat="1">
      <alignment horizontal="center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7" fillId="5" fontId="6" numFmtId="168" xfId="0" applyAlignment="1" applyBorder="1" applyFont="1" applyNumberFormat="1">
      <alignment horizontal="center" shrinkToFit="0" vertical="center" wrapText="1"/>
    </xf>
    <xf borderId="7" fillId="5" fontId="6" numFmtId="171" xfId="0" applyAlignment="1" applyBorder="1" applyFont="1" applyNumberFormat="1">
      <alignment horizontal="center" shrinkToFit="0" vertical="center" wrapText="1"/>
    </xf>
    <xf borderId="7" fillId="5" fontId="9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7" fillId="4" fontId="6" numFmtId="165" xfId="0" applyAlignment="1" applyBorder="1" applyFont="1" applyNumberFormat="1">
      <alignment horizontal="left" shrinkToFit="0" vertical="center" wrapText="1"/>
    </xf>
    <xf borderId="7" fillId="4" fontId="6" numFmtId="1" xfId="0" applyAlignment="1" applyBorder="1" applyFont="1" applyNumberFormat="1">
      <alignment horizontal="left" shrinkToFit="0" vertical="center" wrapText="1"/>
    </xf>
    <xf borderId="3" fillId="4" fontId="6" numFmtId="164" xfId="0" applyAlignment="1" applyBorder="1" applyFont="1" applyNumberForma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3" fillId="4" fontId="6" numFmtId="1" xfId="0" applyAlignment="1" applyBorder="1" applyFont="1" applyNumberFormat="1">
      <alignment horizontal="right" shrinkToFit="0" vertical="center" wrapText="1"/>
    </xf>
    <xf borderId="3" fillId="4" fontId="6" numFmtId="166" xfId="0" applyAlignment="1" applyBorder="1" applyFont="1" applyNumberFormat="1">
      <alignment horizontal="right" shrinkToFit="0" vertical="center" wrapText="1"/>
    </xf>
    <xf borderId="7" fillId="5" fontId="6" numFmtId="165" xfId="0" applyAlignment="1" applyBorder="1" applyFont="1" applyNumberForma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vertical="bottom"/>
    </xf>
    <xf borderId="7" fillId="5" fontId="3" numFmtId="0" xfId="0" applyAlignment="1" applyBorder="1" applyFont="1">
      <alignment horizontal="center" vertical="bottom"/>
    </xf>
    <xf borderId="7" fillId="5" fontId="3" numFmtId="165" xfId="0" applyAlignment="1" applyBorder="1" applyFont="1" applyNumberFormat="1">
      <alignment horizontal="center" vertical="bottom"/>
    </xf>
    <xf borderId="7" fillId="5" fontId="3" numFmtId="0" xfId="0" applyAlignment="1" applyBorder="1" applyFont="1">
      <alignment horizontal="center" shrinkToFit="0" wrapText="1"/>
    </xf>
    <xf borderId="7" fillId="5" fontId="3" numFmtId="0" xfId="0" applyAlignment="1" applyBorder="1" applyFont="1">
      <alignment shrinkToFit="0" wrapText="1"/>
    </xf>
    <xf borderId="7" fillId="5" fontId="6" numFmtId="172" xfId="0" applyAlignment="1" applyBorder="1" applyFont="1" applyNumberFormat="1">
      <alignment horizontal="center" shrinkToFit="0" vertical="center" wrapText="1"/>
    </xf>
    <xf borderId="7" fillId="5" fontId="6" numFmtId="173" xfId="0" applyAlignment="1" applyBorder="1" applyFont="1" applyNumberFormat="1">
      <alignment horizontal="left" shrinkToFit="0" vertical="center" wrapText="1"/>
    </xf>
    <xf borderId="7" fillId="2" fontId="4" numFmtId="0" xfId="0" applyAlignment="1" applyBorder="1" applyFont="1">
      <alignment horizontal="center" shrinkToFit="0" wrapText="1"/>
    </xf>
    <xf borderId="7" fillId="5" fontId="6" numFmtId="166" xfId="0" applyAlignment="1" applyBorder="1" applyFont="1" applyNumberFormat="1">
      <alignment horizontal="center"/>
    </xf>
    <xf borderId="7" fillId="10" fontId="6" numFmtId="0" xfId="0" applyAlignment="1" applyBorder="1" applyFill="1" applyFont="1">
      <alignment horizontal="left" shrinkToFit="0" vertical="center" wrapText="1"/>
    </xf>
    <xf borderId="7" fillId="0" fontId="3" numFmtId="0" xfId="0" applyAlignment="1" applyBorder="1" applyFont="1">
      <alignment vertical="bottom"/>
    </xf>
    <xf borderId="7" fillId="4" fontId="3" numFmtId="166" xfId="0" applyAlignment="1" applyBorder="1" applyFont="1" applyNumberFormat="1">
      <alignment horizontal="right" shrinkToFit="0" wrapText="1"/>
    </xf>
    <xf borderId="12" fillId="4" fontId="3" numFmtId="166" xfId="0" applyBorder="1" applyFont="1" applyNumberFormat="1"/>
    <xf borderId="3" fillId="4" fontId="3" numFmtId="166" xfId="0" applyBorder="1" applyFont="1" applyNumberFormat="1"/>
    <xf borderId="3" fillId="5" fontId="6" numFmtId="0" xfId="0" applyAlignment="1" applyBorder="1" applyFont="1">
      <alignment horizontal="left"/>
    </xf>
    <xf borderId="7" fillId="0" fontId="7" numFmtId="0" xfId="0" applyBorder="1" applyFont="1"/>
    <xf borderId="7" fillId="6" fontId="10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6" fontId="6" numFmtId="166" xfId="0" applyAlignment="1" applyBorder="1" applyFont="1" applyNumberFormat="1">
      <alignment horizontal="center"/>
    </xf>
    <xf borderId="7" fillId="6" fontId="3" numFmtId="0" xfId="0" applyAlignment="1" applyBorder="1" applyFont="1">
      <alignment vertical="bottom"/>
    </xf>
    <xf borderId="3" fillId="6" fontId="3" numFmtId="166" xfId="0" applyBorder="1" applyFont="1" applyNumberFormat="1"/>
    <xf borderId="0" fillId="6" fontId="7" numFmtId="0" xfId="0" applyFont="1"/>
    <xf borderId="7" fillId="5" fontId="6" numFmtId="1" xfId="0" applyAlignment="1" applyBorder="1" applyFont="1" applyNumberFormat="1">
      <alignment horizontal="center" shrinkToFit="0" vertical="center" wrapText="1"/>
    </xf>
    <xf borderId="3" fillId="5" fontId="6" numFmtId="1" xfId="0" applyAlignment="1" applyBorder="1" applyFont="1" applyNumberFormat="1">
      <alignment horizontal="center"/>
    </xf>
    <xf borderId="7" fillId="4" fontId="6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7" fillId="5" fontId="6" numFmtId="0" xfId="0" applyAlignment="1" applyBorder="1" applyFont="1">
      <alignment horizontal="center"/>
    </xf>
    <xf borderId="7" fillId="4" fontId="6" numFmtId="166" xfId="0" applyAlignment="1" applyBorder="1" applyFont="1" applyNumberFormat="1">
      <alignment horizontal="center"/>
    </xf>
    <xf borderId="3" fillId="2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kikmit.pe" TargetMode="External"/><Relationship Id="rId2" Type="http://schemas.openxmlformats.org/officeDocument/2006/relationships/hyperlink" Target="http://kikmit.pe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6E6E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18.0"/>
    <col customWidth="1" min="6" max="26" width="8.86"/>
  </cols>
  <sheetData>
    <row r="1" ht="21.75" customHeight="1">
      <c r="A1" s="1" t="s">
        <v>0</v>
      </c>
      <c r="B1" s="2"/>
      <c r="C1" s="2"/>
      <c r="D1" s="2"/>
      <c r="E1" s="2"/>
    </row>
    <row r="2">
      <c r="A2" s="3"/>
      <c r="B2" s="3"/>
      <c r="C2" s="3"/>
      <c r="D2" s="3"/>
      <c r="E2" s="3"/>
    </row>
    <row r="3" ht="15.75" customHeight="1">
      <c r="A3" s="4" t="s">
        <v>1</v>
      </c>
      <c r="B3" s="2"/>
      <c r="C3" s="2"/>
      <c r="D3" s="2"/>
      <c r="E3" s="2"/>
    </row>
    <row r="4">
      <c r="A4" s="5" t="s">
        <v>2</v>
      </c>
      <c r="B4" s="6">
        <v>46023.0</v>
      </c>
      <c r="C4" s="3"/>
      <c r="D4" s="5" t="s">
        <v>3</v>
      </c>
      <c r="E4" s="7" t="s">
        <v>4</v>
      </c>
    </row>
    <row r="5">
      <c r="A5" s="5" t="s">
        <v>5</v>
      </c>
      <c r="B5" s="8">
        <v>46023.0</v>
      </c>
      <c r="C5" s="3"/>
      <c r="D5" s="3"/>
      <c r="E5" s="3"/>
    </row>
    <row r="6">
      <c r="A6" s="5" t="s">
        <v>6</v>
      </c>
      <c r="B6" s="8">
        <v>46053.0</v>
      </c>
      <c r="C6" s="3"/>
      <c r="D6" s="3"/>
      <c r="E6" s="3"/>
    </row>
    <row r="7">
      <c r="A7" s="9" t="s">
        <v>7</v>
      </c>
      <c r="B7" s="10">
        <v>46023.0</v>
      </c>
      <c r="C7" s="3"/>
      <c r="D7" s="3"/>
      <c r="E7" s="3"/>
    </row>
    <row r="8">
      <c r="A8" s="5" t="s">
        <v>8</v>
      </c>
      <c r="B8" s="11">
        <v>4.0</v>
      </c>
      <c r="C8" s="3"/>
      <c r="D8" s="3"/>
      <c r="E8" s="3"/>
    </row>
    <row r="9">
      <c r="A9" s="9" t="s">
        <v>9</v>
      </c>
      <c r="B9" s="12">
        <v>46054.0</v>
      </c>
      <c r="C9" s="3"/>
      <c r="D9" s="3"/>
      <c r="E9" s="3"/>
    </row>
    <row r="10">
      <c r="A10" s="9" t="s">
        <v>10</v>
      </c>
      <c r="B10" s="12">
        <v>46082.0</v>
      </c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2">
    <mergeCell ref="A1:E1"/>
    <mergeCell ref="A3:E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0F1E"/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22.0"/>
    <col customWidth="1" min="3" max="3" width="2.0"/>
    <col customWidth="1" min="4" max="4" width="38.0"/>
    <col customWidth="1" min="5" max="5" width="30.43"/>
    <col customWidth="1" min="6" max="6" width="18.0"/>
    <col customWidth="1" min="7" max="10" width="8.86"/>
    <col customWidth="1" min="11" max="11" width="25.57"/>
    <col customWidth="1" min="12" max="12" width="14.57"/>
    <col customWidth="1" min="13" max="37" width="8.86"/>
  </cols>
  <sheetData>
    <row r="1" ht="21.75" customHeight="1">
      <c r="A1" s="1" t="s">
        <v>11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  <c r="K2" s="13" t="s">
        <v>12</v>
      </c>
      <c r="L2" s="13" t="s">
        <v>13</v>
      </c>
    </row>
    <row r="3" ht="15.75" customHeight="1">
      <c r="A3" s="14" t="s">
        <v>14</v>
      </c>
      <c r="B3" s="15"/>
      <c r="C3" s="15"/>
      <c r="D3" s="15"/>
      <c r="E3" s="15"/>
      <c r="F3" s="15"/>
      <c r="K3" s="9" t="s">
        <v>15</v>
      </c>
      <c r="L3" s="9">
        <f>COUNTIF(Tiendas!$N$4:$N$176,$K3)</f>
        <v>6</v>
      </c>
    </row>
    <row r="4">
      <c r="A4" s="16" t="s">
        <v>16</v>
      </c>
      <c r="B4" s="17">
        <v>46023.0</v>
      </c>
      <c r="C4" s="3"/>
      <c r="D4" s="3"/>
      <c r="E4" s="16" t="s">
        <v>17</v>
      </c>
      <c r="F4" s="18">
        <f>COUNTIF('DATA ENVIOS'!$A$4:$A$2100,B4)</f>
        <v>988</v>
      </c>
      <c r="K4" s="9" t="s">
        <v>18</v>
      </c>
      <c r="L4" s="9">
        <f>COUNTIF(Tiendas!$N$4:$N$176,$K4)</f>
        <v>6</v>
      </c>
    </row>
    <row r="5">
      <c r="A5" s="16" t="s">
        <v>19</v>
      </c>
      <c r="B5" s="18">
        <f>COUNTIF(Tiendas!$J$4:$J$176,"Sí")</f>
        <v>75</v>
      </c>
      <c r="C5" s="3"/>
      <c r="D5" s="3"/>
      <c r="E5" s="16" t="s">
        <v>20</v>
      </c>
      <c r="F5" s="18">
        <f>F4/B5
</f>
        <v>13.17333333</v>
      </c>
      <c r="K5" s="9" t="s">
        <v>21</v>
      </c>
      <c r="L5" s="3">
        <f>COUNTIF(Tiendas!$N$4:$N$176,$K5)</f>
        <v>5</v>
      </c>
      <c r="M5" s="3"/>
      <c r="N5" s="3"/>
      <c r="O5" s="3"/>
      <c r="P5" s="3"/>
      <c r="Q5" s="3"/>
      <c r="V5" s="13"/>
      <c r="W5" s="13"/>
    </row>
    <row r="6" ht="16.5" customHeight="1">
      <c r="A6" s="16" t="s">
        <v>22</v>
      </c>
      <c r="B6" s="18">
        <f>COUNTIF(Tiendas!$L$4:$L$176,"&gt;0")</f>
        <v>75</v>
      </c>
      <c r="C6" s="3"/>
      <c r="D6" s="3"/>
      <c r="E6" s="3"/>
      <c r="F6" s="3"/>
      <c r="K6" s="9" t="s">
        <v>23</v>
      </c>
      <c r="L6" s="9">
        <f>COUNTIF(Tiendas!$N$4:$N$176,$K6)</f>
        <v>4</v>
      </c>
    </row>
    <row r="7">
      <c r="A7" s="3"/>
      <c r="B7" s="3"/>
      <c r="C7" s="3"/>
      <c r="D7" s="3"/>
      <c r="E7" s="3"/>
      <c r="F7" s="3"/>
      <c r="K7" s="9" t="s">
        <v>24</v>
      </c>
      <c r="L7" s="9">
        <f>COUNTIF(Tiendas!$N$4:$N$176,$K7)</f>
        <v>4</v>
      </c>
    </row>
    <row r="8">
      <c r="A8" s="16" t="s">
        <v>25</v>
      </c>
      <c r="B8" s="19">
        <f>SUMIFS('DATA ENVIOS'!$H$4:$H$2000,'DATA ENVIOS'!$A$4:$A$2000,Config!$B$4)+SUMIFS('DATA RECOJOS'!$G$4:$G$201,'DATA RECOJOS'!$A$4:$A$201,Config!$B$4)+B14</f>
        <v>9710.033898</v>
      </c>
      <c r="C8" s="3"/>
      <c r="D8" s="3"/>
      <c r="F8" s="3"/>
      <c r="K8" s="9" t="s">
        <v>26</v>
      </c>
      <c r="L8" s="9">
        <f>COUNTIF(Tiendas!$N$4:$N$176,$K8)</f>
        <v>4</v>
      </c>
    </row>
    <row r="9">
      <c r="A9" s="16" t="s">
        <v>27</v>
      </c>
      <c r="B9" s="19">
        <f>SUMIFS('DATA ENVIOS'!$I$4:$I$2000,'DATA ENVIOS'!$A$4:$A$2000,Config!$B$4)+SUMIFS('DATA RECOJOS'!$H$4:$H$201,'DATA RECOJOS'!$A$4:$A$201,Config!$B$4)+SUMIFS('DATA APLICATIVOS'!$F$4:$F$203,'DATA APLICATIVOS'!$A$4:$A$203,Config!$B$4)</f>
        <v>5438.5</v>
      </c>
      <c r="C9" s="3"/>
      <c r="D9" s="3"/>
      <c r="F9" s="3"/>
      <c r="K9" s="9" t="s">
        <v>28</v>
      </c>
      <c r="L9" s="9">
        <f>COUNTIF(Tiendas!$N$4:$N$176,$K9)</f>
        <v>3</v>
      </c>
    </row>
    <row r="10">
      <c r="A10" s="20" t="s">
        <v>29</v>
      </c>
      <c r="B10" s="21">
        <f>B8-B9</f>
        <v>4271.533898</v>
      </c>
      <c r="C10" s="3"/>
      <c r="D10" s="3"/>
      <c r="E10" s="3"/>
      <c r="F10" s="3"/>
      <c r="K10" s="9" t="s">
        <v>30</v>
      </c>
      <c r="L10" s="9">
        <f>COUNTIF(Tiendas!$N$4:$N$176,$K10)</f>
        <v>3</v>
      </c>
    </row>
    <row r="11">
      <c r="A11" s="22" t="s">
        <v>31</v>
      </c>
      <c r="B11" s="23">
        <f>IFERROR(SUMIFS('DATA ENVIOS'!$H$4:$H$2000,'DATA ENVIOS'!$A$4:$A$2000,Config!$B$4)/COUNTIFS('DATA ENVIOS'!$A$4:$A$2000,Config!$B$4,'DATA ENVIOS'!$H$4:$H$2000,"&gt;0"),0)</f>
        <v>9.48978883</v>
      </c>
      <c r="C11" s="3"/>
      <c r="D11" s="3"/>
      <c r="E11" s="3"/>
      <c r="F11" s="3"/>
      <c r="K11" s="9" t="s">
        <v>32</v>
      </c>
      <c r="L11" s="9">
        <f>COUNTIF(Tiendas!$N$4:$N$176,$K11)</f>
        <v>4</v>
      </c>
    </row>
    <row r="12">
      <c r="A12" s="24" t="s">
        <v>33</v>
      </c>
      <c r="B12" s="25">
        <f>IF(B5=0,"",B9/B5)</f>
        <v>72.51333333</v>
      </c>
      <c r="C12" s="3"/>
      <c r="D12" s="3"/>
      <c r="E12" s="3"/>
      <c r="F12" s="3"/>
      <c r="K12" s="9" t="s">
        <v>34</v>
      </c>
      <c r="L12" s="9">
        <f>COUNTIF(Tiendas!$N$4:$N$176,$K12)</f>
        <v>3</v>
      </c>
    </row>
    <row r="13">
      <c r="A13" s="16" t="s">
        <v>35</v>
      </c>
      <c r="B13" s="19">
        <f>IF(B5=0,"",B8/B5)</f>
        <v>129.4671186</v>
      </c>
      <c r="C13" s="3"/>
      <c r="D13" s="3"/>
      <c r="E13" s="3"/>
      <c r="F13" s="3"/>
      <c r="K13" s="9" t="s">
        <v>36</v>
      </c>
      <c r="L13" s="9">
        <f>COUNTIF(Tiendas!$N$4:$N$176,$K13)</f>
        <v>3</v>
      </c>
    </row>
    <row r="14">
      <c r="A14" s="16" t="s">
        <v>37</v>
      </c>
      <c r="B14" s="19">
        <f>SUM(Tiendas!$R$4:$R$176)</f>
        <v>112</v>
      </c>
      <c r="C14" s="3"/>
      <c r="D14" s="3"/>
      <c r="E14" s="3"/>
      <c r="F14" s="3"/>
      <c r="K14" s="9" t="s">
        <v>38</v>
      </c>
      <c r="L14" s="9">
        <f>COUNTIF(Tiendas!$N$4:$N$176,$K14)</f>
        <v>2</v>
      </c>
    </row>
    <row r="15" ht="15.75" customHeight="1">
      <c r="A15" s="26" t="s">
        <v>39</v>
      </c>
      <c r="K15" s="9" t="s">
        <v>40</v>
      </c>
      <c r="L15" s="9">
        <f>COUNTIF(Tiendas!$N$4:$N$176,$K15)</f>
        <v>2</v>
      </c>
    </row>
    <row r="16">
      <c r="A16" s="16" t="s">
        <v>41</v>
      </c>
      <c r="B16" s="18">
        <f>SUMIFS('DATA RECOJOS'!$D$4:$D$201,'DATA RECOJOS'!$A$4:$A$201,Config!$B$4,'DATA RECOJOS'!$C$4:$C$201,"1 pedido (cobra S/8)")</f>
        <v>42</v>
      </c>
      <c r="C16" s="3"/>
      <c r="D16" s="3"/>
      <c r="E16" s="3"/>
      <c r="F16" s="3"/>
      <c r="K16" s="9" t="s">
        <v>42</v>
      </c>
      <c r="L16" s="9">
        <f>COUNTIF(Tiendas!$N$4:$N$176,$K16)</f>
        <v>2</v>
      </c>
    </row>
    <row r="17">
      <c r="A17" s="16" t="s">
        <v>43</v>
      </c>
      <c r="B17" s="18">
        <f>SUMIFS('DATA RECOJOS'!$D$4:$D$201,'DATA RECOJOS'!$A$4:$A$201,Config!$B$4,'DATA RECOJOS'!$C$4:$C$201,"2+ entregados (gratis)")</f>
        <v>109</v>
      </c>
      <c r="C17" s="3"/>
      <c r="D17" s="3"/>
      <c r="E17" s="3"/>
      <c r="F17" s="3"/>
      <c r="K17" s="9" t="s">
        <v>44</v>
      </c>
      <c r="L17" s="9">
        <f>COUNTIF(Tiendas!$N$4:$N$176,$K17)</f>
        <v>2</v>
      </c>
    </row>
    <row r="18">
      <c r="A18" s="16" t="s">
        <v>45</v>
      </c>
      <c r="B18" s="19">
        <f>SUMIFS('DATA RECOJOS'!$H$4:$H$201,'DATA RECOJOS'!$A$4:$A$201,Config!$B$4)</f>
        <v>608</v>
      </c>
      <c r="C18" s="3"/>
      <c r="F18" s="3"/>
      <c r="K18" s="9" t="s">
        <v>46</v>
      </c>
      <c r="L18" s="9">
        <f>COUNTIF(Tiendas!$N$4:$N$176,$K18)</f>
        <v>2</v>
      </c>
    </row>
    <row r="19">
      <c r="A19" s="3"/>
      <c r="B19" s="3"/>
      <c r="C19" s="3"/>
      <c r="F19" s="3"/>
      <c r="K19" s="9" t="s">
        <v>47</v>
      </c>
      <c r="L19" s="9">
        <f>COUNTIF(Tiendas!$N$4:$N$176,$K19)</f>
        <v>2</v>
      </c>
    </row>
    <row r="20">
      <c r="A20" s="27" t="s">
        <v>48</v>
      </c>
      <c r="B20" s="28"/>
      <c r="C20" s="3"/>
      <c r="F20" s="3"/>
      <c r="K20" s="9" t="s">
        <v>49</v>
      </c>
      <c r="L20" s="9">
        <f>COUNTIF(Tiendas!$N$4:$N$176,$K20)</f>
        <v>2</v>
      </c>
    </row>
    <row r="21" ht="15.75" customHeight="1">
      <c r="A21" s="29" t="s">
        <v>50</v>
      </c>
      <c r="B21" s="19">
        <f>SUM('COMISIONES Y LEADS'!$E$14:$E$18)</f>
        <v>232.8</v>
      </c>
      <c r="C21" s="3"/>
      <c r="F21" s="3"/>
      <c r="K21" s="9" t="s">
        <v>51</v>
      </c>
      <c r="L21" s="9">
        <f>COUNTIF(Tiendas!$N$4:$N$176,$K21)</f>
        <v>2</v>
      </c>
    </row>
    <row r="22" ht="15.75" customHeight="1">
      <c r="A22" s="29" t="s">
        <v>52</v>
      </c>
      <c r="B22" s="19">
        <f>B9+B21</f>
        <v>5671.3</v>
      </c>
      <c r="C22" s="3"/>
      <c r="F22" s="3"/>
      <c r="K22" s="9" t="s">
        <v>53</v>
      </c>
      <c r="L22" s="9">
        <f>COUNTIF(Tiendas!$N$4:$N$176,$K22)</f>
        <v>1</v>
      </c>
    </row>
    <row r="23" ht="15.75" customHeight="1">
      <c r="A23" s="30" t="s">
        <v>54</v>
      </c>
      <c r="B23" s="31">
        <f>B8-B22</f>
        <v>4038.733898</v>
      </c>
      <c r="C23" s="3"/>
      <c r="F23" s="3"/>
      <c r="K23" s="9" t="s">
        <v>55</v>
      </c>
      <c r="L23" s="9">
        <f>COUNTIF(Tiendas!$N$4:$N$176,$K23)</f>
        <v>1</v>
      </c>
    </row>
    <row r="24" ht="15.75" customHeight="1">
      <c r="A24" s="32" t="s">
        <v>56</v>
      </c>
      <c r="B24" s="25">
        <f>IF(B5=0,"",B22/B5)</f>
        <v>75.61733333</v>
      </c>
      <c r="C24" s="3"/>
      <c r="F24" s="3"/>
      <c r="K24" s="9" t="s">
        <v>57</v>
      </c>
      <c r="L24" s="9">
        <f>COUNTIF(Tiendas!$N$4:$N$176,$K24)</f>
        <v>1</v>
      </c>
    </row>
    <row r="25" ht="15.75" customHeight="1">
      <c r="A25" s="3"/>
      <c r="B25" s="3"/>
      <c r="C25" s="3"/>
      <c r="F25" s="3"/>
      <c r="K25" s="9" t="s">
        <v>58</v>
      </c>
      <c r="L25" s="9">
        <f>COUNTIF(Tiendas!$N$4:$N$176,$K25)</f>
        <v>1</v>
      </c>
    </row>
    <row r="26" ht="15.75" customHeight="1">
      <c r="A26" s="16" t="s">
        <v>59</v>
      </c>
      <c r="B26" s="18" t="str">
        <f t="array" ref="B26">IFERROR(INDEX($K$3:$K$64,MATCH(MAX($L$3:$L$64),$L$3:$L$64,0)),"-")</f>
        <v>Santiago de Surco</v>
      </c>
      <c r="C26" s="3"/>
      <c r="F26" s="3"/>
      <c r="K26" s="9" t="s">
        <v>60</v>
      </c>
      <c r="L26" s="9">
        <f>COUNTIF(Tiendas!$N$4:$N$176,$K26)</f>
        <v>1</v>
      </c>
    </row>
    <row r="27" ht="15.75" customHeight="1">
      <c r="A27" s="3"/>
      <c r="B27" s="3"/>
      <c r="C27" s="3"/>
      <c r="F27" s="3"/>
      <c r="K27" s="9" t="s">
        <v>61</v>
      </c>
      <c r="L27" s="9">
        <f>COUNTIF(Tiendas!$N$4:$N$176,$K27)</f>
        <v>1</v>
      </c>
    </row>
    <row r="28" ht="15.75" customHeight="1">
      <c r="A28" s="3"/>
      <c r="B28" s="3"/>
      <c r="C28" s="3"/>
      <c r="F28" s="3"/>
      <c r="K28" s="9" t="s">
        <v>62</v>
      </c>
      <c r="L28" s="9">
        <f>COUNTIF(Tiendas!$N$4:$N$176,$K28)</f>
        <v>1</v>
      </c>
    </row>
    <row r="29" ht="15.75" customHeight="1">
      <c r="A29" s="3"/>
      <c r="B29" s="3"/>
      <c r="C29" s="3"/>
      <c r="F29" s="3"/>
      <c r="K29" s="9" t="s">
        <v>63</v>
      </c>
      <c r="L29" s="9">
        <f>COUNTIF(Tiendas!$N$4:$N$176,$K29)</f>
        <v>1</v>
      </c>
    </row>
    <row r="30" ht="15.75" customHeight="1">
      <c r="A30" s="3"/>
      <c r="B30" s="3"/>
      <c r="C30" s="3"/>
      <c r="F30" s="3"/>
      <c r="K30" s="9" t="s">
        <v>64</v>
      </c>
      <c r="L30" s="9">
        <f>COUNTIF(Tiendas!$N$4:$N$176,$K30)</f>
        <v>1</v>
      </c>
    </row>
    <row r="31" ht="15.75" customHeight="1">
      <c r="A31" s="3"/>
      <c r="B31" s="3"/>
      <c r="C31" s="3"/>
      <c r="F31" s="3"/>
      <c r="K31" s="9" t="s">
        <v>65</v>
      </c>
      <c r="L31" s="9">
        <f>COUNTIF(Tiendas!$N$4:$N$176,$K31)</f>
        <v>1</v>
      </c>
    </row>
    <row r="32" ht="15.75" customHeight="1">
      <c r="A32" s="3"/>
      <c r="B32" s="3"/>
      <c r="C32" s="3"/>
      <c r="F32" s="3"/>
      <c r="K32" s="9" t="s">
        <v>66</v>
      </c>
      <c r="L32" s="9">
        <f>COUNTIF(Tiendas!$N$4:$N$176,$K32)</f>
        <v>1</v>
      </c>
    </row>
    <row r="33" ht="15.75" customHeight="1">
      <c r="A33" s="3"/>
      <c r="B33" s="3"/>
      <c r="C33" s="3"/>
      <c r="F33" s="3"/>
      <c r="K33" s="9" t="s">
        <v>67</v>
      </c>
      <c r="L33" s="9">
        <f>COUNTIF(Tiendas!$N$4:$N$176,$K33)</f>
        <v>1</v>
      </c>
    </row>
    <row r="34" ht="15.75" customHeight="1">
      <c r="A34" s="3"/>
      <c r="B34" s="3"/>
      <c r="C34" s="3"/>
      <c r="F34" s="3"/>
      <c r="K34" s="9" t="s">
        <v>68</v>
      </c>
      <c r="L34" s="9">
        <f>COUNTIF(Tiendas!$N$4:$N$176,$K34)</f>
        <v>1</v>
      </c>
    </row>
    <row r="35" ht="15.75" customHeight="1">
      <c r="A35" s="3"/>
      <c r="B35" s="3"/>
      <c r="C35" s="3"/>
      <c r="F35" s="3"/>
      <c r="K35" s="9" t="s">
        <v>69</v>
      </c>
      <c r="L35" s="9">
        <f>COUNTIF(Tiendas!$N$4:$N$176,$K35)</f>
        <v>0</v>
      </c>
    </row>
    <row r="36" ht="15.75" customHeight="1">
      <c r="A36" s="3"/>
      <c r="B36" s="3"/>
      <c r="C36" s="3"/>
      <c r="F36" s="3"/>
      <c r="K36" s="9" t="s">
        <v>70</v>
      </c>
      <c r="L36" s="9">
        <f>COUNTIF(Tiendas!$N$4:$N$176,$K36)</f>
        <v>0</v>
      </c>
    </row>
    <row r="37" ht="15.75" customHeight="1">
      <c r="A37" s="3"/>
      <c r="B37" s="3"/>
      <c r="C37" s="3"/>
      <c r="F37" s="3"/>
      <c r="K37" s="9" t="s">
        <v>71</v>
      </c>
      <c r="L37" s="9">
        <f>COUNTIF(Tiendas!$N$4:$N$176,$K37)</f>
        <v>0</v>
      </c>
    </row>
    <row r="38" ht="15.75" customHeight="1">
      <c r="A38" s="3"/>
      <c r="B38" s="3"/>
      <c r="C38" s="3"/>
      <c r="F38" s="3"/>
      <c r="K38" s="9" t="s">
        <v>72</v>
      </c>
      <c r="L38" s="9">
        <f>COUNTIF(Tiendas!$N$4:$N$176,$K38)</f>
        <v>0</v>
      </c>
    </row>
    <row r="39" ht="15.75" customHeight="1">
      <c r="A39" s="3"/>
      <c r="B39" s="3"/>
      <c r="C39" s="3"/>
      <c r="F39" s="3"/>
      <c r="K39" s="9" t="s">
        <v>73</v>
      </c>
      <c r="L39" s="9">
        <f>COUNTIF(Tiendas!$N$4:$N$176,$K39)</f>
        <v>0</v>
      </c>
    </row>
    <row r="40" ht="15.75" customHeight="1">
      <c r="A40" s="3"/>
      <c r="B40" s="3"/>
      <c r="C40" s="3"/>
      <c r="F40" s="3"/>
      <c r="K40" s="9" t="s">
        <v>74</v>
      </c>
      <c r="L40" s="9">
        <f>COUNTIF(Tiendas!$N$4:$N$176,$K40)</f>
        <v>0</v>
      </c>
    </row>
    <row r="41" ht="15.75" customHeight="1">
      <c r="A41" s="3"/>
      <c r="B41" s="3"/>
      <c r="C41" s="3"/>
      <c r="F41" s="3"/>
      <c r="K41" s="9" t="s">
        <v>75</v>
      </c>
      <c r="L41" s="9">
        <f>COUNTIF(Tiendas!$N$4:$N$176,$K41)</f>
        <v>0</v>
      </c>
    </row>
    <row r="42" ht="15.75" customHeight="1">
      <c r="A42" s="3"/>
      <c r="B42" s="3"/>
      <c r="C42" s="3"/>
      <c r="F42" s="3"/>
      <c r="K42" s="9" t="s">
        <v>76</v>
      </c>
      <c r="L42" s="9">
        <f>COUNTIF(Tiendas!$N$4:$N$176,$K42)</f>
        <v>0</v>
      </c>
    </row>
    <row r="43" ht="15.75" customHeight="1">
      <c r="A43" s="3"/>
      <c r="B43" s="3"/>
      <c r="C43" s="3"/>
      <c r="F43" s="3"/>
      <c r="K43" s="9" t="s">
        <v>77</v>
      </c>
      <c r="L43" s="9">
        <f>COUNTIF(Tiendas!$N$4:$N$176,$K43)</f>
        <v>0</v>
      </c>
    </row>
    <row r="44" ht="15.75" customHeight="1">
      <c r="A44" s="3"/>
      <c r="B44" s="3"/>
      <c r="C44" s="3"/>
      <c r="F44" s="3"/>
      <c r="K44" s="9" t="s">
        <v>78</v>
      </c>
      <c r="L44" s="9">
        <f>COUNTIF(Tiendas!$N$4:$N$176,$K44)</f>
        <v>0</v>
      </c>
    </row>
    <row r="45" ht="15.75" customHeight="1">
      <c r="A45" s="3"/>
      <c r="B45" s="3"/>
      <c r="C45" s="3"/>
      <c r="F45" s="3"/>
      <c r="K45" s="9" t="s">
        <v>79</v>
      </c>
      <c r="L45" s="9">
        <f>COUNTIF(Tiendas!$N$4:$N$176,$K45)</f>
        <v>0</v>
      </c>
    </row>
    <row r="46" ht="15.75" customHeight="1">
      <c r="A46" s="3"/>
      <c r="B46" s="3"/>
      <c r="C46" s="3"/>
      <c r="F46" s="3"/>
      <c r="K46" s="9" t="s">
        <v>80</v>
      </c>
      <c r="L46" s="9">
        <f>COUNTIF(Tiendas!$N$4:$N$176,$K46)</f>
        <v>0</v>
      </c>
    </row>
    <row r="47" ht="15.75" customHeight="1">
      <c r="A47" s="3"/>
      <c r="B47" s="3"/>
      <c r="C47" s="3"/>
      <c r="F47" s="3"/>
      <c r="K47" s="9" t="s">
        <v>81</v>
      </c>
      <c r="L47" s="9">
        <f>COUNTIF(Tiendas!$N$4:$N$176,$K47)</f>
        <v>0</v>
      </c>
    </row>
    <row r="48" ht="15.75" customHeight="1">
      <c r="A48" s="3"/>
      <c r="B48" s="3"/>
      <c r="C48" s="3"/>
      <c r="F48" s="3"/>
      <c r="K48" s="9" t="s">
        <v>82</v>
      </c>
      <c r="L48" s="9">
        <f>COUNTIF(Tiendas!$N$4:$N$176,$K48)</f>
        <v>0</v>
      </c>
    </row>
    <row r="49" ht="15.75" customHeight="1">
      <c r="A49" s="3"/>
      <c r="B49" s="3"/>
      <c r="C49" s="3"/>
      <c r="F49" s="3"/>
      <c r="K49" s="9" t="s">
        <v>83</v>
      </c>
      <c r="L49" s="9">
        <f>COUNTIF(Tiendas!$N$4:$N$176,$K49)</f>
        <v>0</v>
      </c>
    </row>
    <row r="50" ht="15.75" customHeight="1">
      <c r="A50" s="3"/>
      <c r="B50" s="3"/>
      <c r="C50" s="3"/>
      <c r="F50" s="3"/>
      <c r="K50" s="9" t="s">
        <v>84</v>
      </c>
      <c r="L50" s="9">
        <f>COUNTIF(Tiendas!$N$4:$N$176,$K50)</f>
        <v>0</v>
      </c>
    </row>
    <row r="51" ht="15.75" customHeight="1">
      <c r="A51" s="3"/>
      <c r="B51" s="3"/>
      <c r="C51" s="3"/>
      <c r="F51" s="3"/>
      <c r="K51" s="9" t="s">
        <v>85</v>
      </c>
      <c r="L51" s="9">
        <f>COUNTIF(Tiendas!$N$4:$N$176,$K51)</f>
        <v>0</v>
      </c>
    </row>
    <row r="52" ht="15.75" customHeight="1">
      <c r="A52" s="3"/>
      <c r="B52" s="3"/>
      <c r="C52" s="3"/>
      <c r="F52" s="3"/>
      <c r="K52" s="9" t="s">
        <v>86</v>
      </c>
      <c r="L52" s="9">
        <f>COUNTIF(Tiendas!$N$4:$N$176,$K52)</f>
        <v>0</v>
      </c>
    </row>
    <row r="53" ht="15.75" customHeight="1">
      <c r="A53" s="3"/>
      <c r="B53" s="3"/>
      <c r="C53" s="3"/>
      <c r="F53" s="3"/>
      <c r="K53" s="9" t="s">
        <v>87</v>
      </c>
      <c r="L53" s="9">
        <f>COUNTIF(Tiendas!$N$4:$N$176,$K53)</f>
        <v>0</v>
      </c>
    </row>
    <row r="54" ht="15.75" customHeight="1">
      <c r="A54" s="3"/>
      <c r="B54" s="3"/>
      <c r="C54" s="3"/>
      <c r="F54" s="3"/>
      <c r="K54" s="9" t="s">
        <v>88</v>
      </c>
      <c r="L54" s="9">
        <f>COUNTIF(Tiendas!$N$4:$N$176,$K54)</f>
        <v>0</v>
      </c>
    </row>
    <row r="55" ht="15.75" customHeight="1">
      <c r="A55" s="3"/>
      <c r="B55" s="3"/>
      <c r="C55" s="3"/>
      <c r="F55" s="3"/>
      <c r="K55" s="9" t="s">
        <v>89</v>
      </c>
      <c r="L55" s="9">
        <f>COUNTIF(Tiendas!$N$4:$N$176,$K55)</f>
        <v>0</v>
      </c>
    </row>
    <row r="56" ht="15.75" customHeight="1">
      <c r="A56" s="3"/>
      <c r="B56" s="3"/>
      <c r="C56" s="3"/>
      <c r="F56" s="3"/>
      <c r="K56" s="9" t="s">
        <v>90</v>
      </c>
      <c r="L56" s="9">
        <f>COUNTIF(Tiendas!$N$4:$N$176,$K56)</f>
        <v>0</v>
      </c>
    </row>
    <row r="57" ht="15.75" customHeight="1">
      <c r="A57" s="3"/>
      <c r="B57" s="3"/>
      <c r="C57" s="3"/>
      <c r="F57" s="3"/>
      <c r="K57" s="9" t="s">
        <v>91</v>
      </c>
      <c r="L57" s="9">
        <f>COUNTIF(Tiendas!$N$4:$N$176,$K57)</f>
        <v>0</v>
      </c>
    </row>
    <row r="58" ht="15.75" customHeight="1">
      <c r="A58" s="3"/>
      <c r="B58" s="3"/>
      <c r="C58" s="3"/>
      <c r="F58" s="3"/>
      <c r="K58" s="9" t="s">
        <v>92</v>
      </c>
      <c r="L58" s="9">
        <f>COUNTIF(Tiendas!$N$4:$N$176,$K58)</f>
        <v>0</v>
      </c>
    </row>
    <row r="59" ht="15.75" customHeight="1">
      <c r="A59" s="3"/>
      <c r="B59" s="3"/>
      <c r="C59" s="3"/>
      <c r="F59" s="3"/>
      <c r="K59" s="9" t="s">
        <v>93</v>
      </c>
      <c r="L59" s="9">
        <f>COUNTIF(Tiendas!$N$4:$N$176,$K59)</f>
        <v>0</v>
      </c>
    </row>
    <row r="60" ht="15.75" customHeight="1">
      <c r="A60" s="3"/>
      <c r="B60" s="3"/>
      <c r="C60" s="3"/>
      <c r="F60" s="3"/>
      <c r="K60" s="9" t="s">
        <v>94</v>
      </c>
      <c r="L60" s="9">
        <f>COUNTIF(Tiendas!$N$4:$N$176,$K60)</f>
        <v>0</v>
      </c>
    </row>
    <row r="61" ht="15.75" customHeight="1">
      <c r="A61" s="3"/>
      <c r="B61" s="3"/>
      <c r="C61" s="3"/>
      <c r="F61" s="3"/>
      <c r="K61" s="9" t="s">
        <v>95</v>
      </c>
      <c r="L61" s="9">
        <f>COUNTIF(Tiendas!$N$4:$N$176,$K61)</f>
        <v>0</v>
      </c>
    </row>
    <row r="62" ht="15.75" customHeight="1">
      <c r="A62" s="3"/>
      <c r="B62" s="3"/>
      <c r="C62" s="3"/>
      <c r="F62" s="3"/>
      <c r="K62" s="9" t="s">
        <v>96</v>
      </c>
      <c r="L62" s="9">
        <f>COUNTIF(Tiendas!$N$4:$N$176,$K62)</f>
        <v>0</v>
      </c>
    </row>
    <row r="63" ht="15.75" customHeight="1">
      <c r="A63" s="3"/>
      <c r="B63" s="3"/>
      <c r="C63" s="3"/>
      <c r="F63" s="3"/>
      <c r="K63" s="9" t="s">
        <v>97</v>
      </c>
      <c r="L63" s="9">
        <f>COUNTIF(Tiendas!$N$4:$N$176,$K63)</f>
        <v>0</v>
      </c>
    </row>
    <row r="64" ht="15.75" customHeight="1">
      <c r="A64" s="3"/>
      <c r="B64" s="3"/>
      <c r="C64" s="3"/>
      <c r="F64" s="3"/>
      <c r="K64" s="9" t="s">
        <v>98</v>
      </c>
      <c r="L64" s="9">
        <f>COUNTIF(Tiendas!$N$4:$N$176,$K64)</f>
        <v>0</v>
      </c>
    </row>
    <row r="65" ht="15.75" customHeight="1">
      <c r="A65" s="3"/>
      <c r="B65" s="3"/>
      <c r="C65" s="3"/>
      <c r="F65" s="3"/>
    </row>
    <row r="66" ht="15.75" customHeight="1">
      <c r="A66" s="3"/>
      <c r="B66" s="3"/>
      <c r="C66" s="3"/>
      <c r="F66" s="3"/>
    </row>
    <row r="67" ht="15.75" customHeight="1">
      <c r="A67" s="3"/>
      <c r="B67" s="3"/>
      <c r="C67" s="3"/>
      <c r="F67" s="3"/>
    </row>
    <row r="68" ht="15.75" customHeight="1">
      <c r="A68" s="3"/>
      <c r="B68" s="3"/>
      <c r="C68" s="3"/>
      <c r="F68" s="3"/>
    </row>
    <row r="69" ht="15.75" customHeight="1">
      <c r="A69" s="3"/>
      <c r="B69" s="3"/>
      <c r="C69" s="3"/>
      <c r="F69" s="3"/>
    </row>
    <row r="70" ht="15.75" customHeight="1">
      <c r="A70" s="3"/>
      <c r="B70" s="3"/>
      <c r="C70" s="3"/>
      <c r="F70" s="3"/>
    </row>
    <row r="71" ht="15.75" customHeight="1">
      <c r="A71" s="3"/>
      <c r="B71" s="3"/>
      <c r="C71" s="3"/>
      <c r="F71" s="3"/>
    </row>
    <row r="72" ht="15.75" customHeight="1">
      <c r="A72" s="3"/>
      <c r="B72" s="3"/>
      <c r="C72" s="3"/>
      <c r="F72" s="3"/>
    </row>
    <row r="73" ht="15.75" customHeight="1">
      <c r="A73" s="3"/>
      <c r="B73" s="3"/>
      <c r="C73" s="3"/>
      <c r="F73" s="3"/>
    </row>
    <row r="74" ht="15.75" customHeight="1">
      <c r="A74" s="3"/>
      <c r="B74" s="3"/>
      <c r="C74" s="3"/>
      <c r="F74" s="3"/>
    </row>
    <row r="75" ht="15.75" customHeight="1">
      <c r="A75" s="3"/>
      <c r="B75" s="3"/>
      <c r="C75" s="3"/>
      <c r="F75" s="3"/>
    </row>
    <row r="76" ht="15.75" customHeight="1">
      <c r="A76" s="3"/>
      <c r="B76" s="3"/>
      <c r="C76" s="3"/>
      <c r="F76" s="3"/>
    </row>
    <row r="77" ht="15.75" customHeight="1">
      <c r="A77" s="3"/>
      <c r="B77" s="3"/>
      <c r="C77" s="3"/>
      <c r="F77" s="3"/>
    </row>
    <row r="78" ht="15.75" customHeight="1">
      <c r="A78" s="3"/>
      <c r="B78" s="3"/>
      <c r="C78" s="3"/>
      <c r="F78" s="3"/>
    </row>
    <row r="79" ht="15.75" customHeight="1">
      <c r="A79" s="3"/>
      <c r="B79" s="3"/>
      <c r="C79" s="3"/>
      <c r="F79" s="3"/>
    </row>
    <row r="80" ht="15.75" customHeight="1">
      <c r="A80" s="3"/>
      <c r="B80" s="3"/>
      <c r="C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F991" s="3"/>
    </row>
    <row r="992" ht="15.75" customHeight="1">
      <c r="A992" s="3"/>
      <c r="B992" s="3"/>
      <c r="C992" s="3"/>
      <c r="F992" s="3"/>
    </row>
    <row r="993" ht="15.75" customHeight="1">
      <c r="A993" s="3"/>
      <c r="B993" s="3"/>
      <c r="C993" s="3"/>
      <c r="F993" s="3"/>
    </row>
    <row r="994" ht="15.75" customHeight="1">
      <c r="A994" s="3"/>
      <c r="B994" s="3"/>
      <c r="C994" s="3"/>
      <c r="F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autoFilter ref="$K$2:$L$64">
    <sortState ref="K2:L64">
      <sortCondition descending="1" ref="L2:L64"/>
    </sortState>
  </autoFilter>
  <mergeCells count="4">
    <mergeCell ref="A1:F1"/>
    <mergeCell ref="A3:F3"/>
    <mergeCell ref="A15:F15"/>
    <mergeCell ref="A20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8.0"/>
    <col customWidth="1" min="5" max="6" width="20.0"/>
    <col customWidth="1" min="7" max="8" width="22.0"/>
    <col customWidth="1" min="9" max="26" width="9.14"/>
  </cols>
  <sheetData>
    <row r="1" ht="27.75" customHeight="1">
      <c r="A1" s="33" t="s">
        <v>99</v>
      </c>
      <c r="B1" s="2"/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3"/>
      <c r="H2" s="3"/>
    </row>
    <row r="3">
      <c r="A3" s="34" t="s">
        <v>100</v>
      </c>
      <c r="B3" s="22" t="s">
        <v>101</v>
      </c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29" t="s">
        <v>102</v>
      </c>
      <c r="B5" s="35" t="str">
        <f>IFERROR(VLOOKUP($B$3,'COMISIONES Y LEADS'!$A$14:$C$18,3,FALSE),"-")</f>
        <v>Pacha Mama</v>
      </c>
      <c r="C5" s="3"/>
      <c r="D5" s="3"/>
      <c r="E5" s="3"/>
      <c r="F5" s="3"/>
      <c r="G5" s="3"/>
      <c r="H5" s="3"/>
    </row>
    <row r="6" ht="30.0" customHeight="1">
      <c r="A6" s="29" t="s">
        <v>103</v>
      </c>
      <c r="B6" s="35">
        <f>IFERROR(VLOOKUP($B$3,'COMISIONES Y LEADS'!$A$14:$B$18,2,FALSE),"")</f>
        <v>388</v>
      </c>
      <c r="C6" s="3"/>
      <c r="D6" s="3"/>
      <c r="E6" s="3"/>
      <c r="F6" s="3"/>
      <c r="G6" s="3"/>
      <c r="H6" s="3"/>
    </row>
    <row r="7" ht="30.0" customHeight="1">
      <c r="A7" s="29" t="s">
        <v>104</v>
      </c>
      <c r="B7" s="36">
        <f>IFERROR(VLOOKUP($B$3,'COMISIONES Y LEADS'!$A$14:$D$18,4,FALSE),0)</f>
        <v>0.6</v>
      </c>
      <c r="C7" s="3"/>
      <c r="D7" s="3"/>
      <c r="E7" s="3"/>
      <c r="F7" s="3"/>
      <c r="G7" s="3"/>
      <c r="H7" s="3"/>
    </row>
    <row r="8">
      <c r="A8" s="29" t="s">
        <v>105</v>
      </c>
      <c r="B8" s="36">
        <f>IFERROR(VLOOKUP($B$3,'COMISIONES Y LEADS'!$A$14:$E$18,5,FALSE),0)</f>
        <v>232.8</v>
      </c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27" t="s">
        <v>106</v>
      </c>
      <c r="B10" s="37"/>
      <c r="C10" s="37"/>
      <c r="D10" s="28"/>
      <c r="E10" s="27" t="s">
        <v>107</v>
      </c>
      <c r="F10" s="37"/>
      <c r="G10" s="37"/>
      <c r="H10" s="28"/>
    </row>
    <row r="11">
      <c r="A11" s="29" t="s">
        <v>108</v>
      </c>
      <c r="B11" s="35">
        <f>IFERROR(VLOOKUP($B$3,'COMISIONES Y LEADS'!$A$14:$H$18,7,FALSE),0)</f>
        <v>190</v>
      </c>
      <c r="C11" s="3"/>
      <c r="D11" s="3"/>
      <c r="E11" s="29" t="s">
        <v>109</v>
      </c>
      <c r="F11" s="36">
        <f>SUMIFS('DATA ENVIOS'!$H$4:$H$2000,'DATA ENVIOS'!$K$4:$K$2000,$B$3,'DATA ENVIOS'!$A$4:$A$2000,Config!$B$4)+SUMIFS('DATA RECOJOS'!$G$4:$G$201,'DATA RECOJOS'!$J$4:$J$201,$B$3,'DATA RECOJOS'!$A$4:$A$201,Config!$B$4)</f>
        <v>3856.949153</v>
      </c>
      <c r="G11" s="3"/>
      <c r="H11" s="3"/>
    </row>
    <row r="12" ht="30.0" customHeight="1">
      <c r="A12" s="29" t="s">
        <v>110</v>
      </c>
      <c r="B12" s="35">
        <f>IFERROR(VLOOKUP($B$3,'COMISIONES Y LEADS'!$A$14:$H$18,8,FALSE),0)</f>
        <v>156</v>
      </c>
      <c r="C12" s="3"/>
      <c r="D12" s="3"/>
      <c r="E12" s="29" t="s">
        <v>111</v>
      </c>
      <c r="F12" s="36">
        <f>SUMIFS('DATA ENVIOS'!$I$4:$I$2000,'DATA ENVIOS'!$K$4:$K$2000,$B$3,'DATA ENVIOS'!$A$4:$A$2000,Config!$B$4)+SUMIFS('DATA RECOJOS'!$H$4:$H$201,'DATA RECOJOS'!$J$4:$J$201,$B$3,'DATA RECOJOS'!$A$4:$A$201,Config!$B$4)</f>
        <v>1984.5</v>
      </c>
      <c r="G12" s="3"/>
      <c r="H12" s="3"/>
    </row>
    <row r="13" ht="30.0" customHeight="1">
      <c r="A13" s="29" t="s">
        <v>112</v>
      </c>
      <c r="B13" s="35">
        <f>COUNTIFS(Tiendas!$B$4:$B$176,$B$3,Tiendas!$M$4:$M$176,"Entrante",Tiendas!$J$4:$J$176,"Sí")</f>
        <v>9</v>
      </c>
      <c r="C13" s="3"/>
      <c r="D13" s="3"/>
      <c r="E13" s="29" t="s">
        <v>113</v>
      </c>
      <c r="F13" s="36">
        <f>F11-F12</f>
        <v>1872.449153</v>
      </c>
      <c r="G13" s="3"/>
      <c r="H13" s="3"/>
    </row>
    <row r="14" ht="30.0" customHeight="1">
      <c r="A14" s="29" t="s">
        <v>114</v>
      </c>
      <c r="B14" s="35">
        <f>COUNTIFS(Tiendas!$B$4:$B$176,$B$3,Tiendas!$M$4:$M$176,"Orgánico",Tiendas!$J$4:$J$176,"Sí")</f>
        <v>0</v>
      </c>
      <c r="C14" s="3"/>
      <c r="D14" s="3"/>
      <c r="E14" s="29" t="s">
        <v>115</v>
      </c>
      <c r="F14" s="36">
        <f>B8</f>
        <v>232.8</v>
      </c>
      <c r="G14" s="3"/>
      <c r="H14" s="3"/>
    </row>
    <row r="15" ht="30.0" customHeight="1">
      <c r="A15" s="29" t="s">
        <v>116</v>
      </c>
      <c r="B15" s="35">
        <f>B11+B12</f>
        <v>346</v>
      </c>
      <c r="C15" s="3"/>
      <c r="D15" s="3"/>
      <c r="E15" s="29" t="s">
        <v>117</v>
      </c>
      <c r="F15" s="36">
        <f>F12+F14</f>
        <v>2217.3</v>
      </c>
      <c r="G15" s="3"/>
      <c r="H15" s="3"/>
    </row>
    <row r="16" ht="30.0" customHeight="1">
      <c r="A16" s="29" t="s">
        <v>118</v>
      </c>
      <c r="B16" s="35">
        <f>B13</f>
        <v>9</v>
      </c>
      <c r="C16" s="3"/>
      <c r="D16" s="3"/>
      <c r="E16" s="29" t="s">
        <v>119</v>
      </c>
      <c r="F16" s="36">
        <f>F11-F15</f>
        <v>1639.649153</v>
      </c>
      <c r="G16" s="3"/>
      <c r="H16" s="3"/>
    </row>
    <row r="17" ht="30.0" customHeight="1">
      <c r="A17" s="29" t="s">
        <v>120</v>
      </c>
      <c r="B17" s="38">
        <f>IFERROR(AVERAGEIFS(Tiendas!$H$4:$H$176,Tiendas!$B$4:$B$176,$B$3,Tiendas!$M$4:$M$176,"Entrante",Tiendas!$J$4:$J$176,"Sí"),"")</f>
        <v>19.77777778</v>
      </c>
      <c r="C17" s="3"/>
      <c r="D17" s="3"/>
      <c r="E17" s="29" t="s">
        <v>121</v>
      </c>
      <c r="F17" s="36">
        <f>IF(B16=0,"",F12/B16)</f>
        <v>220.5</v>
      </c>
      <c r="G17" s="3"/>
      <c r="H17" s="3"/>
    </row>
    <row r="18" ht="45.0" customHeight="1">
      <c r="A18" s="29" t="s">
        <v>122</v>
      </c>
      <c r="B18" s="38" t="str">
        <f>IFERROR(AVERAGEIFS(Tiendas!$H$4:$H$176,Tiendas!$B$4:$B$176,$B$3,Tiendas!$M$4:$M$176,"Orgánico",Tiendas!$J$4:$J$176,"Sí"),"")</f>
        <v/>
      </c>
      <c r="C18" s="3"/>
      <c r="D18" s="3"/>
      <c r="E18" s="29" t="s">
        <v>123</v>
      </c>
      <c r="F18" s="36">
        <f>IF(B16=0,"",F15/B16)</f>
        <v>246.3666667</v>
      </c>
      <c r="G18" s="3"/>
      <c r="H18" s="3"/>
    </row>
    <row r="19" ht="30.0" customHeight="1">
      <c r="A19" s="29" t="s">
        <v>124</v>
      </c>
      <c r="B19" s="39">
        <f>IFERROR(B16/B15,"")</f>
        <v>0.02601156069</v>
      </c>
      <c r="C19" s="3"/>
      <c r="D19" s="3"/>
      <c r="E19" s="29" t="s">
        <v>125</v>
      </c>
      <c r="F19" s="36">
        <f>IF(B16=0,"",F11/B16)</f>
        <v>428.5499058</v>
      </c>
      <c r="G19" s="3"/>
      <c r="H19" s="3"/>
    </row>
    <row r="20">
      <c r="A20" s="29" t="s">
        <v>126</v>
      </c>
      <c r="B20" s="39">
        <f t="shared" ref="B20:B21" si="1">IFERROR(B13/B11,"")</f>
        <v>0.04736842105</v>
      </c>
      <c r="C20" s="3"/>
      <c r="D20" s="3"/>
      <c r="E20" s="29" t="s">
        <v>127</v>
      </c>
      <c r="F20" s="36">
        <f>IF($B$6=0,"",F11/$B$6)</f>
        <v>9.940590599</v>
      </c>
      <c r="G20" s="3"/>
      <c r="H20" s="3"/>
    </row>
    <row r="21" ht="30.0" customHeight="1">
      <c r="A21" s="29" t="s">
        <v>128</v>
      </c>
      <c r="B21" s="39">
        <f t="shared" si="1"/>
        <v>0</v>
      </c>
      <c r="C21" s="3"/>
      <c r="D21" s="3"/>
      <c r="E21" s="29" t="s">
        <v>129</v>
      </c>
      <c r="F21" s="40">
        <f>COUNTIFS(Tiendas!$B$4:$B$176,$B$3,Tiendas!$I$4:$I$176,"Si")</f>
        <v>2</v>
      </c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27" t="s">
        <v>130</v>
      </c>
      <c r="B23" s="37"/>
      <c r="C23" s="37"/>
      <c r="D23" s="28"/>
      <c r="E23" s="3"/>
      <c r="F23" s="3"/>
      <c r="G23" s="3"/>
      <c r="H23" s="3"/>
    </row>
    <row r="24" ht="15.75" customHeight="1">
      <c r="A24" s="41" t="s">
        <v>131</v>
      </c>
      <c r="B24" s="41" t="s">
        <v>132</v>
      </c>
      <c r="C24" s="41" t="s">
        <v>133</v>
      </c>
      <c r="D24" s="3"/>
      <c r="E24" s="3"/>
      <c r="F24" s="3"/>
      <c r="G24" s="3"/>
      <c r="H24" s="3"/>
    </row>
    <row r="25" ht="15.75" customHeight="1">
      <c r="A25" s="42">
        <v>1.0</v>
      </c>
      <c r="B25" s="35" t="str">
        <f t="array" ref="B25">IFERROR(INDEX(Helper_Vendedor!$A$4:$A$177,MATCH(1,Helper_Vendedor!$D$4:$D$177,0)),"-")</f>
        <v>AVEFENIX3107</v>
      </c>
      <c r="C25" s="43">
        <f t="array" ref="C25">IFERROR(INDEX(Helper_Vendedor!$C$4:$C$177,MATCH(1,Helper_Vendedor!$D$4:$D$177,0)),"-")</f>
        <v>292</v>
      </c>
      <c r="D25" s="3"/>
      <c r="E25" s="3"/>
      <c r="F25" s="3"/>
      <c r="G25" s="3"/>
      <c r="H25" s="3"/>
    </row>
    <row r="26" ht="15.75" customHeight="1">
      <c r="A26" s="42">
        <v>2.0</v>
      </c>
      <c r="B26" s="35" t="str">
        <f t="array" ref="B26">IFERROR(INDEX(Helper_Vendedor!$A$4:$A$177,MATCH(2,Helper_Vendedor!$D$4:$D$177,0)),"-")</f>
        <v>Mishop Perú</v>
      </c>
      <c r="C26" s="43">
        <f t="array" ref="C26">IFERROR(INDEX(Helper_Vendedor!$C$4:$C$177,MATCH(2,Helper_Vendedor!$D$4:$D$177,0)),"-")</f>
        <v>78</v>
      </c>
      <c r="D26" s="3"/>
      <c r="E26" s="3"/>
      <c r="F26" s="3"/>
      <c r="G26" s="3"/>
      <c r="H26" s="3"/>
    </row>
    <row r="27" ht="15.75" customHeight="1">
      <c r="A27" s="42">
        <v>3.0</v>
      </c>
      <c r="B27" s="35" t="str">
        <f t="array" ref="B27">IFERROR(INDEX(Helper_Vendedor!$A$4:$A$177,MATCH(3,Helper_Vendedor!$D$4:$D$177,0)),"-")</f>
        <v>OVERSOUL</v>
      </c>
      <c r="C27" s="43">
        <f t="array" ref="C27">IFERROR(INDEX(Helper_Vendedor!$C$4:$C$177,MATCH(3,Helper_Vendedor!$D$4:$D$177,0)),"-")</f>
        <v>7</v>
      </c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4">
    <mergeCell ref="A1:H1"/>
    <mergeCell ref="A10:D10"/>
    <mergeCell ref="E10:H10"/>
    <mergeCell ref="A23:D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4" width="20.0"/>
    <col customWidth="1" min="5" max="5" width="18.0"/>
    <col customWidth="1" hidden="1" min="6" max="6" width="28.0"/>
    <col customWidth="1" min="7" max="26" width="9.14"/>
  </cols>
  <sheetData>
    <row r="1" ht="27.75" customHeight="1">
      <c r="A1" s="33" t="s">
        <v>134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135</v>
      </c>
      <c r="B3" s="2"/>
      <c r="C3" s="2"/>
      <c r="D3" s="2"/>
      <c r="E3" s="3"/>
      <c r="F3" s="3"/>
    </row>
    <row r="4" ht="30.0" customHeight="1">
      <c r="A4" s="41" t="s">
        <v>136</v>
      </c>
      <c r="B4" s="41" t="s">
        <v>137</v>
      </c>
      <c r="C4" s="41" t="s">
        <v>138</v>
      </c>
      <c r="D4" s="41" t="s">
        <v>139</v>
      </c>
      <c r="E4" s="3"/>
      <c r="F4" s="3"/>
    </row>
    <row r="5">
      <c r="A5" s="44" t="s">
        <v>140</v>
      </c>
      <c r="B5" s="45">
        <v>0.0</v>
      </c>
      <c r="C5" s="45">
        <v>200.0</v>
      </c>
      <c r="D5" s="46">
        <v>0.0</v>
      </c>
      <c r="E5" s="3"/>
      <c r="F5" s="3"/>
    </row>
    <row r="6">
      <c r="A6" s="44" t="s">
        <v>141</v>
      </c>
      <c r="B6" s="45">
        <v>201.0</v>
      </c>
      <c r="C6" s="45">
        <v>400.0</v>
      </c>
      <c r="D6" s="46">
        <v>0.6</v>
      </c>
      <c r="E6" s="3"/>
      <c r="F6" s="3"/>
    </row>
    <row r="7">
      <c r="A7" s="44" t="s">
        <v>142</v>
      </c>
      <c r="B7" s="45">
        <v>401.0</v>
      </c>
      <c r="C7" s="45">
        <v>600.0</v>
      </c>
      <c r="D7" s="46">
        <v>0.7</v>
      </c>
      <c r="E7" s="3"/>
      <c r="F7" s="3"/>
    </row>
    <row r="8">
      <c r="A8" s="44" t="s">
        <v>143</v>
      </c>
      <c r="B8" s="45">
        <v>601.0</v>
      </c>
      <c r="C8" s="45">
        <v>800.0</v>
      </c>
      <c r="D8" s="46">
        <v>0.8</v>
      </c>
      <c r="E8" s="3"/>
      <c r="F8" s="3"/>
    </row>
    <row r="9">
      <c r="A9" s="44" t="s">
        <v>144</v>
      </c>
      <c r="B9" s="45">
        <v>801.0</v>
      </c>
      <c r="C9" s="45">
        <v>1000.0</v>
      </c>
      <c r="D9" s="46">
        <v>1.0</v>
      </c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4" t="s">
        <v>145</v>
      </c>
      <c r="B12" s="2"/>
      <c r="C12" s="2"/>
      <c r="D12" s="2"/>
      <c r="E12" s="2"/>
      <c r="F12" s="2"/>
    </row>
    <row r="13" ht="30.0" customHeight="1">
      <c r="A13" s="41" t="s">
        <v>146</v>
      </c>
      <c r="B13" s="41" t="s">
        <v>147</v>
      </c>
      <c r="C13" s="41" t="s">
        <v>136</v>
      </c>
      <c r="D13" s="41" t="s">
        <v>139</v>
      </c>
      <c r="E13" s="41" t="s">
        <v>148</v>
      </c>
      <c r="F13" s="41" t="s">
        <v>149</v>
      </c>
      <c r="G13" s="41" t="s">
        <v>150</v>
      </c>
      <c r="H13" s="41" t="s">
        <v>151</v>
      </c>
    </row>
    <row r="14">
      <c r="A14" s="44" t="s">
        <v>152</v>
      </c>
      <c r="B14" s="47">
        <f>COUNTIFS('DATA ENVIOS'!$A$4:$A$2000,Config!$B$4,'DATA ENVIOS'!$K$4:$K$2000,$A14,'DATA ENVIOS'!$D$4:$D$2000,"Entregado")</f>
        <v>164</v>
      </c>
      <c r="C14" s="45" t="str">
        <f t="shared" ref="C14:C18" si="1">IF($B14="","",IF($B14&lt;=200,"Apus",IF($B14&lt;=400,"Pacha Mama",IF($B14&lt;=600,"Mama Quilla",IF($B14&lt;=800,"Inti","Huiracocha")))))</f>
        <v>Apus</v>
      </c>
      <c r="D14" s="46">
        <f t="shared" ref="D14:D18" si="2">IF($C14="","",VLOOKUP($C14,$A$5:$D$9,4,FALSE))</f>
        <v>0</v>
      </c>
      <c r="E14" s="46">
        <f t="shared" ref="E14:E18" si="3">IF($B14="","",$B14*$D14)</f>
        <v>0</v>
      </c>
      <c r="F14" s="44"/>
      <c r="G14" s="44">
        <v>276.0</v>
      </c>
      <c r="H14" s="44">
        <v>154.0</v>
      </c>
    </row>
    <row r="15">
      <c r="A15" s="44" t="s">
        <v>153</v>
      </c>
      <c r="B15" s="47">
        <f>COUNTIFS('DATA ENVIOS'!$A$4:$A$2000,Config!$B$4,'DATA ENVIOS'!$K$4:$K$2000,$A15,'DATA ENVIOS'!$D$4:$D$2000,"Entregado")</f>
        <v>120</v>
      </c>
      <c r="C15" s="45" t="str">
        <f t="shared" si="1"/>
        <v>Apus</v>
      </c>
      <c r="D15" s="46">
        <f t="shared" si="2"/>
        <v>0</v>
      </c>
      <c r="E15" s="46">
        <f t="shared" si="3"/>
        <v>0</v>
      </c>
      <c r="F15" s="44"/>
      <c r="G15" s="44">
        <v>223.0</v>
      </c>
      <c r="H15" s="44">
        <v>3.0</v>
      </c>
    </row>
    <row r="16">
      <c r="A16" s="44" t="s">
        <v>154</v>
      </c>
      <c r="B16" s="47">
        <f>COUNTIFS('DATA ENVIOS'!$A$4:$A$2000,Config!$B$4,'DATA ENVIOS'!$K$4:$K$2000,$A16,'DATA ENVIOS'!$D$4:$D$2000,"Entregado")</f>
        <v>388</v>
      </c>
      <c r="C16" s="45" t="str">
        <f t="shared" si="1"/>
        <v>Pacha Mama</v>
      </c>
      <c r="D16" s="46">
        <f t="shared" si="2"/>
        <v>0.6</v>
      </c>
      <c r="E16" s="46">
        <f t="shared" si="3"/>
        <v>232.8</v>
      </c>
      <c r="F16" s="44"/>
      <c r="G16" s="44">
        <v>190.0</v>
      </c>
      <c r="H16" s="44">
        <v>156.0</v>
      </c>
    </row>
    <row r="17">
      <c r="A17" s="44" t="s">
        <v>155</v>
      </c>
      <c r="B17" s="47">
        <f>COUNTIFS('DATA ENVIOS'!$A$4:$A$2000,Config!$B$4,'DATA ENVIOS'!$K$4:$K$2000,$A17,'DATA ENVIOS'!$D$4:$D$2000,"Entregado")</f>
        <v>179</v>
      </c>
      <c r="C17" s="45" t="str">
        <f t="shared" si="1"/>
        <v>Apus</v>
      </c>
      <c r="D17" s="46">
        <f t="shared" si="2"/>
        <v>0</v>
      </c>
      <c r="E17" s="46">
        <f t="shared" si="3"/>
        <v>0</v>
      </c>
      <c r="F17" s="44"/>
      <c r="G17" s="44">
        <v>282.0</v>
      </c>
      <c r="H17" s="44">
        <v>202.0</v>
      </c>
    </row>
    <row r="18">
      <c r="A18" s="44" t="s">
        <v>156</v>
      </c>
      <c r="B18" s="47">
        <f>COUNTIFS('DATA ENVIOS'!$A$4:$A$2000,Config!$B$4,'DATA ENVIOS'!$K$4:$K$2000,$A18,'DATA ENVIOS'!$D$4:$D$2000,"Entregado")</f>
        <v>125</v>
      </c>
      <c r="C18" s="45" t="str">
        <f t="shared" si="1"/>
        <v>Apus</v>
      </c>
      <c r="D18" s="46">
        <f t="shared" si="2"/>
        <v>0</v>
      </c>
      <c r="E18" s="46">
        <f t="shared" si="3"/>
        <v>0</v>
      </c>
      <c r="F18" s="44"/>
      <c r="G18" s="44">
        <v>256.0</v>
      </c>
      <c r="H18" s="44">
        <v>135.0</v>
      </c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3">
    <mergeCell ref="A1:F1"/>
    <mergeCell ref="A3:D3"/>
    <mergeCell ref="A12:F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2.0"/>
    <col customWidth="1" min="3" max="8" width="18.0"/>
    <col customWidth="1" min="9" max="9" width="31.0"/>
    <col customWidth="1" min="10" max="26" width="8.71"/>
  </cols>
  <sheetData>
    <row r="1">
      <c r="B1" s="3"/>
      <c r="C1" s="3"/>
      <c r="D1" s="1" t="s">
        <v>157</v>
      </c>
      <c r="E1" s="2"/>
      <c r="F1" s="2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41" t="s">
        <v>158</v>
      </c>
      <c r="B3" s="41" t="s">
        <v>146</v>
      </c>
      <c r="C3" s="41" t="s">
        <v>159</v>
      </c>
      <c r="D3" s="41" t="s">
        <v>160</v>
      </c>
      <c r="E3" s="41" t="s">
        <v>161</v>
      </c>
      <c r="F3" s="41" t="s">
        <v>162</v>
      </c>
      <c r="G3" s="41" t="s">
        <v>163</v>
      </c>
      <c r="H3" s="41" t="s">
        <v>164</v>
      </c>
      <c r="I3" s="41" t="s">
        <v>165</v>
      </c>
    </row>
    <row r="4">
      <c r="A4" s="44" t="str">
        <f>IF(Tiendas!$A4="","",Tiendas!$A4)</f>
        <v>Forever20</v>
      </c>
      <c r="B4" s="44" t="str">
        <f>IF($A4="","",Tiendas!$B4)</f>
        <v>ALEXIS</v>
      </c>
      <c r="C4" s="44">
        <f>IF($A4="","",COUNTIFS('DATA ENVIOS'!$B$4:$B$2000,$A4,'DATA ENVIOS'!$A$4:$A$2000,Config!$B$4,'DATA ENVIOS'!$D$4:$D$2000,"Entregado"))</f>
        <v>12</v>
      </c>
      <c r="D4" s="44">
        <f>IF($A4="","",COUNTIFS('DATA ENVIOS'!$B$4:$B$2000,$A4,'DATA ENVIOS'!$A$4:$A$2000,Config!$B$9,'DATA ENVIOS'!$D$4:$D$2000,"Entregado"))</f>
        <v>0</v>
      </c>
      <c r="E4" s="44">
        <f>IF($A4="","",COUNTIFS('DATA ENVIOS'!$B$4:$B$2000,$A4,'DATA ENVIOS'!$A$4:$A$2000,Config!$B$10,'DATA ENVIOS'!$D$4:$D$2000,"Entregado"))</f>
        <v>0</v>
      </c>
      <c r="F4" s="44">
        <f>IF($A4="","",SUMIFS('DATA RECOJOS'!$D$4:$D$201,'DATA RECOJOS'!$B$4:$B$201,$A4,'DATA RECOJOS'!$A$4:$A$201,Config!$B$9))</f>
        <v>0</v>
      </c>
      <c r="G4" s="44">
        <f>IF($A4="","",SUMIFS('DATA RECOJOS'!$D$4:$D$201,'DATA RECOJOS'!$B$4:$B$201,$A4,'DATA RECOJOS'!$A$4:$A$201,Config!$B$10))</f>
        <v>0</v>
      </c>
      <c r="H4" s="44">
        <f t="shared" ref="H4:H177" si="1">IF($A4="","",$E4+$G4)</f>
        <v>0</v>
      </c>
      <c r="I4" s="44" t="str">
        <f t="shared" ref="I4:I177" si="2">IF($A4="","",IF($H4&gt;0,"Leads ganados activos",IF(($D4+$F4)&gt;0,"Leads ganados a dar seguimiento",IF($C4&gt;0,"Lead ganado perdido","-"))))</f>
        <v>Lead ganado perdido</v>
      </c>
    </row>
    <row r="5">
      <c r="A5" s="44" t="str">
        <f>IF(Tiendas!$A11="","",Tiendas!$A11)</f>
        <v>Joyful Shop</v>
      </c>
      <c r="B5" s="44" t="str">
        <f>IF($A5="","",Tiendas!$B11)</f>
        <v>CHRISTIAN</v>
      </c>
      <c r="C5" s="44">
        <f>IF($A5="","",COUNTIFS('DATA ENVIOS'!$B$4:$B$2000,$A5,'DATA ENVIOS'!$A$4:$A$2000,Config!$B$4,'DATA ENVIOS'!$D$4:$D$2000,"Entregado"))</f>
        <v>21</v>
      </c>
      <c r="D5" s="44">
        <f>IF($A5="","",COUNTIFS('DATA ENVIOS'!$B$4:$B$2000,$A5,'DATA ENVIOS'!$A$4:$A$2000,Config!$B$9,'DATA ENVIOS'!$D$4:$D$2000,"Entregado"))</f>
        <v>0</v>
      </c>
      <c r="E5" s="44">
        <f>IF($A5="","",COUNTIFS('DATA ENVIOS'!$B$4:$B$2000,$A5,'DATA ENVIOS'!$A$4:$A$2000,Config!$B$10,'DATA ENVIOS'!$D$4:$D$2000,"Entregado"))</f>
        <v>0</v>
      </c>
      <c r="F5" s="44">
        <f>IF($A5="","",SUMIFS('DATA RECOJOS'!$D$4:$D$201,'DATA RECOJOS'!$B$4:$B$201,$A5,'DATA RECOJOS'!$A$4:$A$201,Config!$B$9))</f>
        <v>0</v>
      </c>
      <c r="G5" s="44">
        <f>IF($A5="","",SUMIFS('DATA RECOJOS'!$D$4:$D$201,'DATA RECOJOS'!$B$4:$B$201,$A5,'DATA RECOJOS'!$A$4:$A$201,Config!$B$10))</f>
        <v>0</v>
      </c>
      <c r="H5" s="44">
        <f t="shared" si="1"/>
        <v>0</v>
      </c>
      <c r="I5" s="44" t="str">
        <f t="shared" si="2"/>
        <v>Lead ganado perdido</v>
      </c>
    </row>
    <row r="6">
      <c r="A6" s="44" t="str">
        <f>IF(Tiendas!$A9="","",Tiendas!$A9)</f>
        <v>speechless_peru</v>
      </c>
      <c r="B6" s="44" t="str">
        <f>IF($A6="","",Tiendas!$B9)</f>
        <v>CHRISTIAN</v>
      </c>
      <c r="C6" s="44">
        <f>IF($A6="","",COUNTIFS('DATA ENVIOS'!$B$4:$B$2000,$A6,'DATA ENVIOS'!$A$4:$A$2000,Config!$B$4,'DATA ENVIOS'!$D$4:$D$2000,"Entregado"))</f>
        <v>2</v>
      </c>
      <c r="D6" s="44">
        <f>IF($A6="","",COUNTIFS('DATA ENVIOS'!$B$4:$B$2000,$A6,'DATA ENVIOS'!$A$4:$A$2000,Config!$B$9,'DATA ENVIOS'!$D$4:$D$2000,"Entregado"))</f>
        <v>0</v>
      </c>
      <c r="E6" s="44">
        <f>IF($A6="","",COUNTIFS('DATA ENVIOS'!$B$4:$B$2000,$A6,'DATA ENVIOS'!$A$4:$A$2000,Config!$B$10,'DATA ENVIOS'!$D$4:$D$2000,"Entregado"))</f>
        <v>0</v>
      </c>
      <c r="F6" s="44">
        <f>IF($A6="","",SUMIFS('DATA RECOJOS'!$D$4:$D$201,'DATA RECOJOS'!$B$4:$B$201,$A6,'DATA RECOJOS'!$A$4:$A$201,Config!$B$9))</f>
        <v>0</v>
      </c>
      <c r="G6" s="44">
        <f>IF($A6="","",SUMIFS('DATA RECOJOS'!$D$4:$D$201,'DATA RECOJOS'!$B$4:$B$201,$A6,'DATA RECOJOS'!$A$4:$A$201,Config!$B$10))</f>
        <v>0</v>
      </c>
      <c r="H6" s="44">
        <f t="shared" si="1"/>
        <v>0</v>
      </c>
      <c r="I6" s="44" t="str">
        <f t="shared" si="2"/>
        <v>Lead ganado perdido</v>
      </c>
    </row>
    <row r="7">
      <c r="A7" s="44" t="str">
        <f>IF(Tiendas!$A38="","",Tiendas!$A38)</f>
        <v>ALTAVIRA</v>
      </c>
      <c r="B7" s="44" t="str">
        <f>IF($A7="","",Tiendas!$B38)</f>
        <v>SANDRA</v>
      </c>
      <c r="C7" s="44">
        <f>IF($A7="","",COUNTIFS('DATA ENVIOS'!$B$4:$B$2000,$A7,'DATA ENVIOS'!$A$4:$A$2000,Config!$B$4,'DATA ENVIOS'!$D$4:$D$2000,"Entregado"))</f>
        <v>7</v>
      </c>
      <c r="D7" s="44">
        <f>IF($A7="","",COUNTIFS('DATA ENVIOS'!$B$4:$B$2000,$A7,'DATA ENVIOS'!$A$4:$A$2000,Config!$B$9,'DATA ENVIOS'!$D$4:$D$2000,"Entregado"))</f>
        <v>0</v>
      </c>
      <c r="E7" s="44">
        <f>IF($A7="","",COUNTIFS('DATA ENVIOS'!$B$4:$B$2000,$A7,'DATA ENVIOS'!$A$4:$A$2000,Config!$B$10,'DATA ENVIOS'!$D$4:$D$2000,"Entregado"))</f>
        <v>0</v>
      </c>
      <c r="F7" s="44">
        <f>IF($A7="","",SUMIFS('DATA RECOJOS'!$D$4:$D$201,'DATA RECOJOS'!$B$4:$B$201,$A7,'DATA RECOJOS'!$A$4:$A$201,Config!$B$9))</f>
        <v>0</v>
      </c>
      <c r="G7" s="44">
        <f>IF($A7="","",SUMIFS('DATA RECOJOS'!$D$4:$D$201,'DATA RECOJOS'!$B$4:$B$201,$A7,'DATA RECOJOS'!$A$4:$A$201,Config!$B$10))</f>
        <v>0</v>
      </c>
      <c r="H7" s="44">
        <f t="shared" si="1"/>
        <v>0</v>
      </c>
      <c r="I7" s="44" t="str">
        <f t="shared" si="2"/>
        <v>Lead ganado perdido</v>
      </c>
    </row>
    <row r="8">
      <c r="A8" s="44" t="str">
        <f>IF(Tiendas!$A6="","",Tiendas!$A6)</f>
        <v>FELIPE AMORIN CABALLERO</v>
      </c>
      <c r="B8" s="44" t="str">
        <f>IF($A8="","",Tiendas!$B6)</f>
        <v>CHRISTIAN</v>
      </c>
      <c r="C8" s="44">
        <f>IF($A8="","",COUNTIFS('DATA ENVIOS'!$B$4:$B$2000,$A8,'DATA ENVIOS'!$A$4:$A$2000,Config!$B$4,'DATA ENVIOS'!$D$4:$D$2000,"Entregado"))</f>
        <v>1</v>
      </c>
      <c r="D8" s="44">
        <f>IF($A8="","",COUNTIFS('DATA ENVIOS'!$B$4:$B$2000,$A8,'DATA ENVIOS'!$A$4:$A$2000,Config!$B$9,'DATA ENVIOS'!$D$4:$D$2000,"Entregado"))</f>
        <v>0</v>
      </c>
      <c r="E8" s="44">
        <f>IF($A8="","",COUNTIFS('DATA ENVIOS'!$B$4:$B$2000,$A8,'DATA ENVIOS'!$A$4:$A$2000,Config!$B$10,'DATA ENVIOS'!$D$4:$D$2000,"Entregado"))</f>
        <v>0</v>
      </c>
      <c r="F8" s="44">
        <f>IF($A8="","",SUMIFS('DATA RECOJOS'!$D$4:$D$201,'DATA RECOJOS'!$B$4:$B$201,$A8,'DATA RECOJOS'!$A$4:$A$201,Config!$B$9))</f>
        <v>0</v>
      </c>
      <c r="G8" s="44">
        <f>IF($A8="","",SUMIFS('DATA RECOJOS'!$D$4:$D$201,'DATA RECOJOS'!$B$4:$B$201,$A8,'DATA RECOJOS'!$A$4:$A$201,Config!$B$10))</f>
        <v>0</v>
      </c>
      <c r="H8" s="44">
        <f t="shared" si="1"/>
        <v>0</v>
      </c>
      <c r="I8" s="44" t="str">
        <f t="shared" si="2"/>
        <v>Lead ganado perdido</v>
      </c>
    </row>
    <row r="9">
      <c r="A9" s="44" t="str">
        <f>IF(Tiendas!$A44="","",Tiendas!$A44)</f>
        <v>Joyería y Relojería Condor</v>
      </c>
      <c r="B9" s="44" t="str">
        <f>IF($A9="","",Tiendas!$B44)</f>
        <v>CHRISTIAN</v>
      </c>
      <c r="C9" s="44">
        <f>IF($A9="","",COUNTIFS('DATA ENVIOS'!$B$4:$B$2000,$A9,'DATA ENVIOS'!$A$4:$A$2000,Config!$B$4,'DATA ENVIOS'!$D$4:$D$2000,"Entregado"))</f>
        <v>1</v>
      </c>
      <c r="D9" s="44">
        <f>IF($A9="","",COUNTIFS('DATA ENVIOS'!$B$4:$B$2000,$A9,'DATA ENVIOS'!$A$4:$A$2000,Config!$B$9,'DATA ENVIOS'!$D$4:$D$2000,"Entregado"))</f>
        <v>0</v>
      </c>
      <c r="E9" s="44">
        <f>IF($A9="","",COUNTIFS('DATA ENVIOS'!$B$4:$B$2000,$A9,'DATA ENVIOS'!$A$4:$A$2000,Config!$B$10,'DATA ENVIOS'!$D$4:$D$2000,"Entregado"))</f>
        <v>0</v>
      </c>
      <c r="F9" s="44">
        <f>IF($A9="","",SUMIFS('DATA RECOJOS'!$D$4:$D$201,'DATA RECOJOS'!$B$4:$B$201,$A9,'DATA RECOJOS'!$A$4:$A$201,Config!$B$9))</f>
        <v>0</v>
      </c>
      <c r="G9" s="44">
        <f>IF($A9="","",SUMIFS('DATA RECOJOS'!$D$4:$D$201,'DATA RECOJOS'!$B$4:$B$201,$A9,'DATA RECOJOS'!$A$4:$A$201,Config!$B$10))</f>
        <v>0</v>
      </c>
      <c r="H9" s="44">
        <f t="shared" si="1"/>
        <v>0</v>
      </c>
      <c r="I9" s="44" t="str">
        <f t="shared" si="2"/>
        <v>Lead ganado perdido</v>
      </c>
    </row>
    <row r="10">
      <c r="A10" s="44" t="str">
        <f>IF(Tiendas!$A45="","",Tiendas!$A45)</f>
        <v>Luixtech Store</v>
      </c>
      <c r="B10" s="44" t="str">
        <f>IF($A10="","",Tiendas!$B45)</f>
        <v>ALEXIS</v>
      </c>
      <c r="C10" s="44">
        <f>IF($A10="","",COUNTIFS('DATA ENVIOS'!$B$4:$B$2000,$A10,'DATA ENVIOS'!$A$4:$A$2000,Config!$B$4,'DATA ENVIOS'!$D$4:$D$2000,"Entregado"))</f>
        <v>2</v>
      </c>
      <c r="D10" s="44">
        <f>IF($A10="","",COUNTIFS('DATA ENVIOS'!$B$4:$B$2000,$A10,'DATA ENVIOS'!$A$4:$A$2000,Config!$B$9,'DATA ENVIOS'!$D$4:$D$2000,"Entregado"))</f>
        <v>0</v>
      </c>
      <c r="E10" s="44">
        <f>IF($A10="","",COUNTIFS('DATA ENVIOS'!$B$4:$B$2000,$A10,'DATA ENVIOS'!$A$4:$A$2000,Config!$B$10,'DATA ENVIOS'!$D$4:$D$2000,"Entregado"))</f>
        <v>0</v>
      </c>
      <c r="F10" s="44">
        <f>IF($A10="","",SUMIFS('DATA RECOJOS'!$D$4:$D$201,'DATA RECOJOS'!$B$4:$B$201,$A10,'DATA RECOJOS'!$A$4:$A$201,Config!$B$9))</f>
        <v>0</v>
      </c>
      <c r="G10" s="44">
        <f>IF($A10="","",SUMIFS('DATA RECOJOS'!$D$4:$D$201,'DATA RECOJOS'!$B$4:$B$201,$A10,'DATA RECOJOS'!$A$4:$A$201,Config!$B$10))</f>
        <v>0</v>
      </c>
      <c r="H10" s="44">
        <f t="shared" si="1"/>
        <v>0</v>
      </c>
      <c r="I10" s="44" t="str">
        <f t="shared" si="2"/>
        <v>Lead ganado perdido</v>
      </c>
    </row>
    <row r="11">
      <c r="A11" s="44" t="str">
        <f>IF(Tiendas!$A60="","",Tiendas!$A60)</f>
        <v>Ozko</v>
      </c>
      <c r="B11" s="44" t="str">
        <f>IF($A11="","",Tiendas!$B60)</f>
        <v>ALEXIS</v>
      </c>
      <c r="C11" s="44">
        <f>IF($A11="","",COUNTIFS('DATA ENVIOS'!$B$4:$B$2000,$A11,'DATA ENVIOS'!$A$4:$A$2000,Config!$B$4,'DATA ENVIOS'!$D$4:$D$2000,"Entregado"))</f>
        <v>3</v>
      </c>
      <c r="D11" s="44">
        <f>IF($A11="","",COUNTIFS('DATA ENVIOS'!$B$4:$B$2000,$A11,'DATA ENVIOS'!$A$4:$A$2000,Config!$B$9,'DATA ENVIOS'!$D$4:$D$2000,"Entregado"))</f>
        <v>0</v>
      </c>
      <c r="E11" s="44">
        <f>IF($A11="","",COUNTIFS('DATA ENVIOS'!$B$4:$B$2000,$A11,'DATA ENVIOS'!$A$4:$A$2000,Config!$B$10,'DATA ENVIOS'!$D$4:$D$2000,"Entregado"))</f>
        <v>0</v>
      </c>
      <c r="F11" s="44">
        <f>IF($A11="","",SUMIFS('DATA RECOJOS'!$D$4:$D$201,'DATA RECOJOS'!$B$4:$B$201,$A11,'DATA RECOJOS'!$A$4:$A$201,Config!$B$9))</f>
        <v>0</v>
      </c>
      <c r="G11" s="44">
        <f>IF($A11="","",SUMIFS('DATA RECOJOS'!$D$4:$D$201,'DATA RECOJOS'!$B$4:$B$201,$A11,'DATA RECOJOS'!$A$4:$A$201,Config!$B$10))</f>
        <v>0</v>
      </c>
      <c r="H11" s="44">
        <f t="shared" si="1"/>
        <v>0</v>
      </c>
      <c r="I11" s="44" t="str">
        <f t="shared" si="2"/>
        <v>Lead ganado perdido</v>
      </c>
    </row>
    <row r="12">
      <c r="A12" s="44" t="str">
        <f>IF(Tiendas!$A28="","",Tiendas!$A28)</f>
        <v>Joyeria Siberiana</v>
      </c>
      <c r="B12" s="44" t="str">
        <f>IF($A12="","",Tiendas!$B28)</f>
        <v>SEBASTIAN</v>
      </c>
      <c r="C12" s="44">
        <f>IF($A12="","",COUNTIFS('DATA ENVIOS'!$B$4:$B$2000,$A12,'DATA ENVIOS'!$A$4:$A$2000,Config!$B$4,'DATA ENVIOS'!$D$4:$D$2000,"Entregado"))</f>
        <v>1</v>
      </c>
      <c r="D12" s="44">
        <f>IF($A12="","",COUNTIFS('DATA ENVIOS'!$B$4:$B$2000,$A12,'DATA ENVIOS'!$A$4:$A$2000,Config!$B$9,'DATA ENVIOS'!$D$4:$D$2000,"Entregado"))</f>
        <v>0</v>
      </c>
      <c r="E12" s="44">
        <f>IF($A12="","",COUNTIFS('DATA ENVIOS'!$B$4:$B$2000,$A12,'DATA ENVIOS'!$A$4:$A$2000,Config!$B$10,'DATA ENVIOS'!$D$4:$D$2000,"Entregado"))</f>
        <v>0</v>
      </c>
      <c r="F12" s="44">
        <f>IF($A12="","",SUMIFS('DATA RECOJOS'!$D$4:$D$201,'DATA RECOJOS'!$B$4:$B$201,$A12,'DATA RECOJOS'!$A$4:$A$201,Config!$B$9))</f>
        <v>0</v>
      </c>
      <c r="G12" s="44">
        <f>IF($A12="","",SUMIFS('DATA RECOJOS'!$D$4:$D$201,'DATA RECOJOS'!$B$4:$B$201,$A12,'DATA RECOJOS'!$A$4:$A$201,Config!$B$10))</f>
        <v>0</v>
      </c>
      <c r="H12" s="44">
        <f t="shared" si="1"/>
        <v>0</v>
      </c>
      <c r="I12" s="44" t="str">
        <f t="shared" si="2"/>
        <v>Lead ganado perdido</v>
      </c>
    </row>
    <row r="13">
      <c r="A13" s="44" t="str">
        <f>IF(Tiendas!$A16="","",Tiendas!$A16)</f>
        <v>Dmarc Gafas exclusivas</v>
      </c>
      <c r="B13" s="44" t="str">
        <f>IF($A13="","",Tiendas!$B16)</f>
        <v>SANDRA</v>
      </c>
      <c r="C13" s="44">
        <f>IF($A13="","",COUNTIFS('DATA ENVIOS'!$B$4:$B$2000,$A13,'DATA ENVIOS'!$A$4:$A$2000,Config!$B$4,'DATA ENVIOS'!$D$4:$D$2000,"Entregado"))</f>
        <v>2</v>
      </c>
      <c r="D13" s="44">
        <f>IF($A13="","",COUNTIFS('DATA ENVIOS'!$B$4:$B$2000,$A13,'DATA ENVIOS'!$A$4:$A$2000,Config!$B$9,'DATA ENVIOS'!$D$4:$D$2000,"Entregado"))</f>
        <v>0</v>
      </c>
      <c r="E13" s="44">
        <f>IF($A13="","",COUNTIFS('DATA ENVIOS'!$B$4:$B$2000,$A13,'DATA ENVIOS'!$A$4:$A$2000,Config!$B$10,'DATA ENVIOS'!$D$4:$D$2000,"Entregado"))</f>
        <v>0</v>
      </c>
      <c r="F13" s="44">
        <f>IF($A13="","",SUMIFS('DATA RECOJOS'!$D$4:$D$201,'DATA RECOJOS'!$B$4:$B$201,$A13,'DATA RECOJOS'!$A$4:$A$201,Config!$B$9))</f>
        <v>0</v>
      </c>
      <c r="G13" s="44">
        <f>IF($A13="","",SUMIFS('DATA RECOJOS'!$D$4:$D$201,'DATA RECOJOS'!$B$4:$B$201,$A13,'DATA RECOJOS'!$A$4:$A$201,Config!$B$10))</f>
        <v>0</v>
      </c>
      <c r="H13" s="44">
        <f t="shared" si="1"/>
        <v>0</v>
      </c>
      <c r="I13" s="44" t="str">
        <f t="shared" si="2"/>
        <v>Lead ganado perdido</v>
      </c>
    </row>
    <row r="14">
      <c r="A14" s="44" t="str">
        <f>IF(Tiendas!$A10="","",Tiendas!$A10)</f>
        <v>Fame shop</v>
      </c>
      <c r="B14" s="44" t="str">
        <f>IF($A14="","",Tiendas!$B10)</f>
        <v>CHRISTIAN</v>
      </c>
      <c r="C14" s="44">
        <f>IF($A14="","",COUNTIFS('DATA ENVIOS'!$B$4:$B$2000,$A14,'DATA ENVIOS'!$A$4:$A$2000,Config!$B$4,'DATA ENVIOS'!$D$4:$D$2000,"Entregado"))</f>
        <v>9</v>
      </c>
      <c r="D14" s="44">
        <f>IF($A14="","",COUNTIFS('DATA ENVIOS'!$B$4:$B$2000,$A14,'DATA ENVIOS'!$A$4:$A$2000,Config!$B$9,'DATA ENVIOS'!$D$4:$D$2000,"Entregado"))</f>
        <v>0</v>
      </c>
      <c r="E14" s="44">
        <f>IF($A14="","",COUNTIFS('DATA ENVIOS'!$B$4:$B$2000,$A14,'DATA ENVIOS'!$A$4:$A$2000,Config!$B$10,'DATA ENVIOS'!$D$4:$D$2000,"Entregado"))</f>
        <v>0</v>
      </c>
      <c r="F14" s="44">
        <f>IF($A14="","",SUMIFS('DATA RECOJOS'!$D$4:$D$201,'DATA RECOJOS'!$B$4:$B$201,$A14,'DATA RECOJOS'!$A$4:$A$201,Config!$B$9))</f>
        <v>0</v>
      </c>
      <c r="G14" s="44">
        <f>IF($A14="","",SUMIFS('DATA RECOJOS'!$D$4:$D$201,'DATA RECOJOS'!$B$4:$B$201,$A14,'DATA RECOJOS'!$A$4:$A$201,Config!$B$10))</f>
        <v>0</v>
      </c>
      <c r="H14" s="44">
        <f t="shared" si="1"/>
        <v>0</v>
      </c>
      <c r="I14" s="44" t="str">
        <f t="shared" si="2"/>
        <v>Lead ganado perdido</v>
      </c>
    </row>
    <row r="15">
      <c r="A15" s="44" t="str">
        <f>IF(Tiendas!$A14="","",Tiendas!$A14)</f>
        <v>Lune Atelier</v>
      </c>
      <c r="B15" s="44" t="str">
        <f>IF($A15="","",Tiendas!$B14)</f>
        <v>JORDAN</v>
      </c>
      <c r="C15" s="44">
        <f>IF($A15="","",COUNTIFS('DATA ENVIOS'!$B$4:$B$2000,$A15,'DATA ENVIOS'!$A$4:$A$2000,Config!$B$4,'DATA ENVIOS'!$D$4:$D$2000,"Entregado"))</f>
        <v>4</v>
      </c>
      <c r="D15" s="44">
        <f>IF($A15="","",COUNTIFS('DATA ENVIOS'!$B$4:$B$2000,$A15,'DATA ENVIOS'!$A$4:$A$2000,Config!$B$9,'DATA ENVIOS'!$D$4:$D$2000,"Entregado"))</f>
        <v>0</v>
      </c>
      <c r="E15" s="44">
        <f>IF($A15="","",COUNTIFS('DATA ENVIOS'!$B$4:$B$2000,$A15,'DATA ENVIOS'!$A$4:$A$2000,Config!$B$10,'DATA ENVIOS'!$D$4:$D$2000,"Entregado"))</f>
        <v>0</v>
      </c>
      <c r="F15" s="44">
        <f>IF($A15="","",SUMIFS('DATA RECOJOS'!$D$4:$D$201,'DATA RECOJOS'!$B$4:$B$201,$A15,'DATA RECOJOS'!$A$4:$A$201,Config!$B$9))</f>
        <v>0</v>
      </c>
      <c r="G15" s="44">
        <f>IF($A15="","",SUMIFS('DATA RECOJOS'!$D$4:$D$201,'DATA RECOJOS'!$B$4:$B$201,$A15,'DATA RECOJOS'!$A$4:$A$201,Config!$B$10))</f>
        <v>0</v>
      </c>
      <c r="H15" s="44">
        <f t="shared" si="1"/>
        <v>0</v>
      </c>
      <c r="I15" s="44" t="str">
        <f t="shared" si="2"/>
        <v>Lead ganado perdido</v>
      </c>
    </row>
    <row r="16">
      <c r="A16" s="44" t="str">
        <f>IF(Tiendas!$A5="","",Tiendas!$A5)</f>
        <v>Seralta</v>
      </c>
      <c r="B16" s="44" t="str">
        <f>IF($A16="","",Tiendas!$B5)</f>
        <v>ALEXIS</v>
      </c>
      <c r="C16" s="44">
        <f>IF($A16="","",COUNTIFS('DATA ENVIOS'!$B$4:$B$2000,$A16,'DATA ENVIOS'!$A$4:$A$2000,Config!$B$4,'DATA ENVIOS'!$D$4:$D$2000,"Entregado"))</f>
        <v>66</v>
      </c>
      <c r="D16" s="44">
        <f>IF($A16="","",COUNTIFS('DATA ENVIOS'!$B$4:$B$2000,$A16,'DATA ENVIOS'!$A$4:$A$2000,Config!$B$9,'DATA ENVIOS'!$D$4:$D$2000,"Entregado"))</f>
        <v>0</v>
      </c>
      <c r="E16" s="44">
        <f>IF($A16="","",COUNTIFS('DATA ENVIOS'!$B$4:$B$2000,$A16,'DATA ENVIOS'!$A$4:$A$2000,Config!$B$10,'DATA ENVIOS'!$D$4:$D$2000,"Entregado"))</f>
        <v>0</v>
      </c>
      <c r="F16" s="44">
        <f>IF($A16="","",SUMIFS('DATA RECOJOS'!$D$4:$D$201,'DATA RECOJOS'!$B$4:$B$201,$A16,'DATA RECOJOS'!$A$4:$A$201,Config!$B$9))</f>
        <v>0</v>
      </c>
      <c r="G16" s="44">
        <f>IF($A16="","",SUMIFS('DATA RECOJOS'!$D$4:$D$201,'DATA RECOJOS'!$B$4:$B$201,$A16,'DATA RECOJOS'!$A$4:$A$201,Config!$B$10))</f>
        <v>0</v>
      </c>
      <c r="H16" s="44">
        <f t="shared" si="1"/>
        <v>0</v>
      </c>
      <c r="I16" s="44" t="str">
        <f t="shared" si="2"/>
        <v>Lead ganado perdido</v>
      </c>
    </row>
    <row r="17">
      <c r="A17" s="44" t="str">
        <f>IF(Tiendas!$A33="","",Tiendas!$A33)</f>
        <v>Izinova store Perú</v>
      </c>
      <c r="B17" s="44" t="str">
        <f>IF($A17="","",Tiendas!$B33)</f>
        <v>SANDRA</v>
      </c>
      <c r="C17" s="44">
        <f>IF($A17="","",COUNTIFS('DATA ENVIOS'!$B$4:$B$2000,$A17,'DATA ENVIOS'!$A$4:$A$2000,Config!$B$4,'DATA ENVIOS'!$D$4:$D$2000,"Entregado"))</f>
        <v>12</v>
      </c>
      <c r="D17" s="44">
        <f>IF($A17="","",COUNTIFS('DATA ENVIOS'!$B$4:$B$2000,$A17,'DATA ENVIOS'!$A$4:$A$2000,Config!$B$9,'DATA ENVIOS'!$D$4:$D$2000,"Entregado"))</f>
        <v>0</v>
      </c>
      <c r="E17" s="44">
        <f>IF($A17="","",COUNTIFS('DATA ENVIOS'!$B$4:$B$2000,$A17,'DATA ENVIOS'!$A$4:$A$2000,Config!$B$10,'DATA ENVIOS'!$D$4:$D$2000,"Entregado"))</f>
        <v>0</v>
      </c>
      <c r="F17" s="44">
        <f>IF($A17="","",SUMIFS('DATA RECOJOS'!$D$4:$D$201,'DATA RECOJOS'!$B$4:$B$201,$A17,'DATA RECOJOS'!$A$4:$A$201,Config!$B$9))</f>
        <v>0</v>
      </c>
      <c r="G17" s="44">
        <f>IF($A17="","",SUMIFS('DATA RECOJOS'!$D$4:$D$201,'DATA RECOJOS'!$B$4:$B$201,$A17,'DATA RECOJOS'!$A$4:$A$201,Config!$B$10))</f>
        <v>0</v>
      </c>
      <c r="H17" s="44">
        <f t="shared" si="1"/>
        <v>0</v>
      </c>
      <c r="I17" s="44" t="str">
        <f t="shared" si="2"/>
        <v>Lead ganado perdido</v>
      </c>
    </row>
    <row r="18">
      <c r="A18" s="44" t="str">
        <f>IF(Tiendas!$A7="","",Tiendas!$A7)</f>
        <v>Vrillita</v>
      </c>
      <c r="B18" s="44" t="str">
        <f>IF($A18="","",Tiendas!$B7)</f>
        <v>CHRISTIAN</v>
      </c>
      <c r="C18" s="44">
        <f>IF($A18="","",COUNTIFS('DATA ENVIOS'!$B$4:$B$2000,$A18,'DATA ENVIOS'!$A$4:$A$2000,Config!$B$4,'DATA ENVIOS'!$D$4:$D$2000,"Entregado"))</f>
        <v>1</v>
      </c>
      <c r="D18" s="44">
        <f>IF($A18="","",COUNTIFS('DATA ENVIOS'!$B$4:$B$2000,$A18,'DATA ENVIOS'!$A$4:$A$2000,Config!$B$9,'DATA ENVIOS'!$D$4:$D$2000,"Entregado"))</f>
        <v>0</v>
      </c>
      <c r="E18" s="44">
        <f>IF($A18="","",COUNTIFS('DATA ENVIOS'!$B$4:$B$2000,$A18,'DATA ENVIOS'!$A$4:$A$2000,Config!$B$10,'DATA ENVIOS'!$D$4:$D$2000,"Entregado"))</f>
        <v>0</v>
      </c>
      <c r="F18" s="44">
        <f>IF($A18="","",SUMIFS('DATA RECOJOS'!$D$4:$D$201,'DATA RECOJOS'!$B$4:$B$201,$A18,'DATA RECOJOS'!$A$4:$A$201,Config!$B$9))</f>
        <v>0</v>
      </c>
      <c r="G18" s="44">
        <f>IF($A18="","",SUMIFS('DATA RECOJOS'!$D$4:$D$201,'DATA RECOJOS'!$B$4:$B$201,$A18,'DATA RECOJOS'!$A$4:$A$201,Config!$B$10))</f>
        <v>0</v>
      </c>
      <c r="H18" s="44">
        <f t="shared" si="1"/>
        <v>0</v>
      </c>
      <c r="I18" s="44" t="str">
        <f t="shared" si="2"/>
        <v>Lead ganado perdido</v>
      </c>
    </row>
    <row r="19">
      <c r="A19" s="44" t="str">
        <f>IF(Tiendas!$A57="","",Tiendas!$A57)</f>
        <v>Ponte Bacán</v>
      </c>
      <c r="B19" s="44" t="str">
        <f>IF($A19="","",Tiendas!$B57)</f>
        <v>ALEXIS</v>
      </c>
      <c r="C19" s="44">
        <f>IF($A19="","",COUNTIFS('DATA ENVIOS'!$B$4:$B$2000,$A19,'DATA ENVIOS'!$A$4:$A$2000,Config!$B$4,'DATA ENVIOS'!$D$4:$D$2000,"Entregado"))</f>
        <v>10</v>
      </c>
      <c r="D19" s="44">
        <f>IF($A19="","",COUNTIFS('DATA ENVIOS'!$B$4:$B$2000,$A19,'DATA ENVIOS'!$A$4:$A$2000,Config!$B$9,'DATA ENVIOS'!$D$4:$D$2000,"Entregado"))</f>
        <v>0</v>
      </c>
      <c r="E19" s="44">
        <f>IF($A19="","",COUNTIFS('DATA ENVIOS'!$B$4:$B$2000,$A19,'DATA ENVIOS'!$A$4:$A$2000,Config!$B$10,'DATA ENVIOS'!$D$4:$D$2000,"Entregado"))</f>
        <v>0</v>
      </c>
      <c r="F19" s="44">
        <f>IF($A19="","",SUMIFS('DATA RECOJOS'!$D$4:$D$201,'DATA RECOJOS'!$B$4:$B$201,$A19,'DATA RECOJOS'!$A$4:$A$201,Config!$B$9))</f>
        <v>0</v>
      </c>
      <c r="G19" s="44">
        <f>IF($A19="","",SUMIFS('DATA RECOJOS'!$D$4:$D$201,'DATA RECOJOS'!$B$4:$B$201,$A19,'DATA RECOJOS'!$A$4:$A$201,Config!$B$10))</f>
        <v>0</v>
      </c>
      <c r="H19" s="44">
        <f t="shared" si="1"/>
        <v>0</v>
      </c>
      <c r="I19" s="44" t="str">
        <f t="shared" si="2"/>
        <v>Lead ganado perdido</v>
      </c>
    </row>
    <row r="20" ht="15.75" customHeight="1">
      <c r="A20" s="44" t="str">
        <f>IF(Tiendas!$A49="","",Tiendas!$A49)</f>
        <v>Greeh gar</v>
      </c>
      <c r="B20" s="44" t="str">
        <f>IF($A20="","",Tiendas!$B49)</f>
        <v>CHRISTIAN</v>
      </c>
      <c r="C20" s="44">
        <f>IF($A20="","",COUNTIFS('DATA ENVIOS'!$B$4:$B$2000,$A20,'DATA ENVIOS'!$A$4:$A$2000,Config!$B$4,'DATA ENVIOS'!$D$4:$D$2000,"Entregado"))</f>
        <v>1</v>
      </c>
      <c r="D20" s="44">
        <f>IF($A20="","",COUNTIFS('DATA ENVIOS'!$B$4:$B$2000,$A20,'DATA ENVIOS'!$A$4:$A$2000,Config!$B$9,'DATA ENVIOS'!$D$4:$D$2000,"Entregado"))</f>
        <v>0</v>
      </c>
      <c r="E20" s="44">
        <f>IF($A20="","",COUNTIFS('DATA ENVIOS'!$B$4:$B$2000,$A20,'DATA ENVIOS'!$A$4:$A$2000,Config!$B$10,'DATA ENVIOS'!$D$4:$D$2000,"Entregado"))</f>
        <v>0</v>
      </c>
      <c r="F20" s="44">
        <f>IF($A20="","",SUMIFS('DATA RECOJOS'!$D$4:$D$201,'DATA RECOJOS'!$B$4:$B$201,$A20,'DATA RECOJOS'!$A$4:$A$201,Config!$B$9))</f>
        <v>0</v>
      </c>
      <c r="G20" s="44">
        <f>IF($A20="","",SUMIFS('DATA RECOJOS'!$D$4:$D$201,'DATA RECOJOS'!$B$4:$B$201,$A20,'DATA RECOJOS'!$A$4:$A$201,Config!$B$10))</f>
        <v>0</v>
      </c>
      <c r="H20" s="44">
        <f t="shared" si="1"/>
        <v>0</v>
      </c>
      <c r="I20" s="44" t="str">
        <f t="shared" si="2"/>
        <v>Lead ganado perdido</v>
      </c>
    </row>
    <row r="21" ht="15.75" customHeight="1">
      <c r="A21" s="48" t="str">
        <f>IF(Tiendas!$A54="","",Tiendas!$A54)</f>
        <v>GAMONA</v>
      </c>
      <c r="B21" s="44" t="str">
        <f>IF($A21="","",Tiendas!$B54)</f>
        <v>CHRISTIAN</v>
      </c>
      <c r="C21" s="44">
        <f>IF($A21="","",COUNTIFS('DATA ENVIOS'!$B$4:$B$2000,$A21,'DATA ENVIOS'!$A$4:$A$2000,Config!$B$4,'DATA ENVIOS'!$D$4:$D$2000,"Entregado"))</f>
        <v>1</v>
      </c>
      <c r="D21" s="44">
        <f>IF($A21="","",COUNTIFS('DATA ENVIOS'!$B$4:$B$2000,$A21,'DATA ENVIOS'!$A$4:$A$2000,Config!$B$9,'DATA ENVIOS'!$D$4:$D$2000,"Entregado"))</f>
        <v>0</v>
      </c>
      <c r="E21" s="44">
        <f>IF($A21="","",COUNTIFS('DATA ENVIOS'!$B$4:$B$2000,$A21,'DATA ENVIOS'!$A$4:$A$2000,Config!$B$10,'DATA ENVIOS'!$D$4:$D$2000,"Entregado"))</f>
        <v>0</v>
      </c>
      <c r="F21" s="44">
        <f>IF($A21="","",SUMIFS('DATA RECOJOS'!$D$4:$D$201,'DATA RECOJOS'!$B$4:$B$201,$A21,'DATA RECOJOS'!$A$4:$A$201,Config!$B$9))</f>
        <v>0</v>
      </c>
      <c r="G21" s="44">
        <f>IF($A21="","",SUMIFS('DATA RECOJOS'!$D$4:$D$201,'DATA RECOJOS'!$B$4:$B$201,$A21,'DATA RECOJOS'!$A$4:$A$201,Config!$B$10))</f>
        <v>0</v>
      </c>
      <c r="H21" s="44">
        <f t="shared" si="1"/>
        <v>0</v>
      </c>
      <c r="I21" s="44" t="str">
        <f t="shared" si="2"/>
        <v>Lead ganado perdido</v>
      </c>
    </row>
    <row r="22" ht="15.75" customHeight="1">
      <c r="A22" s="44" t="str">
        <f>IF(Tiendas!$A61="","",Tiendas!$A61)</f>
        <v>Emerald</v>
      </c>
      <c r="B22" s="44" t="str">
        <f>IF($A22="","",Tiendas!$B61)</f>
        <v>ALEXIS</v>
      </c>
      <c r="C22" s="44">
        <f>IF($A22="","",COUNTIFS('DATA ENVIOS'!$B$4:$B$2000,$A22,'DATA ENVIOS'!$A$4:$A$2000,Config!$B$4,'DATA ENVIOS'!$D$4:$D$2000,"Entregado"))</f>
        <v>2</v>
      </c>
      <c r="D22" s="44">
        <f>IF($A22="","",COUNTIFS('DATA ENVIOS'!$B$4:$B$2000,$A22,'DATA ENVIOS'!$A$4:$A$2000,Config!$B$9,'DATA ENVIOS'!$D$4:$D$2000,"Entregado"))</f>
        <v>0</v>
      </c>
      <c r="E22" s="44">
        <f>IF($A22="","",COUNTIFS('DATA ENVIOS'!$B$4:$B$2000,$A22,'DATA ENVIOS'!$A$4:$A$2000,Config!$B$10,'DATA ENVIOS'!$D$4:$D$2000,"Entregado"))</f>
        <v>0</v>
      </c>
      <c r="F22" s="44">
        <f>IF($A22="","",SUMIFS('DATA RECOJOS'!$D$4:$D$201,'DATA RECOJOS'!$B$4:$B$201,$A22,'DATA RECOJOS'!$A$4:$A$201,Config!$B$9))</f>
        <v>0</v>
      </c>
      <c r="G22" s="44">
        <f>IF($A22="","",SUMIFS('DATA RECOJOS'!$D$4:$D$201,'DATA RECOJOS'!$B$4:$B$201,$A22,'DATA RECOJOS'!$A$4:$A$201,Config!$B$10))</f>
        <v>0</v>
      </c>
      <c r="H22" s="44">
        <f t="shared" si="1"/>
        <v>0</v>
      </c>
      <c r="I22" s="44" t="str">
        <f t="shared" si="2"/>
        <v>Lead ganado perdido</v>
      </c>
    </row>
    <row r="23" ht="15.75" customHeight="1">
      <c r="A23" s="44" t="str">
        <f>IF(Tiendas!$A8="","",Tiendas!$A8)</f>
        <v>Tiens By Lucy</v>
      </c>
      <c r="B23" s="44" t="str">
        <f>IF($A23="","",Tiendas!$B8)</f>
        <v>CHRISTIAN</v>
      </c>
      <c r="C23" s="44">
        <f>IF($A23="","",COUNTIFS('DATA ENVIOS'!$B$4:$B$2000,$A23,'DATA ENVIOS'!$A$4:$A$2000,Config!$B$4,'DATA ENVIOS'!$D$4:$D$2000,"Entregado"))</f>
        <v>1</v>
      </c>
      <c r="D23" s="44">
        <f>IF($A23="","",COUNTIFS('DATA ENVIOS'!$B$4:$B$2000,$A23,'DATA ENVIOS'!$A$4:$A$2000,Config!$B$9,'DATA ENVIOS'!$D$4:$D$2000,"Entregado"))</f>
        <v>0</v>
      </c>
      <c r="E23" s="44">
        <f>IF($A23="","",COUNTIFS('DATA ENVIOS'!$B$4:$B$2000,$A23,'DATA ENVIOS'!$A$4:$A$2000,Config!$B$10,'DATA ENVIOS'!$D$4:$D$2000,"Entregado"))</f>
        <v>0</v>
      </c>
      <c r="F23" s="44">
        <f>IF($A23="","",SUMIFS('DATA RECOJOS'!$D$4:$D$201,'DATA RECOJOS'!$B$4:$B$201,$A23,'DATA RECOJOS'!$A$4:$A$201,Config!$B$9))</f>
        <v>0</v>
      </c>
      <c r="G23" s="44">
        <f>IF($A23="","",SUMIFS('DATA RECOJOS'!$D$4:$D$201,'DATA RECOJOS'!$B$4:$B$201,$A23,'DATA RECOJOS'!$A$4:$A$201,Config!$B$10))</f>
        <v>0</v>
      </c>
      <c r="H23" s="44">
        <f t="shared" si="1"/>
        <v>0</v>
      </c>
      <c r="I23" s="44" t="str">
        <f t="shared" si="2"/>
        <v>Lead ganado perdido</v>
      </c>
    </row>
    <row r="24" ht="15.75" customHeight="1">
      <c r="A24" s="44" t="str">
        <f>IF(Tiendas!$A31="","",Tiendas!$A31)</f>
        <v>Verveo</v>
      </c>
      <c r="B24" s="44" t="str">
        <f>IF($A24="","",Tiendas!$B31)</f>
        <v>JORDAN</v>
      </c>
      <c r="C24" s="44">
        <f>IF($A24="","",COUNTIFS('DATA ENVIOS'!$B$4:$B$2000,$A24,'DATA ENVIOS'!$A$4:$A$2000,Config!$B$4,'DATA ENVIOS'!$D$4:$D$2000,"Entregado"))</f>
        <v>1</v>
      </c>
      <c r="D24" s="44">
        <f>IF($A24="","",COUNTIFS('DATA ENVIOS'!$B$4:$B$2000,$A24,'DATA ENVIOS'!$A$4:$A$2000,Config!$B$9,'DATA ENVIOS'!$D$4:$D$2000,"Entregado"))</f>
        <v>0</v>
      </c>
      <c r="E24" s="44">
        <f>IF($A24="","",COUNTIFS('DATA ENVIOS'!$B$4:$B$2000,$A24,'DATA ENVIOS'!$A$4:$A$2000,Config!$B$10,'DATA ENVIOS'!$D$4:$D$2000,"Entregado"))</f>
        <v>0</v>
      </c>
      <c r="F24" s="44">
        <f>IF($A24="","",SUMIFS('DATA RECOJOS'!$D$4:$D$201,'DATA RECOJOS'!$B$4:$B$201,$A24,'DATA RECOJOS'!$A$4:$A$201,Config!$B$9))</f>
        <v>0</v>
      </c>
      <c r="G24" s="44">
        <f>IF($A24="","",SUMIFS('DATA RECOJOS'!$D$4:$D$201,'DATA RECOJOS'!$B$4:$B$201,$A24,'DATA RECOJOS'!$A$4:$A$201,Config!$B$10))</f>
        <v>0</v>
      </c>
      <c r="H24" s="44">
        <f t="shared" si="1"/>
        <v>0</v>
      </c>
      <c r="I24" s="44" t="str">
        <f t="shared" si="2"/>
        <v>Lead ganado perdido</v>
      </c>
    </row>
    <row r="25" ht="15.75" customHeight="1">
      <c r="A25" s="44" t="str">
        <f>IF(Tiendas!$A46="","",Tiendas!$A46)</f>
        <v>MonoCar</v>
      </c>
      <c r="B25" s="44" t="str">
        <f>IF($A25="","",Tiendas!$B46)</f>
        <v>CHRISTIAN</v>
      </c>
      <c r="C25" s="44">
        <f>IF($A25="","",COUNTIFS('DATA ENVIOS'!$B$4:$B$2000,$A25,'DATA ENVIOS'!$A$4:$A$2000,Config!$B$4,'DATA ENVIOS'!$D$4:$D$2000,"Entregado"))</f>
        <v>81</v>
      </c>
      <c r="D25" s="44">
        <f>IF($A25="","",COUNTIFS('DATA ENVIOS'!$B$4:$B$2000,$A25,'DATA ENVIOS'!$A$4:$A$2000,Config!$B$9,'DATA ENVIOS'!$D$4:$D$2000,"Entregado"))</f>
        <v>0</v>
      </c>
      <c r="E25" s="44">
        <f>IF($A25="","",COUNTIFS('DATA ENVIOS'!$B$4:$B$2000,$A25,'DATA ENVIOS'!$A$4:$A$2000,Config!$B$10,'DATA ENVIOS'!$D$4:$D$2000,"Entregado"))</f>
        <v>0</v>
      </c>
      <c r="F25" s="44">
        <f>IF($A25="","",SUMIFS('DATA RECOJOS'!$D$4:$D$201,'DATA RECOJOS'!$B$4:$B$201,$A25,'DATA RECOJOS'!$A$4:$A$201,Config!$B$9))</f>
        <v>0</v>
      </c>
      <c r="G25" s="44">
        <f>IF($A25="","",SUMIFS('DATA RECOJOS'!$D$4:$D$201,'DATA RECOJOS'!$B$4:$B$201,$A25,'DATA RECOJOS'!$A$4:$A$201,Config!$B$10))</f>
        <v>0</v>
      </c>
      <c r="H25" s="44">
        <f t="shared" si="1"/>
        <v>0</v>
      </c>
      <c r="I25" s="44" t="str">
        <f t="shared" si="2"/>
        <v>Lead ganado perdido</v>
      </c>
    </row>
    <row r="26" ht="15.75" customHeight="1">
      <c r="A26" s="44" t="str">
        <f>IF(Tiendas!$A12="","",Tiendas!$A12)</f>
        <v>Industrias Osorio</v>
      </c>
      <c r="B26" s="44" t="str">
        <f>IF($A26="","",Tiendas!$B12)</f>
        <v>JORDAN</v>
      </c>
      <c r="C26" s="44">
        <f>IF($A26="","",COUNTIFS('DATA ENVIOS'!$B$4:$B$2000,$A26,'DATA ENVIOS'!$A$4:$A$2000,Config!$B$4,'DATA ENVIOS'!$D$4:$D$2000,"Entregado"))</f>
        <v>1</v>
      </c>
      <c r="D26" s="44">
        <f>IF($A26="","",COUNTIFS('DATA ENVIOS'!$B$4:$B$2000,$A26,'DATA ENVIOS'!$A$4:$A$2000,Config!$B$9,'DATA ENVIOS'!$D$4:$D$2000,"Entregado"))</f>
        <v>0</v>
      </c>
      <c r="E26" s="44">
        <f>IF($A26="","",COUNTIFS('DATA ENVIOS'!$B$4:$B$2000,$A26,'DATA ENVIOS'!$A$4:$A$2000,Config!$B$10,'DATA ENVIOS'!$D$4:$D$2000,"Entregado"))</f>
        <v>0</v>
      </c>
      <c r="F26" s="44">
        <f>IF($A26="","",SUMIFS('DATA RECOJOS'!$D$4:$D$201,'DATA RECOJOS'!$B$4:$B$201,$A26,'DATA RECOJOS'!$A$4:$A$201,Config!$B$9))</f>
        <v>0</v>
      </c>
      <c r="G26" s="44">
        <f>IF($A26="","",SUMIFS('DATA RECOJOS'!$D$4:$D$201,'DATA RECOJOS'!$B$4:$B$201,$A26,'DATA RECOJOS'!$A$4:$A$201,Config!$B$10))</f>
        <v>0</v>
      </c>
      <c r="H26" s="44">
        <f t="shared" si="1"/>
        <v>0</v>
      </c>
      <c r="I26" s="44" t="str">
        <f t="shared" si="2"/>
        <v>Lead ganado perdido</v>
      </c>
    </row>
    <row r="27" ht="15.75" customHeight="1">
      <c r="A27" s="44" t="str">
        <f>IF(Tiendas!$A39="","",Tiendas!$A39)</f>
        <v>MC ORIGINALS</v>
      </c>
      <c r="B27" s="44" t="str">
        <f>IF($A27="","",Tiendas!$B39)</f>
        <v>SEBASTIAN</v>
      </c>
      <c r="C27" s="44">
        <f>IF($A27="","",COUNTIFS('DATA ENVIOS'!$B$4:$B$2000,$A27,'DATA ENVIOS'!$A$4:$A$2000,Config!$B$4,'DATA ENVIOS'!$D$4:$D$2000,"Entregado"))</f>
        <v>1</v>
      </c>
      <c r="D27" s="44">
        <f>IF($A27="","",COUNTIFS('DATA ENVIOS'!$B$4:$B$2000,$A27,'DATA ENVIOS'!$A$4:$A$2000,Config!$B$9,'DATA ENVIOS'!$D$4:$D$2000,"Entregado"))</f>
        <v>0</v>
      </c>
      <c r="E27" s="44">
        <f>IF($A27="","",COUNTIFS('DATA ENVIOS'!$B$4:$B$2000,$A27,'DATA ENVIOS'!$A$4:$A$2000,Config!$B$10,'DATA ENVIOS'!$D$4:$D$2000,"Entregado"))</f>
        <v>0</v>
      </c>
      <c r="F27" s="44">
        <f>IF($A27="","",SUMIFS('DATA RECOJOS'!$D$4:$D$201,'DATA RECOJOS'!$B$4:$B$201,$A27,'DATA RECOJOS'!$A$4:$A$201,Config!$B$9))</f>
        <v>0</v>
      </c>
      <c r="G27" s="44">
        <f>IF($A27="","",SUMIFS('DATA RECOJOS'!$D$4:$D$201,'DATA RECOJOS'!$B$4:$B$201,$A27,'DATA RECOJOS'!$A$4:$A$201,Config!$B$10))</f>
        <v>0</v>
      </c>
      <c r="H27" s="44">
        <f t="shared" si="1"/>
        <v>0</v>
      </c>
      <c r="I27" s="44" t="str">
        <f t="shared" si="2"/>
        <v>Lead ganado perdido</v>
      </c>
    </row>
    <row r="28" ht="15.75" customHeight="1">
      <c r="A28" s="44" t="str">
        <f>IF(Tiendas!$A47="","",Tiendas!$A47)</f>
        <v>Hesla Import</v>
      </c>
      <c r="B28" s="44" t="str">
        <f>IF($A28="","",Tiendas!$B47)</f>
        <v>ALEXIS</v>
      </c>
      <c r="C28" s="44">
        <f>IF($A28="","",COUNTIFS('DATA ENVIOS'!$B$4:$B$2000,$A28,'DATA ENVIOS'!$A$4:$A$2000,Config!$B$4,'DATA ENVIOS'!$D$4:$D$2000,"Entregado"))</f>
        <v>16</v>
      </c>
      <c r="D28" s="44">
        <f>IF($A28="","",COUNTIFS('DATA ENVIOS'!$B$4:$B$2000,$A28,'DATA ENVIOS'!$A$4:$A$2000,Config!$B$9,'DATA ENVIOS'!$D$4:$D$2000,"Entregado"))</f>
        <v>0</v>
      </c>
      <c r="E28" s="44">
        <f>IF($A28="","",COUNTIFS('DATA ENVIOS'!$B$4:$B$2000,$A28,'DATA ENVIOS'!$A$4:$A$2000,Config!$B$10,'DATA ENVIOS'!$D$4:$D$2000,"Entregado"))</f>
        <v>0</v>
      </c>
      <c r="F28" s="44">
        <f>IF($A28="","",SUMIFS('DATA RECOJOS'!$D$4:$D$201,'DATA RECOJOS'!$B$4:$B$201,$A28,'DATA RECOJOS'!$A$4:$A$201,Config!$B$9))</f>
        <v>0</v>
      </c>
      <c r="G28" s="44">
        <f>IF($A28="","",SUMIFS('DATA RECOJOS'!$D$4:$D$201,'DATA RECOJOS'!$B$4:$B$201,$A28,'DATA RECOJOS'!$A$4:$A$201,Config!$B$10))</f>
        <v>0</v>
      </c>
      <c r="H28" s="44">
        <f t="shared" si="1"/>
        <v>0</v>
      </c>
      <c r="I28" s="44" t="str">
        <f t="shared" si="2"/>
        <v>Lead ganado perdido</v>
      </c>
    </row>
    <row r="29" ht="15.75" customHeight="1">
      <c r="A29" s="44" t="str">
        <f>IF(Tiendas!$A18="","",Tiendas!$A18)</f>
        <v>Elsa Elizabeth Angeles Carrasco</v>
      </c>
      <c r="B29" s="44" t="str">
        <f>IF($A29="","",Tiendas!$B18)</f>
        <v>SEBASTIAN</v>
      </c>
      <c r="C29" s="44">
        <f>IF($A29="","",COUNTIFS('DATA ENVIOS'!$B$4:$B$2000,$A29,'DATA ENVIOS'!$A$4:$A$2000,Config!$B$4,'DATA ENVIOS'!$D$4:$D$2000,"Entregado"))</f>
        <v>1</v>
      </c>
      <c r="D29" s="44">
        <f>IF($A29="","",COUNTIFS('DATA ENVIOS'!$B$4:$B$2000,$A29,'DATA ENVIOS'!$A$4:$A$2000,Config!$B$9,'DATA ENVIOS'!$D$4:$D$2000,"Entregado"))</f>
        <v>0</v>
      </c>
      <c r="E29" s="44">
        <f>IF($A29="","",COUNTIFS('DATA ENVIOS'!$B$4:$B$2000,$A29,'DATA ENVIOS'!$A$4:$A$2000,Config!$B$10,'DATA ENVIOS'!$D$4:$D$2000,"Entregado"))</f>
        <v>0</v>
      </c>
      <c r="F29" s="44">
        <f>IF($A29="","",SUMIFS('DATA RECOJOS'!$D$4:$D$201,'DATA RECOJOS'!$B$4:$B$201,$A29,'DATA RECOJOS'!$A$4:$A$201,Config!$B$9))</f>
        <v>0</v>
      </c>
      <c r="G29" s="44">
        <f>IF($A29="","",SUMIFS('DATA RECOJOS'!$D$4:$D$201,'DATA RECOJOS'!$B$4:$B$201,$A29,'DATA RECOJOS'!$A$4:$A$201,Config!$B$10))</f>
        <v>0</v>
      </c>
      <c r="H29" s="44">
        <f t="shared" si="1"/>
        <v>0</v>
      </c>
      <c r="I29" s="44" t="str">
        <f t="shared" si="2"/>
        <v>Lead ganado perdido</v>
      </c>
    </row>
    <row r="30" ht="15.75" customHeight="1">
      <c r="A30" s="44" t="str">
        <f>IF(Tiendas!$A22="","",Tiendas!$A22)</f>
        <v>Aesthetics Perú</v>
      </c>
      <c r="B30" s="44" t="str">
        <f>IF($A30="","",Tiendas!$B22)</f>
        <v>SEBASTIAN</v>
      </c>
      <c r="C30" s="44">
        <f>IF($A30="","",COUNTIFS('DATA ENVIOS'!$B$4:$B$2000,$A30,'DATA ENVIOS'!$A$4:$A$2000,Config!$B$4,'DATA ENVIOS'!$D$4:$D$2000,"Entregado"))</f>
        <v>23</v>
      </c>
      <c r="D30" s="44">
        <f>IF($A30="","",COUNTIFS('DATA ENVIOS'!$B$4:$B$2000,$A30,'DATA ENVIOS'!$A$4:$A$2000,Config!$B$9,'DATA ENVIOS'!$D$4:$D$2000,"Entregado"))</f>
        <v>0</v>
      </c>
      <c r="E30" s="44">
        <f>IF($A30="","",COUNTIFS('DATA ENVIOS'!$B$4:$B$2000,$A30,'DATA ENVIOS'!$A$4:$A$2000,Config!$B$10,'DATA ENVIOS'!$D$4:$D$2000,"Entregado"))</f>
        <v>0</v>
      </c>
      <c r="F30" s="44">
        <f>IF($A30="","",SUMIFS('DATA RECOJOS'!$D$4:$D$201,'DATA RECOJOS'!$B$4:$B$201,$A30,'DATA RECOJOS'!$A$4:$A$201,Config!$B$9))</f>
        <v>0</v>
      </c>
      <c r="G30" s="44">
        <f>IF($A30="","",SUMIFS('DATA RECOJOS'!$D$4:$D$201,'DATA RECOJOS'!$B$4:$B$201,$A30,'DATA RECOJOS'!$A$4:$A$201,Config!$B$10))</f>
        <v>0</v>
      </c>
      <c r="H30" s="44">
        <f t="shared" si="1"/>
        <v>0</v>
      </c>
      <c r="I30" s="44" t="str">
        <f t="shared" si="2"/>
        <v>Lead ganado perdido</v>
      </c>
    </row>
    <row r="31" ht="15.75" customHeight="1">
      <c r="A31" s="44" t="str">
        <f>IF(Tiendas!$A26="","",Tiendas!$A26)</f>
        <v>Jean Paul Salazar Maticorena</v>
      </c>
      <c r="B31" s="44" t="str">
        <f>IF($A31="","",Tiendas!$B26)</f>
        <v>ALEXIS</v>
      </c>
      <c r="C31" s="44">
        <f>IF($A31="","",COUNTIFS('DATA ENVIOS'!$B$4:$B$2000,$A31,'DATA ENVIOS'!$A$4:$A$2000,Config!$B$4,'DATA ENVIOS'!$D$4:$D$2000,"Entregado"))</f>
        <v>5</v>
      </c>
      <c r="D31" s="44">
        <f>IF($A31="","",COUNTIFS('DATA ENVIOS'!$B$4:$B$2000,$A31,'DATA ENVIOS'!$A$4:$A$2000,Config!$B$9,'DATA ENVIOS'!$D$4:$D$2000,"Entregado"))</f>
        <v>0</v>
      </c>
      <c r="E31" s="44">
        <f>IF($A31="","",COUNTIFS('DATA ENVIOS'!$B$4:$B$2000,$A31,'DATA ENVIOS'!$A$4:$A$2000,Config!$B$10,'DATA ENVIOS'!$D$4:$D$2000,"Entregado"))</f>
        <v>0</v>
      </c>
      <c r="F31" s="44">
        <f>IF($A31="","",SUMIFS('DATA RECOJOS'!$D$4:$D$201,'DATA RECOJOS'!$B$4:$B$201,$A31,'DATA RECOJOS'!$A$4:$A$201,Config!$B$9))</f>
        <v>0</v>
      </c>
      <c r="G31" s="44">
        <f>IF($A31="","",SUMIFS('DATA RECOJOS'!$D$4:$D$201,'DATA RECOJOS'!$B$4:$B$201,$A31,'DATA RECOJOS'!$A$4:$A$201,Config!$B$10))</f>
        <v>0</v>
      </c>
      <c r="H31" s="44">
        <f t="shared" si="1"/>
        <v>0</v>
      </c>
      <c r="I31" s="44" t="str">
        <f t="shared" si="2"/>
        <v>Lead ganado perdido</v>
      </c>
    </row>
    <row r="32" ht="15.75" customHeight="1">
      <c r="A32" s="44" t="str">
        <f>IF(Tiendas!$A58="","",Tiendas!$A58)</f>
        <v>Lumea Makeup</v>
      </c>
      <c r="B32" s="44" t="str">
        <f>IF($A32="","",Tiendas!$B58)</f>
        <v>SEBASTIAN</v>
      </c>
      <c r="C32" s="44">
        <f>IF($A32="","",COUNTIFS('DATA ENVIOS'!$B$4:$B$2000,$A32,'DATA ENVIOS'!$A$4:$A$2000,Config!$B$4,'DATA ENVIOS'!$D$4:$D$2000,"Entregado"))</f>
        <v>8</v>
      </c>
      <c r="D32" s="44">
        <f>IF($A32="","",COUNTIFS('DATA ENVIOS'!$B$4:$B$2000,$A32,'DATA ENVIOS'!$A$4:$A$2000,Config!$B$9,'DATA ENVIOS'!$D$4:$D$2000,"Entregado"))</f>
        <v>0</v>
      </c>
      <c r="E32" s="44">
        <f>IF($A32="","",COUNTIFS('DATA ENVIOS'!$B$4:$B$2000,$A32,'DATA ENVIOS'!$A$4:$A$2000,Config!$B$10,'DATA ENVIOS'!$D$4:$D$2000,"Entregado"))</f>
        <v>0</v>
      </c>
      <c r="F32" s="44">
        <f>IF($A32="","",SUMIFS('DATA RECOJOS'!$D$4:$D$201,'DATA RECOJOS'!$B$4:$B$201,$A32,'DATA RECOJOS'!$A$4:$A$201,Config!$B$9))</f>
        <v>0</v>
      </c>
      <c r="G32" s="44">
        <f>IF($A32="","",SUMIFS('DATA RECOJOS'!$D$4:$D$201,'DATA RECOJOS'!$B$4:$B$201,$A32,'DATA RECOJOS'!$A$4:$A$201,Config!$B$10))</f>
        <v>0</v>
      </c>
      <c r="H32" s="44">
        <f t="shared" si="1"/>
        <v>0</v>
      </c>
      <c r="I32" s="44" t="str">
        <f t="shared" si="2"/>
        <v>Lead ganado perdido</v>
      </c>
    </row>
    <row r="33" ht="15.75" customHeight="1">
      <c r="A33" s="44" t="str">
        <f>IF(Tiendas!$A62="","",Tiendas!$A62)</f>
        <v>Lalazuliv</v>
      </c>
      <c r="B33" s="44" t="str">
        <f>IF($A33="","",Tiendas!$B62)</f>
        <v>CHRISTIAN</v>
      </c>
      <c r="C33" s="44">
        <f>IF($A33="","",COUNTIFS('DATA ENVIOS'!$B$4:$B$2000,$A33,'DATA ENVIOS'!$A$4:$A$2000,Config!$B$4,'DATA ENVIOS'!$D$4:$D$2000,"Entregado"))</f>
        <v>2</v>
      </c>
      <c r="D33" s="44">
        <f>IF($A33="","",COUNTIFS('DATA ENVIOS'!$B$4:$B$2000,$A33,'DATA ENVIOS'!$A$4:$A$2000,Config!$B$9,'DATA ENVIOS'!$D$4:$D$2000,"Entregado"))</f>
        <v>0</v>
      </c>
      <c r="E33" s="44">
        <f>IF($A33="","",COUNTIFS('DATA ENVIOS'!$B$4:$B$2000,$A33,'DATA ENVIOS'!$A$4:$A$2000,Config!$B$10,'DATA ENVIOS'!$D$4:$D$2000,"Entregado"))</f>
        <v>0</v>
      </c>
      <c r="F33" s="44">
        <f>IF($A33="","",SUMIFS('DATA RECOJOS'!$D$4:$D$201,'DATA RECOJOS'!$B$4:$B$201,$A33,'DATA RECOJOS'!$A$4:$A$201,Config!$B$9))</f>
        <v>0</v>
      </c>
      <c r="G33" s="44">
        <f>IF($A33="","",SUMIFS('DATA RECOJOS'!$D$4:$D$201,'DATA RECOJOS'!$B$4:$B$201,$A33,'DATA RECOJOS'!$A$4:$A$201,Config!$B$10))</f>
        <v>0</v>
      </c>
      <c r="H33" s="44">
        <f t="shared" si="1"/>
        <v>0</v>
      </c>
      <c r="I33" s="44" t="str">
        <f t="shared" si="2"/>
        <v>Lead ganado perdido</v>
      </c>
    </row>
    <row r="34" ht="15.75" customHeight="1">
      <c r="A34" s="44" t="str">
        <f>IF(Tiendas!$A56="","",Tiendas!$A56)</f>
        <v>RyJ Store</v>
      </c>
      <c r="B34" s="44" t="str">
        <f>IF($A34="","",Tiendas!$B56)</f>
        <v>SEBASTIAN</v>
      </c>
      <c r="C34" s="44">
        <f>IF($A34="","",COUNTIFS('DATA ENVIOS'!$B$4:$B$2000,$A34,'DATA ENVIOS'!$A$4:$A$2000,Config!$B$4,'DATA ENVIOS'!$D$4:$D$2000,"Entregado"))</f>
        <v>2</v>
      </c>
      <c r="D34" s="44">
        <f>IF($A34="","",COUNTIFS('DATA ENVIOS'!$B$4:$B$2000,$A34,'DATA ENVIOS'!$A$4:$A$2000,Config!$B$9,'DATA ENVIOS'!$D$4:$D$2000,"Entregado"))</f>
        <v>0</v>
      </c>
      <c r="E34" s="44">
        <f>IF($A34="","",COUNTIFS('DATA ENVIOS'!$B$4:$B$2000,$A34,'DATA ENVIOS'!$A$4:$A$2000,Config!$B$10,'DATA ENVIOS'!$D$4:$D$2000,"Entregado"))</f>
        <v>0</v>
      </c>
      <c r="F34" s="44">
        <f>IF($A34="","",SUMIFS('DATA RECOJOS'!$D$4:$D$201,'DATA RECOJOS'!$B$4:$B$201,$A34,'DATA RECOJOS'!$A$4:$A$201,Config!$B$9))</f>
        <v>0</v>
      </c>
      <c r="G34" s="44">
        <f>IF($A34="","",SUMIFS('DATA RECOJOS'!$D$4:$D$201,'DATA RECOJOS'!$B$4:$B$201,$A34,'DATA RECOJOS'!$A$4:$A$201,Config!$B$10))</f>
        <v>0</v>
      </c>
      <c r="H34" s="44">
        <f t="shared" si="1"/>
        <v>0</v>
      </c>
      <c r="I34" s="44" t="str">
        <f t="shared" si="2"/>
        <v>Lead ganado perdido</v>
      </c>
    </row>
    <row r="35" ht="15.75" customHeight="1">
      <c r="A35" s="44" t="str">
        <f>IF(Tiendas!$A17="","",Tiendas!$A17)</f>
        <v>Trends importaciones</v>
      </c>
      <c r="B35" s="44" t="str">
        <f>IF($A35="","",Tiendas!$B17)</f>
        <v>SANDRA</v>
      </c>
      <c r="C35" s="44">
        <f>IF($A35="","",COUNTIFS('DATA ENVIOS'!$B$4:$B$2000,$A35,'DATA ENVIOS'!$A$4:$A$2000,Config!$B$4,'DATA ENVIOS'!$D$4:$D$2000,"Entregado"))</f>
        <v>10</v>
      </c>
      <c r="D35" s="44">
        <f>IF($A35="","",COUNTIFS('DATA ENVIOS'!$B$4:$B$2000,$A35,'DATA ENVIOS'!$A$4:$A$2000,Config!$B$9,'DATA ENVIOS'!$D$4:$D$2000,"Entregado"))</f>
        <v>0</v>
      </c>
      <c r="E35" s="44">
        <f>IF($A35="","",COUNTIFS('DATA ENVIOS'!$B$4:$B$2000,$A35,'DATA ENVIOS'!$A$4:$A$2000,Config!$B$10,'DATA ENVIOS'!$D$4:$D$2000,"Entregado"))</f>
        <v>0</v>
      </c>
      <c r="F35" s="44">
        <f>IF($A35="","",SUMIFS('DATA RECOJOS'!$D$4:$D$201,'DATA RECOJOS'!$B$4:$B$201,$A35,'DATA RECOJOS'!$A$4:$A$201,Config!$B$9))</f>
        <v>0</v>
      </c>
      <c r="G35" s="44">
        <f>IF($A35="","",SUMIFS('DATA RECOJOS'!$D$4:$D$201,'DATA RECOJOS'!$B$4:$B$201,$A35,'DATA RECOJOS'!$A$4:$A$201,Config!$B$10))</f>
        <v>0</v>
      </c>
      <c r="H35" s="44">
        <f t="shared" si="1"/>
        <v>0</v>
      </c>
      <c r="I35" s="44" t="str">
        <f t="shared" si="2"/>
        <v>Lead ganado perdido</v>
      </c>
    </row>
    <row r="36" ht="15.75" customHeight="1">
      <c r="A36" s="44" t="str">
        <f>IF(Tiendas!$A30="","",Tiendas!$A30)</f>
        <v>FABRU SHOP</v>
      </c>
      <c r="B36" s="44" t="str">
        <f>IF($A36="","",Tiendas!$B30)</f>
        <v>CHRISTIAN</v>
      </c>
      <c r="C36" s="44">
        <f>IF($A36="","",COUNTIFS('DATA ENVIOS'!$B$4:$B$2000,$A36,'DATA ENVIOS'!$A$4:$A$2000,Config!$B$4,'DATA ENVIOS'!$D$4:$D$2000,"Entregado"))</f>
        <v>1</v>
      </c>
      <c r="D36" s="44">
        <f>IF($A36="","",COUNTIFS('DATA ENVIOS'!$B$4:$B$2000,$A36,'DATA ENVIOS'!$A$4:$A$2000,Config!$B$9,'DATA ENVIOS'!$D$4:$D$2000,"Entregado"))</f>
        <v>0</v>
      </c>
      <c r="E36" s="44">
        <f>IF($A36="","",COUNTIFS('DATA ENVIOS'!$B$4:$B$2000,$A36,'DATA ENVIOS'!$A$4:$A$2000,Config!$B$10,'DATA ENVIOS'!$D$4:$D$2000,"Entregado"))</f>
        <v>0</v>
      </c>
      <c r="F36" s="44">
        <f>IF($A36="","",SUMIFS('DATA RECOJOS'!$D$4:$D$201,'DATA RECOJOS'!$B$4:$B$201,$A36,'DATA RECOJOS'!$A$4:$A$201,Config!$B$9))</f>
        <v>0</v>
      </c>
      <c r="G36" s="44">
        <f>IF($A36="","",SUMIFS('DATA RECOJOS'!$D$4:$D$201,'DATA RECOJOS'!$B$4:$B$201,$A36,'DATA RECOJOS'!$A$4:$A$201,Config!$B$10))</f>
        <v>0</v>
      </c>
      <c r="H36" s="44">
        <f t="shared" si="1"/>
        <v>0</v>
      </c>
      <c r="I36" s="44" t="str">
        <f t="shared" si="2"/>
        <v>Lead ganado perdido</v>
      </c>
    </row>
    <row r="37" ht="15.75" customHeight="1">
      <c r="A37" s="44" t="str">
        <f>IF(Tiendas!$A42="","",Tiendas!$A42)</f>
        <v>Thialeshop Perú</v>
      </c>
      <c r="B37" s="44" t="str">
        <f>IF($A37="","",Tiendas!$B42)</f>
        <v>SANDRA</v>
      </c>
      <c r="C37" s="44">
        <f>IF($A37="","",COUNTIFS('DATA ENVIOS'!$B$4:$B$2000,$A37,'DATA ENVIOS'!$A$4:$A$2000,Config!$B$4,'DATA ENVIOS'!$D$4:$D$2000,"Entregado"))</f>
        <v>11</v>
      </c>
      <c r="D37" s="44">
        <f>IF($A37="","",COUNTIFS('DATA ENVIOS'!$B$4:$B$2000,$A37,'DATA ENVIOS'!$A$4:$A$2000,Config!$B$9,'DATA ENVIOS'!$D$4:$D$2000,"Entregado"))</f>
        <v>0</v>
      </c>
      <c r="E37" s="44">
        <f>IF($A37="","",COUNTIFS('DATA ENVIOS'!$B$4:$B$2000,$A37,'DATA ENVIOS'!$A$4:$A$2000,Config!$B$10,'DATA ENVIOS'!$D$4:$D$2000,"Entregado"))</f>
        <v>0</v>
      </c>
      <c r="F37" s="44">
        <f>IF($A37="","",SUMIFS('DATA RECOJOS'!$D$4:$D$201,'DATA RECOJOS'!$B$4:$B$201,$A37,'DATA RECOJOS'!$A$4:$A$201,Config!$B$9))</f>
        <v>0</v>
      </c>
      <c r="G37" s="44">
        <f>IF($A37="","",SUMIFS('DATA RECOJOS'!$D$4:$D$201,'DATA RECOJOS'!$B$4:$B$201,$A37,'DATA RECOJOS'!$A$4:$A$201,Config!$B$10))</f>
        <v>0</v>
      </c>
      <c r="H37" s="44">
        <f t="shared" si="1"/>
        <v>0</v>
      </c>
      <c r="I37" s="44" t="str">
        <f t="shared" si="2"/>
        <v>Lead ganado perdido</v>
      </c>
    </row>
    <row r="38" ht="15.75" customHeight="1">
      <c r="A38" s="44" t="str">
        <f>IF(Tiendas!$A52="","",Tiendas!$A52)</f>
        <v>Reyshop Perú sac</v>
      </c>
      <c r="B38" s="44" t="str">
        <f>IF($A38="","",Tiendas!$B52)</f>
        <v>SEBASTIAN</v>
      </c>
      <c r="C38" s="44">
        <f>IF($A38="","",COUNTIFS('DATA ENVIOS'!$B$4:$B$2000,$A38,'DATA ENVIOS'!$A$4:$A$2000,Config!$B$4,'DATA ENVIOS'!$D$4:$D$2000,"Entregado"))</f>
        <v>13</v>
      </c>
      <c r="D38" s="44">
        <f>IF($A38="","",COUNTIFS('DATA ENVIOS'!$B$4:$B$2000,$A38,'DATA ENVIOS'!$A$4:$A$2000,Config!$B$9,'DATA ENVIOS'!$D$4:$D$2000,"Entregado"))</f>
        <v>0</v>
      </c>
      <c r="E38" s="44">
        <f>IF($A38="","",COUNTIFS('DATA ENVIOS'!$B$4:$B$2000,$A38,'DATA ENVIOS'!$A$4:$A$2000,Config!$B$10,'DATA ENVIOS'!$D$4:$D$2000,"Entregado"))</f>
        <v>0</v>
      </c>
      <c r="F38" s="44">
        <f>IF($A38="","",SUMIFS('DATA RECOJOS'!$D$4:$D$201,'DATA RECOJOS'!$B$4:$B$201,$A38,'DATA RECOJOS'!$A$4:$A$201,Config!$B$9))</f>
        <v>0</v>
      </c>
      <c r="G38" s="44">
        <f>IF($A38="","",SUMIFS('DATA RECOJOS'!$D$4:$D$201,'DATA RECOJOS'!$B$4:$B$201,$A38,'DATA RECOJOS'!$A$4:$A$201,Config!$B$10))</f>
        <v>0</v>
      </c>
      <c r="H38" s="44">
        <f t="shared" si="1"/>
        <v>0</v>
      </c>
      <c r="I38" s="44" t="str">
        <f t="shared" si="2"/>
        <v>Lead ganado perdido</v>
      </c>
    </row>
    <row r="39" ht="15.75" customHeight="1">
      <c r="A39" s="44" t="str">
        <f>IF(Tiendas!$A15="","",Tiendas!$A15)</f>
        <v>ALOANKA IMPORT</v>
      </c>
      <c r="B39" s="44" t="str">
        <f>IF($A39="","",Tiendas!$B15)</f>
        <v>SANDRA</v>
      </c>
      <c r="C39" s="44">
        <f>IF($A39="","",COUNTIFS('DATA ENVIOS'!$B$4:$B$2000,$A39,'DATA ENVIOS'!$A$4:$A$2000,Config!$B$4,'DATA ENVIOS'!$D$4:$D$2000,"Entregado"))</f>
        <v>2</v>
      </c>
      <c r="D39" s="44">
        <f>IF($A39="","",COUNTIFS('DATA ENVIOS'!$B$4:$B$2000,$A39,'DATA ENVIOS'!$A$4:$A$2000,Config!$B$9,'DATA ENVIOS'!$D$4:$D$2000,"Entregado"))</f>
        <v>0</v>
      </c>
      <c r="E39" s="44">
        <f>IF($A39="","",COUNTIFS('DATA ENVIOS'!$B$4:$B$2000,$A39,'DATA ENVIOS'!$A$4:$A$2000,Config!$B$10,'DATA ENVIOS'!$D$4:$D$2000,"Entregado"))</f>
        <v>0</v>
      </c>
      <c r="F39" s="44">
        <f>IF($A39="","",SUMIFS('DATA RECOJOS'!$D$4:$D$201,'DATA RECOJOS'!$B$4:$B$201,$A39,'DATA RECOJOS'!$A$4:$A$201,Config!$B$9))</f>
        <v>0</v>
      </c>
      <c r="G39" s="44">
        <f>IF($A39="","",SUMIFS('DATA RECOJOS'!$D$4:$D$201,'DATA RECOJOS'!$B$4:$B$201,$A39,'DATA RECOJOS'!$A$4:$A$201,Config!$B$10))</f>
        <v>0</v>
      </c>
      <c r="H39" s="44">
        <f t="shared" si="1"/>
        <v>0</v>
      </c>
      <c r="I39" s="44" t="str">
        <f t="shared" si="2"/>
        <v>Lead ganado perdido</v>
      </c>
    </row>
    <row r="40" ht="15.75" customHeight="1">
      <c r="A40" s="44" t="str">
        <f>IF(Tiendas!$A19="","",Tiendas!$A19)</f>
        <v>Importa Pe</v>
      </c>
      <c r="B40" s="44" t="str">
        <f>IF($A40="","",Tiendas!$B19)</f>
        <v>SEBASTIAN</v>
      </c>
      <c r="C40" s="44">
        <f>IF($A40="","",COUNTIFS('DATA ENVIOS'!$B$4:$B$2000,$A40,'DATA ENVIOS'!$A$4:$A$2000,Config!$B$4,'DATA ENVIOS'!$D$4:$D$2000,"Entregado"))</f>
        <v>3</v>
      </c>
      <c r="D40" s="44">
        <f>IF($A40="","",COUNTIFS('DATA ENVIOS'!$B$4:$B$2000,$A40,'DATA ENVIOS'!$A$4:$A$2000,Config!$B$9,'DATA ENVIOS'!$D$4:$D$2000,"Entregado"))</f>
        <v>0</v>
      </c>
      <c r="E40" s="44">
        <f>IF($A40="","",COUNTIFS('DATA ENVIOS'!$B$4:$B$2000,$A40,'DATA ENVIOS'!$A$4:$A$2000,Config!$B$10,'DATA ENVIOS'!$D$4:$D$2000,"Entregado"))</f>
        <v>0</v>
      </c>
      <c r="F40" s="44">
        <f>IF($A40="","",SUMIFS('DATA RECOJOS'!$D$4:$D$201,'DATA RECOJOS'!$B$4:$B$201,$A40,'DATA RECOJOS'!$A$4:$A$201,Config!$B$9))</f>
        <v>0</v>
      </c>
      <c r="G40" s="44">
        <f>IF($A40="","",SUMIFS('DATA RECOJOS'!$D$4:$D$201,'DATA RECOJOS'!$B$4:$B$201,$A40,'DATA RECOJOS'!$A$4:$A$201,Config!$B$10))</f>
        <v>0</v>
      </c>
      <c r="H40" s="44">
        <f t="shared" si="1"/>
        <v>0</v>
      </c>
      <c r="I40" s="44" t="str">
        <f t="shared" si="2"/>
        <v>Lead ganado perdido</v>
      </c>
    </row>
    <row r="41" ht="15.75" customHeight="1">
      <c r="A41" s="44" t="str">
        <f>IF(Tiendas!$A21="","",Tiendas!$A21)</f>
        <v>PATRICIA NUSKIN</v>
      </c>
      <c r="B41" s="44" t="str">
        <f>IF($A41="","",Tiendas!$B21)</f>
        <v>SEBASTIAN</v>
      </c>
      <c r="C41" s="44">
        <f>IF($A41="","",COUNTIFS('DATA ENVIOS'!$B$4:$B$2000,$A41,'DATA ENVIOS'!$A$4:$A$2000,Config!$B$4,'DATA ENVIOS'!$D$4:$D$2000,"Entregado"))</f>
        <v>12</v>
      </c>
      <c r="D41" s="44">
        <f>IF($A41="","",COUNTIFS('DATA ENVIOS'!$B$4:$B$2000,$A41,'DATA ENVIOS'!$A$4:$A$2000,Config!$B$9,'DATA ENVIOS'!$D$4:$D$2000,"Entregado"))</f>
        <v>0</v>
      </c>
      <c r="E41" s="44">
        <f>IF($A41="","",COUNTIFS('DATA ENVIOS'!$B$4:$B$2000,$A41,'DATA ENVIOS'!$A$4:$A$2000,Config!$B$10,'DATA ENVIOS'!$D$4:$D$2000,"Entregado"))</f>
        <v>0</v>
      </c>
      <c r="F41" s="44">
        <f>IF($A41="","",SUMIFS('DATA RECOJOS'!$D$4:$D$201,'DATA RECOJOS'!$B$4:$B$201,$A41,'DATA RECOJOS'!$A$4:$A$201,Config!$B$9))</f>
        <v>0</v>
      </c>
      <c r="G41" s="44">
        <f>IF($A41="","",SUMIFS('DATA RECOJOS'!$D$4:$D$201,'DATA RECOJOS'!$B$4:$B$201,$A41,'DATA RECOJOS'!$A$4:$A$201,Config!$B$10))</f>
        <v>0</v>
      </c>
      <c r="H41" s="44">
        <f t="shared" si="1"/>
        <v>0</v>
      </c>
      <c r="I41" s="44" t="str">
        <f t="shared" si="2"/>
        <v>Lead ganado perdido</v>
      </c>
    </row>
    <row r="42" ht="15.75" customHeight="1">
      <c r="A42" s="44" t="str">
        <f>IF(Tiendas!$A23="","",Tiendas!$A23)</f>
        <v>FWP express</v>
      </c>
      <c r="B42" s="44" t="str">
        <f>IF($A42="","",Tiendas!$B23)</f>
        <v>ALEXIS</v>
      </c>
      <c r="C42" s="44">
        <f>IF($A42="","",COUNTIFS('DATA ENVIOS'!$B$4:$B$2000,$A42,'DATA ENVIOS'!$A$4:$A$2000,Config!$B$4,'DATA ENVIOS'!$D$4:$D$2000,"Entregado"))</f>
        <v>1</v>
      </c>
      <c r="D42" s="44">
        <f>IF($A42="","",COUNTIFS('DATA ENVIOS'!$B$4:$B$2000,$A42,'DATA ENVIOS'!$A$4:$A$2000,Config!$B$9,'DATA ENVIOS'!$D$4:$D$2000,"Entregado"))</f>
        <v>0</v>
      </c>
      <c r="E42" s="44">
        <f>IF($A42="","",COUNTIFS('DATA ENVIOS'!$B$4:$B$2000,$A42,'DATA ENVIOS'!$A$4:$A$2000,Config!$B$10,'DATA ENVIOS'!$D$4:$D$2000,"Entregado"))</f>
        <v>0</v>
      </c>
      <c r="F42" s="44">
        <f>IF($A42="","",SUMIFS('DATA RECOJOS'!$D$4:$D$201,'DATA RECOJOS'!$B$4:$B$201,$A42,'DATA RECOJOS'!$A$4:$A$201,Config!$B$9))</f>
        <v>0</v>
      </c>
      <c r="G42" s="44">
        <f>IF($A42="","",SUMIFS('DATA RECOJOS'!$D$4:$D$201,'DATA RECOJOS'!$B$4:$B$201,$A42,'DATA RECOJOS'!$A$4:$A$201,Config!$B$10))</f>
        <v>0</v>
      </c>
      <c r="H42" s="44">
        <f t="shared" si="1"/>
        <v>0</v>
      </c>
      <c r="I42" s="44" t="str">
        <f t="shared" si="2"/>
        <v>Lead ganado perdido</v>
      </c>
    </row>
    <row r="43" ht="15.75" customHeight="1">
      <c r="A43" s="44" t="str">
        <f>IF(Tiendas!$A50="","",Tiendas!$A50)</f>
        <v>YESSICA TORRES</v>
      </c>
      <c r="B43" s="44" t="str">
        <f>IF($A43="","",Tiendas!$B50)</f>
        <v>CHRISTIAN</v>
      </c>
      <c r="C43" s="44">
        <f>IF($A43="","",COUNTIFS('DATA ENVIOS'!$B$4:$B$2000,$A43,'DATA ENVIOS'!$A$4:$A$2000,Config!$B$4,'DATA ENVIOS'!$D$4:$D$2000,"Entregado"))</f>
        <v>1</v>
      </c>
      <c r="D43" s="44">
        <f>IF($A43="","",COUNTIFS('DATA ENVIOS'!$B$4:$B$2000,$A43,'DATA ENVIOS'!$A$4:$A$2000,Config!$B$9,'DATA ENVIOS'!$D$4:$D$2000,"Entregado"))</f>
        <v>0</v>
      </c>
      <c r="E43" s="44">
        <f>IF($A43="","",COUNTIFS('DATA ENVIOS'!$B$4:$B$2000,$A43,'DATA ENVIOS'!$A$4:$A$2000,Config!$B$10,'DATA ENVIOS'!$D$4:$D$2000,"Entregado"))</f>
        <v>0</v>
      </c>
      <c r="F43" s="44">
        <f>IF($A43="","",SUMIFS('DATA RECOJOS'!$D$4:$D$201,'DATA RECOJOS'!$B$4:$B$201,$A43,'DATA RECOJOS'!$A$4:$A$201,Config!$B$9))</f>
        <v>0</v>
      </c>
      <c r="G43" s="44">
        <f>IF($A43="","",SUMIFS('DATA RECOJOS'!$D$4:$D$201,'DATA RECOJOS'!$B$4:$B$201,$A43,'DATA RECOJOS'!$A$4:$A$201,Config!$B$10))</f>
        <v>0</v>
      </c>
      <c r="H43" s="44">
        <f t="shared" si="1"/>
        <v>0</v>
      </c>
      <c r="I43" s="44" t="str">
        <f t="shared" si="2"/>
        <v>Lead ganado perdido</v>
      </c>
    </row>
    <row r="44" ht="15.75" customHeight="1">
      <c r="A44" s="44" t="str">
        <f>IF(Tiendas!$A24="","",Tiendas!$A24)</f>
        <v>Sofía's Store</v>
      </c>
      <c r="B44" s="44" t="str">
        <f>IF($A44="","",Tiendas!$B24)</f>
        <v>ALEXIS</v>
      </c>
      <c r="C44" s="44">
        <f>IF($A44="","",COUNTIFS('DATA ENVIOS'!$B$4:$B$2000,$A44,'DATA ENVIOS'!$A$4:$A$2000,Config!$B$4,'DATA ENVIOS'!$D$4:$D$2000,"Entregado"))</f>
        <v>3</v>
      </c>
      <c r="D44" s="44">
        <f>IF($A44="","",COUNTIFS('DATA ENVIOS'!$B$4:$B$2000,$A44,'DATA ENVIOS'!$A$4:$A$2000,Config!$B$9,'DATA ENVIOS'!$D$4:$D$2000,"Entregado"))</f>
        <v>0</v>
      </c>
      <c r="E44" s="44">
        <f>IF($A44="","",COUNTIFS('DATA ENVIOS'!$B$4:$B$2000,$A44,'DATA ENVIOS'!$A$4:$A$2000,Config!$B$10,'DATA ENVIOS'!$D$4:$D$2000,"Entregado"))</f>
        <v>0</v>
      </c>
      <c r="F44" s="44">
        <f>IF($A44="","",SUMIFS('DATA RECOJOS'!$D$4:$D$201,'DATA RECOJOS'!$B$4:$B$201,$A44,'DATA RECOJOS'!$A$4:$A$201,Config!$B$9))</f>
        <v>0</v>
      </c>
      <c r="G44" s="44">
        <f>IF($A44="","",SUMIFS('DATA RECOJOS'!$D$4:$D$201,'DATA RECOJOS'!$B$4:$B$201,$A44,'DATA RECOJOS'!$A$4:$A$201,Config!$B$10))</f>
        <v>0</v>
      </c>
      <c r="H44" s="44">
        <f t="shared" si="1"/>
        <v>0</v>
      </c>
      <c r="I44" s="44" t="str">
        <f t="shared" si="2"/>
        <v>Lead ganado perdido</v>
      </c>
    </row>
    <row r="45" ht="15.75" customHeight="1">
      <c r="A45" s="44" t="str">
        <f>IF(Tiendas!$A25="","",Tiendas!$A25)</f>
        <v>TIENDA LM IMPORTACIONES</v>
      </c>
      <c r="B45" s="44" t="str">
        <f>IF($A45="","",Tiendas!$B25)</f>
        <v>ALEXIS</v>
      </c>
      <c r="C45" s="44">
        <f>IF($A45="","",COUNTIFS('DATA ENVIOS'!$B$4:$B$2000,$A45,'DATA ENVIOS'!$A$4:$A$2000,Config!$B$4,'DATA ENVIOS'!$D$4:$D$2000,"Entregado"))</f>
        <v>4</v>
      </c>
      <c r="D45" s="44">
        <f>IF($A45="","",COUNTIFS('DATA ENVIOS'!$B$4:$B$2000,$A45,'DATA ENVIOS'!$A$4:$A$2000,Config!$B$9,'DATA ENVIOS'!$D$4:$D$2000,"Entregado"))</f>
        <v>0</v>
      </c>
      <c r="E45" s="44">
        <f>IF($A45="","",COUNTIFS('DATA ENVIOS'!$B$4:$B$2000,$A45,'DATA ENVIOS'!$A$4:$A$2000,Config!$B$10,'DATA ENVIOS'!$D$4:$D$2000,"Entregado"))</f>
        <v>0</v>
      </c>
      <c r="F45" s="44">
        <f>IF($A45="","",SUMIFS('DATA RECOJOS'!$D$4:$D$201,'DATA RECOJOS'!$B$4:$B$201,$A45,'DATA RECOJOS'!$A$4:$A$201,Config!$B$9))</f>
        <v>0</v>
      </c>
      <c r="G45" s="44">
        <f>IF($A45="","",SUMIFS('DATA RECOJOS'!$D$4:$D$201,'DATA RECOJOS'!$B$4:$B$201,$A45,'DATA RECOJOS'!$A$4:$A$201,Config!$B$10))</f>
        <v>0</v>
      </c>
      <c r="H45" s="44">
        <f t="shared" si="1"/>
        <v>0</v>
      </c>
      <c r="I45" s="44" t="str">
        <f t="shared" si="2"/>
        <v>Lead ganado perdido</v>
      </c>
    </row>
    <row r="46" ht="15.75" customHeight="1">
      <c r="A46" s="44" t="str">
        <f>IF(Tiendas!$A27="","",Tiendas!$A27)</f>
        <v>Tienda ClickStore</v>
      </c>
      <c r="B46" s="44" t="str">
        <f>IF($A46="","",Tiendas!$B27)</f>
        <v>CHRISTIAN</v>
      </c>
      <c r="C46" s="44">
        <f>IF($A46="","",COUNTIFS('DATA ENVIOS'!$B$4:$B$2000,$A46,'DATA ENVIOS'!$A$4:$A$2000,Config!$B$4,'DATA ENVIOS'!$D$4:$D$2000,"Entregado"))</f>
        <v>20</v>
      </c>
      <c r="D46" s="44">
        <f>IF($A46="","",COUNTIFS('DATA ENVIOS'!$B$4:$B$2000,$A46,'DATA ENVIOS'!$A$4:$A$2000,Config!$B$9,'DATA ENVIOS'!$D$4:$D$2000,"Entregado"))</f>
        <v>0</v>
      </c>
      <c r="E46" s="44">
        <f>IF($A46="","",COUNTIFS('DATA ENVIOS'!$B$4:$B$2000,$A46,'DATA ENVIOS'!$A$4:$A$2000,Config!$B$10,'DATA ENVIOS'!$D$4:$D$2000,"Entregado"))</f>
        <v>0</v>
      </c>
      <c r="F46" s="44">
        <f>IF($A46="","",SUMIFS('DATA RECOJOS'!$D$4:$D$201,'DATA RECOJOS'!$B$4:$B$201,$A46,'DATA RECOJOS'!$A$4:$A$201,Config!$B$9))</f>
        <v>0</v>
      </c>
      <c r="G46" s="44">
        <f>IF($A46="","",SUMIFS('DATA RECOJOS'!$D$4:$D$201,'DATA RECOJOS'!$B$4:$B$201,$A46,'DATA RECOJOS'!$A$4:$A$201,Config!$B$10))</f>
        <v>0</v>
      </c>
      <c r="H46" s="44">
        <f t="shared" si="1"/>
        <v>0</v>
      </c>
      <c r="I46" s="44" t="str">
        <f t="shared" si="2"/>
        <v>Lead ganado perdido</v>
      </c>
    </row>
    <row r="47" ht="15.75" customHeight="1">
      <c r="A47" s="44" t="str">
        <f>IF(Tiendas!$A32="","",Tiendas!$A32)</f>
        <v>Paltas Beauty*</v>
      </c>
      <c r="B47" s="44" t="str">
        <f>IF($A47="","",Tiendas!$B32)</f>
        <v>SANDRA</v>
      </c>
      <c r="C47" s="44">
        <f>IF($A47="","",COUNTIFS('DATA ENVIOS'!$B$4:$B$2000,$A47,'DATA ENVIOS'!$A$4:$A$2000,Config!$B$4,'DATA ENVIOS'!$D$4:$D$2000,"Entregado"))</f>
        <v>6</v>
      </c>
      <c r="D47" s="44">
        <f>IF($A47="","",COUNTIFS('DATA ENVIOS'!$B$4:$B$2000,$A47,'DATA ENVIOS'!$A$4:$A$2000,Config!$B$9,'DATA ENVIOS'!$D$4:$D$2000,"Entregado"))</f>
        <v>0</v>
      </c>
      <c r="E47" s="44">
        <f>IF($A47="","",COUNTIFS('DATA ENVIOS'!$B$4:$B$2000,$A47,'DATA ENVIOS'!$A$4:$A$2000,Config!$B$10,'DATA ENVIOS'!$D$4:$D$2000,"Entregado"))</f>
        <v>0</v>
      </c>
      <c r="F47" s="44">
        <f>IF($A47="","",SUMIFS('DATA RECOJOS'!$D$4:$D$201,'DATA RECOJOS'!$B$4:$B$201,$A47,'DATA RECOJOS'!$A$4:$A$201,Config!$B$9))</f>
        <v>0</v>
      </c>
      <c r="G47" s="44">
        <f>IF($A47="","",SUMIFS('DATA RECOJOS'!$D$4:$D$201,'DATA RECOJOS'!$B$4:$B$201,$A47,'DATA RECOJOS'!$A$4:$A$201,Config!$B$10))</f>
        <v>0</v>
      </c>
      <c r="H47" s="44">
        <f t="shared" si="1"/>
        <v>0</v>
      </c>
      <c r="I47" s="44" t="str">
        <f t="shared" si="2"/>
        <v>Lead ganado perdido</v>
      </c>
    </row>
    <row r="48" ht="15.75" customHeight="1">
      <c r="A48" s="44" t="str">
        <f>IF(Tiendas!$A36="","",Tiendas!$A36)</f>
        <v>Lavandería Revollé</v>
      </c>
      <c r="B48" s="44" t="str">
        <f>IF($A48="","",Tiendas!$B36)</f>
        <v>ALEXIS</v>
      </c>
      <c r="C48" s="44">
        <f>IF($A48="","",COUNTIFS('DATA ENVIOS'!$B$4:$B$2000,$A48,'DATA ENVIOS'!$A$4:$A$2000,Config!$B$4,'DATA ENVIOS'!$D$4:$D$2000,"Entregado"))</f>
        <v>2</v>
      </c>
      <c r="D48" s="44">
        <f>IF($A48="","",COUNTIFS('DATA ENVIOS'!$B$4:$B$2000,$A48,'DATA ENVIOS'!$A$4:$A$2000,Config!$B$9,'DATA ENVIOS'!$D$4:$D$2000,"Entregado"))</f>
        <v>0</v>
      </c>
      <c r="E48" s="44">
        <f>IF($A48="","",COUNTIFS('DATA ENVIOS'!$B$4:$B$2000,$A48,'DATA ENVIOS'!$A$4:$A$2000,Config!$B$10,'DATA ENVIOS'!$D$4:$D$2000,"Entregado"))</f>
        <v>0</v>
      </c>
      <c r="F48" s="44">
        <f>IF($A48="","",SUMIFS('DATA RECOJOS'!$D$4:$D$201,'DATA RECOJOS'!$B$4:$B$201,$A48,'DATA RECOJOS'!$A$4:$A$201,Config!$B$9))</f>
        <v>0</v>
      </c>
      <c r="G48" s="44">
        <f>IF($A48="","",SUMIFS('DATA RECOJOS'!$D$4:$D$201,'DATA RECOJOS'!$B$4:$B$201,$A48,'DATA RECOJOS'!$A$4:$A$201,Config!$B$10))</f>
        <v>0</v>
      </c>
      <c r="H48" s="44">
        <f t="shared" si="1"/>
        <v>0</v>
      </c>
      <c r="I48" s="44" t="str">
        <f t="shared" si="2"/>
        <v>Lead ganado perdido</v>
      </c>
    </row>
    <row r="49" ht="15.75" customHeight="1">
      <c r="A49" s="44" t="str">
        <f>IF(Tiendas!$A37="","",Tiendas!$A37)</f>
        <v>Domyhouse</v>
      </c>
      <c r="B49" s="44" t="str">
        <f>IF($A49="","",Tiendas!$B37)</f>
        <v>ALEXIS</v>
      </c>
      <c r="C49" s="44">
        <f>IF($A49="","",COUNTIFS('DATA ENVIOS'!$B$4:$B$2000,$A49,'DATA ENVIOS'!$A$4:$A$2000,Config!$B$4,'DATA ENVIOS'!$D$4:$D$2000,"Entregado"))</f>
        <v>26</v>
      </c>
      <c r="D49" s="44">
        <f>IF($A49="","",COUNTIFS('DATA ENVIOS'!$B$4:$B$2000,$A49,'DATA ENVIOS'!$A$4:$A$2000,Config!$B$9,'DATA ENVIOS'!$D$4:$D$2000,"Entregado"))</f>
        <v>0</v>
      </c>
      <c r="E49" s="44">
        <f>IF($A49="","",COUNTIFS('DATA ENVIOS'!$B$4:$B$2000,$A49,'DATA ENVIOS'!$A$4:$A$2000,Config!$B$10,'DATA ENVIOS'!$D$4:$D$2000,"Entregado"))</f>
        <v>0</v>
      </c>
      <c r="F49" s="44">
        <f>IF($A49="","",SUMIFS('DATA RECOJOS'!$D$4:$D$201,'DATA RECOJOS'!$B$4:$B$201,$A49,'DATA RECOJOS'!$A$4:$A$201,Config!$B$9))</f>
        <v>0</v>
      </c>
      <c r="G49" s="44">
        <f>IF($A49="","",SUMIFS('DATA RECOJOS'!$D$4:$D$201,'DATA RECOJOS'!$B$4:$B$201,$A49,'DATA RECOJOS'!$A$4:$A$201,Config!$B$10))</f>
        <v>0</v>
      </c>
      <c r="H49" s="44">
        <f t="shared" si="1"/>
        <v>0</v>
      </c>
      <c r="I49" s="44" t="str">
        <f t="shared" si="2"/>
        <v>Lead ganado perdido</v>
      </c>
    </row>
    <row r="50" ht="15.75" customHeight="1">
      <c r="A50" s="44" t="str">
        <f>IF(Tiendas!$A51="","",Tiendas!$A51)</f>
        <v>Brandon Quispe Choque</v>
      </c>
      <c r="B50" s="44" t="str">
        <f>IF($A50="","",Tiendas!$B51)</f>
        <v>SEBASTIAN</v>
      </c>
      <c r="C50" s="44">
        <f>IF($A50="","",COUNTIFS('DATA ENVIOS'!$B$4:$B$2000,$A50,'DATA ENVIOS'!$A$4:$A$2000,Config!$B$4,'DATA ENVIOS'!$D$4:$D$2000,"Entregado"))</f>
        <v>5</v>
      </c>
      <c r="D50" s="44">
        <f>IF($A50="","",COUNTIFS('DATA ENVIOS'!$B$4:$B$2000,$A50,'DATA ENVIOS'!$A$4:$A$2000,Config!$B$9,'DATA ENVIOS'!$D$4:$D$2000,"Entregado"))</f>
        <v>0</v>
      </c>
      <c r="E50" s="44">
        <f>IF($A50="","",COUNTIFS('DATA ENVIOS'!$B$4:$B$2000,$A50,'DATA ENVIOS'!$A$4:$A$2000,Config!$B$10,'DATA ENVIOS'!$D$4:$D$2000,"Entregado"))</f>
        <v>0</v>
      </c>
      <c r="F50" s="44">
        <f>IF($A50="","",SUMIFS('DATA RECOJOS'!$D$4:$D$201,'DATA RECOJOS'!$B$4:$B$201,$A50,'DATA RECOJOS'!$A$4:$A$201,Config!$B$9))</f>
        <v>0</v>
      </c>
      <c r="G50" s="44">
        <f>IF($A50="","",SUMIFS('DATA RECOJOS'!$D$4:$D$201,'DATA RECOJOS'!$B$4:$B$201,$A50,'DATA RECOJOS'!$A$4:$A$201,Config!$B$10))</f>
        <v>0</v>
      </c>
      <c r="H50" s="44">
        <f t="shared" si="1"/>
        <v>0</v>
      </c>
      <c r="I50" s="44" t="str">
        <f t="shared" si="2"/>
        <v>Lead ganado perdido</v>
      </c>
    </row>
    <row r="51" ht="15.75" customHeight="1">
      <c r="A51" s="44" t="str">
        <f>IF(Tiendas!$A53="","",Tiendas!$A53)</f>
        <v>OVERSOUL</v>
      </c>
      <c r="B51" s="44" t="str">
        <f>IF($A51="","",Tiendas!$B53)</f>
        <v>JORDAN</v>
      </c>
      <c r="C51" s="44">
        <f>IF($A51="","",COUNTIFS('DATA ENVIOS'!$B$4:$B$2000,$A51,'DATA ENVIOS'!$A$4:$A$2000,Config!$B$4,'DATA ENVIOS'!$D$4:$D$2000,"Entregado"))</f>
        <v>7</v>
      </c>
      <c r="D51" s="44">
        <f>IF($A51="","",COUNTIFS('DATA ENVIOS'!$B$4:$B$2000,$A51,'DATA ENVIOS'!$A$4:$A$2000,Config!$B$9,'DATA ENVIOS'!$D$4:$D$2000,"Entregado"))</f>
        <v>0</v>
      </c>
      <c r="E51" s="44">
        <f>IF($A51="","",COUNTIFS('DATA ENVIOS'!$B$4:$B$2000,$A51,'DATA ENVIOS'!$A$4:$A$2000,Config!$B$10,'DATA ENVIOS'!$D$4:$D$2000,"Entregado"))</f>
        <v>0</v>
      </c>
      <c r="F51" s="44">
        <f>IF($A51="","",SUMIFS('DATA RECOJOS'!$D$4:$D$201,'DATA RECOJOS'!$B$4:$B$201,$A51,'DATA RECOJOS'!$A$4:$A$201,Config!$B$9))</f>
        <v>0</v>
      </c>
      <c r="G51" s="44">
        <f>IF($A51="","",SUMIFS('DATA RECOJOS'!$D$4:$D$201,'DATA RECOJOS'!$B$4:$B$201,$A51,'DATA RECOJOS'!$A$4:$A$201,Config!$B$10))</f>
        <v>0</v>
      </c>
      <c r="H51" s="44">
        <f t="shared" si="1"/>
        <v>0</v>
      </c>
      <c r="I51" s="44" t="str">
        <f t="shared" si="2"/>
        <v>Lead ganado perdido</v>
      </c>
    </row>
    <row r="52" ht="15.75" customHeight="1">
      <c r="A52" s="44" t="str">
        <f>IF(Tiendas!$A59="","",Tiendas!$A59)</f>
        <v>Bienestar Perú</v>
      </c>
      <c r="B52" s="44" t="str">
        <f>IF($A52="","",Tiendas!$B59)</f>
        <v>SANDRA</v>
      </c>
      <c r="C52" s="44">
        <f>IF($A52="","",COUNTIFS('DATA ENVIOS'!$B$4:$B$2000,$A52,'DATA ENVIOS'!$A$4:$A$2000,Config!$B$4,'DATA ENVIOS'!$D$4:$D$2000,"Entregado"))</f>
        <v>16</v>
      </c>
      <c r="D52" s="44">
        <f>IF($A52="","",COUNTIFS('DATA ENVIOS'!$B$4:$B$2000,$A52,'DATA ENVIOS'!$A$4:$A$2000,Config!$B$9,'DATA ENVIOS'!$D$4:$D$2000,"Entregado"))</f>
        <v>0</v>
      </c>
      <c r="E52" s="44">
        <f>IF($A52="","",COUNTIFS('DATA ENVIOS'!$B$4:$B$2000,$A52,'DATA ENVIOS'!$A$4:$A$2000,Config!$B$10,'DATA ENVIOS'!$D$4:$D$2000,"Entregado"))</f>
        <v>0</v>
      </c>
      <c r="F52" s="44">
        <f>IF($A52="","",SUMIFS('DATA RECOJOS'!$D$4:$D$201,'DATA RECOJOS'!$B$4:$B$201,$A52,'DATA RECOJOS'!$A$4:$A$201,Config!$B$9))</f>
        <v>0</v>
      </c>
      <c r="G52" s="44">
        <f>IF($A52="","",SUMIFS('DATA RECOJOS'!$D$4:$D$201,'DATA RECOJOS'!$B$4:$B$201,$A52,'DATA RECOJOS'!$A$4:$A$201,Config!$B$10))</f>
        <v>0</v>
      </c>
      <c r="H52" s="44">
        <f t="shared" si="1"/>
        <v>0</v>
      </c>
      <c r="I52" s="44" t="str">
        <f t="shared" si="2"/>
        <v>Lead ganado perdido</v>
      </c>
    </row>
    <row r="53" ht="15.75" customHeight="1">
      <c r="A53" s="44" t="str">
        <f>IF(Tiendas!$A63="","",Tiendas!$A63)</f>
        <v>Kael importaciones sac</v>
      </c>
      <c r="B53" s="44" t="str">
        <f>IF($A53="","",Tiendas!$B63)</f>
        <v>CHRISTIAN</v>
      </c>
      <c r="C53" s="44">
        <f>IF($A53="","",COUNTIFS('DATA ENVIOS'!$B$4:$B$2000,$A53,'DATA ENVIOS'!$A$4:$A$2000,Config!$B$4,'DATA ENVIOS'!$D$4:$D$2000,"Entregado"))</f>
        <v>17</v>
      </c>
      <c r="D53" s="44">
        <f>IF($A53="","",COUNTIFS('DATA ENVIOS'!$B$4:$B$2000,$A53,'DATA ENVIOS'!$A$4:$A$2000,Config!$B$9,'DATA ENVIOS'!$D$4:$D$2000,"Entregado"))</f>
        <v>0</v>
      </c>
      <c r="E53" s="44">
        <f>IF($A53="","",COUNTIFS('DATA ENVIOS'!$B$4:$B$2000,$A53,'DATA ENVIOS'!$A$4:$A$2000,Config!$B$10,'DATA ENVIOS'!$D$4:$D$2000,"Entregado"))</f>
        <v>0</v>
      </c>
      <c r="F53" s="44">
        <f>IF($A53="","",SUMIFS('DATA RECOJOS'!$D$4:$D$201,'DATA RECOJOS'!$B$4:$B$201,$A53,'DATA RECOJOS'!$A$4:$A$201,Config!$B$9))</f>
        <v>0</v>
      </c>
      <c r="G53" s="44">
        <f>IF($A53="","",SUMIFS('DATA RECOJOS'!$D$4:$D$201,'DATA RECOJOS'!$B$4:$B$201,$A53,'DATA RECOJOS'!$A$4:$A$201,Config!$B$10))</f>
        <v>0</v>
      </c>
      <c r="H53" s="44">
        <f t="shared" si="1"/>
        <v>0</v>
      </c>
      <c r="I53" s="44" t="str">
        <f t="shared" si="2"/>
        <v>Lead ganado perdido</v>
      </c>
    </row>
    <row r="54" ht="15.75" customHeight="1">
      <c r="A54" s="44" t="str">
        <f>IF(Tiendas!$A64="","",Tiendas!$A64)</f>
        <v>Alessia Chloe Perú</v>
      </c>
      <c r="B54" s="44" t="str">
        <f>IF($A54="","",Tiendas!$B64)</f>
        <v>CHRISTIAN</v>
      </c>
      <c r="C54" s="44">
        <f>IF($A54="","",COUNTIFS('DATA ENVIOS'!$B$4:$B$2000,$A54,'DATA ENVIOS'!$A$4:$A$2000,Config!$B$4,'DATA ENVIOS'!$D$4:$D$2000,"Entregado"))</f>
        <v>4</v>
      </c>
      <c r="D54" s="44">
        <f>IF($A54="","",COUNTIFS('DATA ENVIOS'!$B$4:$B$2000,$A54,'DATA ENVIOS'!$A$4:$A$2000,Config!$B$9,'DATA ENVIOS'!$D$4:$D$2000,"Entregado"))</f>
        <v>0</v>
      </c>
      <c r="E54" s="44">
        <f>IF($A54="","",COUNTIFS('DATA ENVIOS'!$B$4:$B$2000,$A54,'DATA ENVIOS'!$A$4:$A$2000,Config!$B$10,'DATA ENVIOS'!$D$4:$D$2000,"Entregado"))</f>
        <v>0</v>
      </c>
      <c r="F54" s="44">
        <f>IF($A54="","",SUMIFS('DATA RECOJOS'!$D$4:$D$201,'DATA RECOJOS'!$B$4:$B$201,$A54,'DATA RECOJOS'!$A$4:$A$201,Config!$B$9))</f>
        <v>0</v>
      </c>
      <c r="G54" s="44">
        <f>IF($A54="","",SUMIFS('DATA RECOJOS'!$D$4:$D$201,'DATA RECOJOS'!$B$4:$B$201,$A54,'DATA RECOJOS'!$A$4:$A$201,Config!$B$10))</f>
        <v>0</v>
      </c>
      <c r="H54" s="44">
        <f t="shared" si="1"/>
        <v>0</v>
      </c>
      <c r="I54" s="44" t="str">
        <f t="shared" si="2"/>
        <v>Lead ganado perdido</v>
      </c>
    </row>
    <row r="55" ht="15.75" customHeight="1">
      <c r="A55" s="44" t="str">
        <f>IF(#REF!="","",#REF!)</f>
        <v>#REF!</v>
      </c>
      <c r="B55" s="44" t="str">
        <f>IF($A55="","",#REF!)</f>
        <v>#REF!</v>
      </c>
      <c r="C55" s="44" t="str">
        <f>IF($A55="","",COUNTIFS('DATA ENVIOS'!$B$4:$B$2000,$A55,'DATA ENVIOS'!$A$4:$A$2000,Config!$B$4,'DATA ENVIOS'!$D$4:$D$2000,"Entregado"))</f>
        <v>#REF!</v>
      </c>
      <c r="D55" s="44" t="str">
        <f>IF($A55="","",COUNTIFS('DATA ENVIOS'!$B$4:$B$2000,$A55,'DATA ENVIOS'!$A$4:$A$2000,Config!$B$9,'DATA ENVIOS'!$D$4:$D$2000,"Entregado"))</f>
        <v>#REF!</v>
      </c>
      <c r="E55" s="44" t="str">
        <f>IF($A55="","",COUNTIFS('DATA ENVIOS'!$B$4:$B$2000,$A55,'DATA ENVIOS'!$A$4:$A$2000,Config!$B$10,'DATA ENVIOS'!$D$4:$D$2000,"Entregado"))</f>
        <v>#REF!</v>
      </c>
      <c r="F55" s="44" t="str">
        <f>IF($A55="","",SUMIFS('DATA RECOJOS'!$D$4:$D$201,'DATA RECOJOS'!$B$4:$B$201,$A55,'DATA RECOJOS'!$A$4:$A$201,Config!$B$9))</f>
        <v>#REF!</v>
      </c>
      <c r="G55" s="44" t="str">
        <f>IF($A55="","",SUMIFS('DATA RECOJOS'!$D$4:$D$201,'DATA RECOJOS'!$B$4:$B$201,$A55,'DATA RECOJOS'!$A$4:$A$201,Config!$B$10))</f>
        <v>#REF!</v>
      </c>
      <c r="H55" s="44" t="str">
        <f t="shared" si="1"/>
        <v>#REF!</v>
      </c>
      <c r="I55" s="44" t="str">
        <f t="shared" si="2"/>
        <v>#REF!</v>
      </c>
    </row>
    <row r="56" ht="15.75" customHeight="1">
      <c r="A56" s="44" t="str">
        <f>IF(Tiendas!$A13="","",Tiendas!$A13)</f>
        <v>NAYTEL STORE</v>
      </c>
      <c r="B56" s="44" t="str">
        <f>IF($A56="","",Tiendas!$B13)</f>
        <v>JORDAN</v>
      </c>
      <c r="C56" s="44">
        <f>IF($A56="","",COUNTIFS('DATA ENVIOS'!$B$4:$B$2000,$A56,'DATA ENVIOS'!$A$4:$A$2000,Config!$B$4,'DATA ENVIOS'!$D$4:$D$2000,"Entregado"))</f>
        <v>1</v>
      </c>
      <c r="D56" s="44">
        <f>IF($A56="","",COUNTIFS('DATA ENVIOS'!$B$4:$B$2000,$A56,'DATA ENVIOS'!$A$4:$A$2000,Config!$B$9,'DATA ENVIOS'!$D$4:$D$2000,"Entregado"))</f>
        <v>0</v>
      </c>
      <c r="E56" s="44">
        <f>IF($A56="","",COUNTIFS('DATA ENVIOS'!$B$4:$B$2000,$A56,'DATA ENVIOS'!$A$4:$A$2000,Config!$B$10,'DATA ENVIOS'!$D$4:$D$2000,"Entregado"))</f>
        <v>0</v>
      </c>
      <c r="F56" s="44">
        <f>IF($A56="","",SUMIFS('DATA RECOJOS'!$D$4:$D$201,'DATA RECOJOS'!$B$4:$B$201,$A56,'DATA RECOJOS'!$A$4:$A$201,Config!$B$9))</f>
        <v>0</v>
      </c>
      <c r="G56" s="44">
        <f>IF($A56="","",SUMIFS('DATA RECOJOS'!$D$4:$D$201,'DATA RECOJOS'!$B$4:$B$201,$A56,'DATA RECOJOS'!$A$4:$A$201,Config!$B$10))</f>
        <v>0</v>
      </c>
      <c r="H56" s="44">
        <f t="shared" si="1"/>
        <v>0</v>
      </c>
      <c r="I56" s="44" t="str">
        <f t="shared" si="2"/>
        <v>Lead ganado perdido</v>
      </c>
    </row>
    <row r="57" ht="15.75" customHeight="1">
      <c r="A57" s="44" t="str">
        <f>IF(Tiendas!$A20="","",Tiendas!$A20)</f>
        <v>Blue Perú</v>
      </c>
      <c r="B57" s="44" t="str">
        <f>IF($A57="","",Tiendas!$B20)</f>
        <v>SEBASTIAN</v>
      </c>
      <c r="C57" s="44">
        <f>IF($A57="","",COUNTIFS('DATA ENVIOS'!$B$4:$B$2000,$A57,'DATA ENVIOS'!$A$4:$A$2000,Config!$B$4,'DATA ENVIOS'!$D$4:$D$2000,"Entregado"))</f>
        <v>6</v>
      </c>
      <c r="D57" s="44">
        <f>IF($A57="","",COUNTIFS('DATA ENVIOS'!$B$4:$B$2000,$A57,'DATA ENVIOS'!$A$4:$A$2000,Config!$B$9,'DATA ENVIOS'!$D$4:$D$2000,"Entregado"))</f>
        <v>0</v>
      </c>
      <c r="E57" s="44">
        <f>IF($A57="","",COUNTIFS('DATA ENVIOS'!$B$4:$B$2000,$A57,'DATA ENVIOS'!$A$4:$A$2000,Config!$B$10,'DATA ENVIOS'!$D$4:$D$2000,"Entregado"))</f>
        <v>0</v>
      </c>
      <c r="F57" s="44">
        <f>IF($A57="","",SUMIFS('DATA RECOJOS'!$D$4:$D$201,'DATA RECOJOS'!$B$4:$B$201,$A57,'DATA RECOJOS'!$A$4:$A$201,Config!$B$9))</f>
        <v>0</v>
      </c>
      <c r="G57" s="44">
        <f>IF($A57="","",SUMIFS('DATA RECOJOS'!$D$4:$D$201,'DATA RECOJOS'!$B$4:$B$201,$A57,'DATA RECOJOS'!$A$4:$A$201,Config!$B$10))</f>
        <v>0</v>
      </c>
      <c r="H57" s="44">
        <f t="shared" si="1"/>
        <v>0</v>
      </c>
      <c r="I57" s="44" t="str">
        <f t="shared" si="2"/>
        <v>Lead ganado perdido</v>
      </c>
    </row>
    <row r="58" ht="15.75" customHeight="1">
      <c r="A58" s="44" t="str">
        <f>IF(Tiendas!$A29="","",Tiendas!$A29)</f>
        <v>SPRING</v>
      </c>
      <c r="B58" s="44" t="str">
        <f>IF($A58="","",Tiendas!$B29)</f>
        <v>SEBASTIAN</v>
      </c>
      <c r="C58" s="44">
        <f>IF($A58="","",COUNTIFS('DATA ENVIOS'!$B$4:$B$2000,$A58,'DATA ENVIOS'!$A$4:$A$2000,Config!$B$4,'DATA ENVIOS'!$D$4:$D$2000,"Entregado"))</f>
        <v>2</v>
      </c>
      <c r="D58" s="44">
        <f>IF($A58="","",COUNTIFS('DATA ENVIOS'!$B$4:$B$2000,$A58,'DATA ENVIOS'!$A$4:$A$2000,Config!$B$9,'DATA ENVIOS'!$D$4:$D$2000,"Entregado"))</f>
        <v>0</v>
      </c>
      <c r="E58" s="44">
        <f>IF($A58="","",COUNTIFS('DATA ENVIOS'!$B$4:$B$2000,$A58,'DATA ENVIOS'!$A$4:$A$2000,Config!$B$10,'DATA ENVIOS'!$D$4:$D$2000,"Entregado"))</f>
        <v>0</v>
      </c>
      <c r="F58" s="44">
        <f>IF($A58="","",SUMIFS('DATA RECOJOS'!$D$4:$D$201,'DATA RECOJOS'!$B$4:$B$201,$A58,'DATA RECOJOS'!$A$4:$A$201,Config!$B$9))</f>
        <v>0</v>
      </c>
      <c r="G58" s="44">
        <f>IF($A58="","",SUMIFS('DATA RECOJOS'!$D$4:$D$201,'DATA RECOJOS'!$B$4:$B$201,$A58,'DATA RECOJOS'!$A$4:$A$201,Config!$B$10))</f>
        <v>0</v>
      </c>
      <c r="H58" s="44">
        <f t="shared" si="1"/>
        <v>0</v>
      </c>
      <c r="I58" s="44" t="str">
        <f t="shared" si="2"/>
        <v>Lead ganado perdido</v>
      </c>
    </row>
    <row r="59" ht="15.75" customHeight="1">
      <c r="A59" s="44" t="str">
        <f>IF(Tiendas!$A34="","",Tiendas!$A34)</f>
        <v>Maia collection</v>
      </c>
      <c r="B59" s="44" t="str">
        <f>IF($A59="","",Tiendas!$B34)</f>
        <v>SANDRA</v>
      </c>
      <c r="C59" s="44">
        <f>IF($A59="","",COUNTIFS('DATA ENVIOS'!$B$4:$B$2000,$A59,'DATA ENVIOS'!$A$4:$A$2000,Config!$B$4,'DATA ENVIOS'!$D$4:$D$2000,"Entregado"))</f>
        <v>23</v>
      </c>
      <c r="D59" s="44">
        <f>IF($A59="","",COUNTIFS('DATA ENVIOS'!$B$4:$B$2000,$A59,'DATA ENVIOS'!$A$4:$A$2000,Config!$B$9,'DATA ENVIOS'!$D$4:$D$2000,"Entregado"))</f>
        <v>0</v>
      </c>
      <c r="E59" s="44">
        <f>IF($A59="","",COUNTIFS('DATA ENVIOS'!$B$4:$B$2000,$A59,'DATA ENVIOS'!$A$4:$A$2000,Config!$B$10,'DATA ENVIOS'!$D$4:$D$2000,"Entregado"))</f>
        <v>0</v>
      </c>
      <c r="F59" s="44">
        <f>IF($A59="","",SUMIFS('DATA RECOJOS'!$D$4:$D$201,'DATA RECOJOS'!$B$4:$B$201,$A59,'DATA RECOJOS'!$A$4:$A$201,Config!$B$9))</f>
        <v>0</v>
      </c>
      <c r="G59" s="44">
        <f>IF($A59="","",SUMIFS('DATA RECOJOS'!$D$4:$D$201,'DATA RECOJOS'!$B$4:$B$201,$A59,'DATA RECOJOS'!$A$4:$A$201,Config!$B$10))</f>
        <v>0</v>
      </c>
      <c r="H59" s="44">
        <f t="shared" si="1"/>
        <v>0</v>
      </c>
      <c r="I59" s="44" t="str">
        <f t="shared" si="2"/>
        <v>Lead ganado perdido</v>
      </c>
    </row>
    <row r="60" ht="15.75" customHeight="1">
      <c r="A60" s="44" t="str">
        <f>IF(Tiendas!$A35="","",Tiendas!$A35)</f>
        <v>COROTY TENDENCIA SECRETA</v>
      </c>
      <c r="B60" s="44" t="str">
        <f>IF($A60="","",Tiendas!$B35)</f>
        <v>CHRISTIAN</v>
      </c>
      <c r="C60" s="44">
        <f>IF($A60="","",COUNTIFS('DATA ENVIOS'!$B$4:$B$2000,$A60,'DATA ENVIOS'!$A$4:$A$2000,Config!$B$4,'DATA ENVIOS'!$D$4:$D$2000,"Entregado"))</f>
        <v>2</v>
      </c>
      <c r="D60" s="44">
        <f>IF($A60="","",COUNTIFS('DATA ENVIOS'!$B$4:$B$2000,$A60,'DATA ENVIOS'!$A$4:$A$2000,Config!$B$9,'DATA ENVIOS'!$D$4:$D$2000,"Entregado"))</f>
        <v>0</v>
      </c>
      <c r="E60" s="44">
        <f>IF($A60="","",COUNTIFS('DATA ENVIOS'!$B$4:$B$2000,$A60,'DATA ENVIOS'!$A$4:$A$2000,Config!$B$10,'DATA ENVIOS'!$D$4:$D$2000,"Entregado"))</f>
        <v>0</v>
      </c>
      <c r="F60" s="44">
        <f>IF($A60="","",SUMIFS('DATA RECOJOS'!$D$4:$D$201,'DATA RECOJOS'!$B$4:$B$201,$A60,'DATA RECOJOS'!$A$4:$A$201,Config!$B$9))</f>
        <v>0</v>
      </c>
      <c r="G60" s="44">
        <f>IF($A60="","",SUMIFS('DATA RECOJOS'!$D$4:$D$201,'DATA RECOJOS'!$B$4:$B$201,$A60,'DATA RECOJOS'!$A$4:$A$201,Config!$B$10))</f>
        <v>0</v>
      </c>
      <c r="H60" s="44">
        <f t="shared" si="1"/>
        <v>0</v>
      </c>
      <c r="I60" s="44" t="str">
        <f t="shared" si="2"/>
        <v>Lead ganado perdido</v>
      </c>
    </row>
    <row r="61" ht="15.75" customHeight="1">
      <c r="A61" s="44" t="str">
        <f>IF(Tiendas!$A40="","",Tiendas!$A40)</f>
        <v>AVEFENIX3107</v>
      </c>
      <c r="B61" s="44" t="str">
        <f>IF($A61="","",Tiendas!$B40)</f>
        <v>JORDAN</v>
      </c>
      <c r="C61" s="44">
        <f>IF($A61="","",COUNTIFS('DATA ENVIOS'!$B$4:$B$2000,$A61,'DATA ENVIOS'!$A$4:$A$2000,Config!$B$4,'DATA ENVIOS'!$D$4:$D$2000,"Entregado"))</f>
        <v>292</v>
      </c>
      <c r="D61" s="44">
        <f>IF($A61="","",COUNTIFS('DATA ENVIOS'!$B$4:$B$2000,$A61,'DATA ENVIOS'!$A$4:$A$2000,Config!$B$9,'DATA ENVIOS'!$D$4:$D$2000,"Entregado"))</f>
        <v>0</v>
      </c>
      <c r="E61" s="44">
        <f>IF($A61="","",COUNTIFS('DATA ENVIOS'!$B$4:$B$2000,$A61,'DATA ENVIOS'!$A$4:$A$2000,Config!$B$10,'DATA ENVIOS'!$D$4:$D$2000,"Entregado"))</f>
        <v>0</v>
      </c>
      <c r="F61" s="44">
        <f>IF($A61="","",SUMIFS('DATA RECOJOS'!$D$4:$D$201,'DATA RECOJOS'!$B$4:$B$201,$A61,'DATA RECOJOS'!$A$4:$A$201,Config!$B$9))</f>
        <v>0</v>
      </c>
      <c r="G61" s="44">
        <f>IF($A61="","",SUMIFS('DATA RECOJOS'!$D$4:$D$201,'DATA RECOJOS'!$B$4:$B$201,$A61,'DATA RECOJOS'!$A$4:$A$201,Config!$B$10))</f>
        <v>0</v>
      </c>
      <c r="H61" s="44">
        <f t="shared" si="1"/>
        <v>0</v>
      </c>
      <c r="I61" s="44" t="str">
        <f t="shared" si="2"/>
        <v>Lead ganado perdido</v>
      </c>
    </row>
    <row r="62" ht="15.75" customHeight="1">
      <c r="A62" s="44" t="str">
        <f>IF(Tiendas!$A41="","",Tiendas!$A41)</f>
        <v>AnkalliStore</v>
      </c>
      <c r="B62" s="44" t="str">
        <f>IF($A62="","",Tiendas!$B41)</f>
        <v>SANDRA</v>
      </c>
      <c r="C62" s="44">
        <f>IF($A62="","",COUNTIFS('DATA ENVIOS'!$B$4:$B$2000,$A62,'DATA ENVIOS'!$A$4:$A$2000,Config!$B$4,'DATA ENVIOS'!$D$4:$D$2000,"Entregado"))</f>
        <v>1</v>
      </c>
      <c r="D62" s="44">
        <f>IF($A62="","",COUNTIFS('DATA ENVIOS'!$B$4:$B$2000,$A62,'DATA ENVIOS'!$A$4:$A$2000,Config!$B$9,'DATA ENVIOS'!$D$4:$D$2000,"Entregado"))</f>
        <v>0</v>
      </c>
      <c r="E62" s="44">
        <f>IF($A62="","",COUNTIFS('DATA ENVIOS'!$B$4:$B$2000,$A62,'DATA ENVIOS'!$A$4:$A$2000,Config!$B$10,'DATA ENVIOS'!$D$4:$D$2000,"Entregado"))</f>
        <v>0</v>
      </c>
      <c r="F62" s="44">
        <f>IF($A62="","",SUMIFS('DATA RECOJOS'!$D$4:$D$201,'DATA RECOJOS'!$B$4:$B$201,$A62,'DATA RECOJOS'!$A$4:$A$201,Config!$B$9))</f>
        <v>0</v>
      </c>
      <c r="G62" s="44">
        <f>IF($A62="","",SUMIFS('DATA RECOJOS'!$D$4:$D$201,'DATA RECOJOS'!$B$4:$B$201,$A62,'DATA RECOJOS'!$A$4:$A$201,Config!$B$10))</f>
        <v>0</v>
      </c>
      <c r="H62" s="44">
        <f t="shared" si="1"/>
        <v>0</v>
      </c>
      <c r="I62" s="44" t="str">
        <f t="shared" si="2"/>
        <v>Lead ganado perdido</v>
      </c>
    </row>
    <row r="63" ht="15.75" customHeight="1">
      <c r="A63" s="44" t="str">
        <f>IF(Tiendas!$A43="","",Tiendas!$A43)</f>
        <v>GOOD CHOICE</v>
      </c>
      <c r="B63" s="44" t="str">
        <f>IF($A63="","",Tiendas!$B43)</f>
        <v>SEBASTIAN</v>
      </c>
      <c r="C63" s="44">
        <f>IF($A63="","",COUNTIFS('DATA ENVIOS'!$B$4:$B$2000,$A63,'DATA ENVIOS'!$A$4:$A$2000,Config!$B$4,'DATA ENVIOS'!$D$4:$D$2000,"Entregado"))</f>
        <v>2</v>
      </c>
      <c r="D63" s="44">
        <f>IF($A63="","",COUNTIFS('DATA ENVIOS'!$B$4:$B$2000,$A63,'DATA ENVIOS'!$A$4:$A$2000,Config!$B$9,'DATA ENVIOS'!$D$4:$D$2000,"Entregado"))</f>
        <v>0</v>
      </c>
      <c r="E63" s="44">
        <f>IF($A63="","",COUNTIFS('DATA ENVIOS'!$B$4:$B$2000,$A63,'DATA ENVIOS'!$A$4:$A$2000,Config!$B$10,'DATA ENVIOS'!$D$4:$D$2000,"Entregado"))</f>
        <v>0</v>
      </c>
      <c r="F63" s="44">
        <f>IF($A63="","",SUMIFS('DATA RECOJOS'!$D$4:$D$201,'DATA RECOJOS'!$B$4:$B$201,$A63,'DATA RECOJOS'!$A$4:$A$201,Config!$B$9))</f>
        <v>0</v>
      </c>
      <c r="G63" s="44">
        <f>IF($A63="","",SUMIFS('DATA RECOJOS'!$D$4:$D$201,'DATA RECOJOS'!$B$4:$B$201,$A63,'DATA RECOJOS'!$A$4:$A$201,Config!$B$10))</f>
        <v>0</v>
      </c>
      <c r="H63" s="44">
        <f t="shared" si="1"/>
        <v>0</v>
      </c>
      <c r="I63" s="44" t="str">
        <f t="shared" si="2"/>
        <v>Lead ganado perdido</v>
      </c>
    </row>
    <row r="64" ht="15.75" customHeight="1">
      <c r="A64" s="44" t="str">
        <f>IF(Tiendas!$A48="","",Tiendas!$A48)</f>
        <v>Tienda Maranatha</v>
      </c>
      <c r="B64" s="44" t="str">
        <f>IF($A64="","",Tiendas!$B48)</f>
        <v>SANDRA</v>
      </c>
      <c r="C64" s="44">
        <f>IF($A64="","",COUNTIFS('DATA ENVIOS'!$B$4:$B$2000,$A64,'DATA ENVIOS'!$A$4:$A$2000,Config!$B$4,'DATA ENVIOS'!$D$4:$D$2000,"Entregado"))</f>
        <v>1</v>
      </c>
      <c r="D64" s="44">
        <f>IF($A64="","",COUNTIFS('DATA ENVIOS'!$B$4:$B$2000,$A64,'DATA ENVIOS'!$A$4:$A$2000,Config!$B$9,'DATA ENVIOS'!$D$4:$D$2000,"Entregado"))</f>
        <v>0</v>
      </c>
      <c r="E64" s="44">
        <f>IF($A64="","",COUNTIFS('DATA ENVIOS'!$B$4:$B$2000,$A64,'DATA ENVIOS'!$A$4:$A$2000,Config!$B$10,'DATA ENVIOS'!$D$4:$D$2000,"Entregado"))</f>
        <v>0</v>
      </c>
      <c r="F64" s="44">
        <f>IF($A64="","",SUMIFS('DATA RECOJOS'!$D$4:$D$201,'DATA RECOJOS'!$B$4:$B$201,$A64,'DATA RECOJOS'!$A$4:$A$201,Config!$B$9))</f>
        <v>0</v>
      </c>
      <c r="G64" s="44">
        <f>IF($A64="","",SUMIFS('DATA RECOJOS'!$D$4:$D$201,'DATA RECOJOS'!$B$4:$B$201,$A64,'DATA RECOJOS'!$A$4:$A$201,Config!$B$10))</f>
        <v>0</v>
      </c>
      <c r="H64" s="44">
        <f t="shared" si="1"/>
        <v>0</v>
      </c>
      <c r="I64" s="44" t="str">
        <f t="shared" si="2"/>
        <v>Lead ganado perdido</v>
      </c>
    </row>
    <row r="65" ht="15.75" customHeight="1">
      <c r="A65" s="44" t="str">
        <f>IF(Tiendas!$A55="","",Tiendas!$A55)</f>
        <v>Neoryders</v>
      </c>
      <c r="B65" s="44" t="str">
        <f>IF($A65="","",Tiendas!$B55)</f>
        <v>SANDRA</v>
      </c>
      <c r="C65" s="44">
        <f>IF($A65="","",COUNTIFS('DATA ENVIOS'!$B$4:$B$2000,$A65,'DATA ENVIOS'!$A$4:$A$2000,Config!$B$4,'DATA ENVIOS'!$D$4:$D$2000,"Entregado"))</f>
        <v>7</v>
      </c>
      <c r="D65" s="44">
        <f>IF($A65="","",COUNTIFS('DATA ENVIOS'!$B$4:$B$2000,$A65,'DATA ENVIOS'!$A$4:$A$2000,Config!$B$9,'DATA ENVIOS'!$D$4:$D$2000,"Entregado"))</f>
        <v>0</v>
      </c>
      <c r="E65" s="44">
        <f>IF($A65="","",COUNTIFS('DATA ENVIOS'!$B$4:$B$2000,$A65,'DATA ENVIOS'!$A$4:$A$2000,Config!$B$10,'DATA ENVIOS'!$D$4:$D$2000,"Entregado"))</f>
        <v>0</v>
      </c>
      <c r="F65" s="44">
        <f>IF($A65="","",SUMIFS('DATA RECOJOS'!$D$4:$D$201,'DATA RECOJOS'!$B$4:$B$201,$A65,'DATA RECOJOS'!$A$4:$A$201,Config!$B$9))</f>
        <v>0</v>
      </c>
      <c r="G65" s="44">
        <f>IF($A65="","",SUMIFS('DATA RECOJOS'!$D$4:$D$201,'DATA RECOJOS'!$B$4:$B$201,$A65,'DATA RECOJOS'!$A$4:$A$201,Config!$B$10))</f>
        <v>0</v>
      </c>
      <c r="H65" s="44">
        <f t="shared" si="1"/>
        <v>0</v>
      </c>
      <c r="I65" s="44" t="str">
        <f t="shared" si="2"/>
        <v>Lead ganado perdido</v>
      </c>
    </row>
    <row r="66" ht="15.75" customHeight="1">
      <c r="A66" s="44" t="str">
        <f>IF(Tiendas!$A65="","",Tiendas!$A65)</f>
        <v>Alphanova Perú</v>
      </c>
      <c r="B66" s="44" t="str">
        <f>IF($A66="","",Tiendas!$B65)</f>
        <v>CHRISTIAN</v>
      </c>
      <c r="C66" s="44">
        <f>IF($A66="","",COUNTIFS('DATA ENVIOS'!$B$4:$B$204,$A66,'DATA ENVIOS'!$A$4:$A$204,Config!$B$4))</f>
        <v>9</v>
      </c>
      <c r="D66" s="44">
        <f>IF($A66="","",COUNTIFS('DATA ENVIOS'!$B$4:$B$204,$A66,'DATA ENVIOS'!$A$4:$A$204,Config!$B$9))</f>
        <v>0</v>
      </c>
      <c r="E66" s="44">
        <f>IF($A66="","",COUNTIFS('DATA ENVIOS'!$B$4:$B$204,$A66,'DATA ENVIOS'!$A$4:$A$204,Config!$B$10))</f>
        <v>0</v>
      </c>
      <c r="F66" s="44">
        <f>IF($A66="","",SUMIFS('DATA RECOJOS'!$D$4:$D$201,'DATA RECOJOS'!$B$4:$B$201,$A66,'DATA RECOJOS'!$A$4:$A$201,Config!$B$9))</f>
        <v>0</v>
      </c>
      <c r="G66" s="44">
        <f>IF($A66="","",SUMIFS('DATA RECOJOS'!$D$4:$D$201,'DATA RECOJOS'!$B$4:$B$201,$A66,'DATA RECOJOS'!$A$4:$A$201,Config!$B$10))</f>
        <v>0</v>
      </c>
      <c r="H66" s="44">
        <f t="shared" si="1"/>
        <v>0</v>
      </c>
      <c r="I66" s="44" t="str">
        <f t="shared" si="2"/>
        <v>Lead ganado perdido</v>
      </c>
    </row>
    <row r="67" ht="15.75" customHeight="1">
      <c r="A67" s="44" t="str">
        <f>IF(Tiendas!$A66="","",Tiendas!$A66)</f>
        <v>Sev7n shop</v>
      </c>
      <c r="B67" s="44" t="str">
        <f>IF($A67="","",Tiendas!$B66)</f>
        <v>SANDRA</v>
      </c>
      <c r="C67" s="44">
        <f>IF($A67="","",COUNTIFS('DATA ENVIOS'!$B$4:$B$204,$A67,'DATA ENVIOS'!$A$4:$A$204,Config!$B$4))</f>
        <v>0</v>
      </c>
      <c r="D67" s="44">
        <f>IF($A67="","",COUNTIFS('DATA ENVIOS'!$B$4:$B$204,$A67,'DATA ENVIOS'!$A$4:$A$204,Config!$B$9))</f>
        <v>0</v>
      </c>
      <c r="E67" s="44">
        <f>IF($A67="","",COUNTIFS('DATA ENVIOS'!$B$4:$B$204,$A67,'DATA ENVIOS'!$A$4:$A$204,Config!$B$10))</f>
        <v>0</v>
      </c>
      <c r="F67" s="44">
        <f>IF($A67="","",SUMIFS('DATA RECOJOS'!$D$4:$D$201,'DATA RECOJOS'!$B$4:$B$201,$A67,'DATA RECOJOS'!$A$4:$A$201,Config!$B$9))</f>
        <v>0</v>
      </c>
      <c r="G67" s="44">
        <f>IF($A67="","",SUMIFS('DATA RECOJOS'!$D$4:$D$201,'DATA RECOJOS'!$B$4:$B$201,$A67,'DATA RECOJOS'!$A$4:$A$201,Config!$B$10))</f>
        <v>0</v>
      </c>
      <c r="H67" s="44">
        <f t="shared" si="1"/>
        <v>0</v>
      </c>
      <c r="I67" s="44" t="str">
        <f t="shared" si="2"/>
        <v>-</v>
      </c>
    </row>
    <row r="68" ht="15.75" customHeight="1">
      <c r="A68" s="44" t="str">
        <f>IF(Tiendas!$A67="","",Tiendas!$A67)</f>
        <v>Audra</v>
      </c>
      <c r="B68" s="44" t="str">
        <f>IF($A68="","",Tiendas!$B67)</f>
        <v>SEBASTIAN</v>
      </c>
      <c r="C68" s="44">
        <f>IF($A68="","",COUNTIFS('DATA ENVIOS'!$B$4:$B$204,$A68,'DATA ENVIOS'!$A$4:$A$204,Config!$B$4))</f>
        <v>0</v>
      </c>
      <c r="D68" s="44">
        <f>IF($A68="","",COUNTIFS('DATA ENVIOS'!$B$4:$B$204,$A68,'DATA ENVIOS'!$A$4:$A$204,Config!$B$9))</f>
        <v>0</v>
      </c>
      <c r="E68" s="44">
        <f>IF($A68="","",COUNTIFS('DATA ENVIOS'!$B$4:$B$204,$A68,'DATA ENVIOS'!$A$4:$A$204,Config!$B$10))</f>
        <v>0</v>
      </c>
      <c r="F68" s="44">
        <f>IF($A68="","",SUMIFS('DATA RECOJOS'!$D$4:$D$201,'DATA RECOJOS'!$B$4:$B$201,$A68,'DATA RECOJOS'!$A$4:$A$201,Config!$B$9))</f>
        <v>0</v>
      </c>
      <c r="G68" s="44">
        <f>IF($A68="","",SUMIFS('DATA RECOJOS'!$D$4:$D$201,'DATA RECOJOS'!$B$4:$B$201,$A68,'DATA RECOJOS'!$A$4:$A$201,Config!$B$10))</f>
        <v>0</v>
      </c>
      <c r="H68" s="44">
        <f t="shared" si="1"/>
        <v>0</v>
      </c>
      <c r="I68" s="44" t="str">
        <f t="shared" si="2"/>
        <v>-</v>
      </c>
    </row>
    <row r="69" ht="15.75" customHeight="1">
      <c r="A69" s="44" t="str">
        <f>IF(Tiendas!$A68="","",Tiendas!$A68)</f>
        <v>Yolandita Vestimenta Casual</v>
      </c>
      <c r="B69" s="44" t="str">
        <f>IF($A69="","",Tiendas!$B68)</f>
        <v>JORDAN</v>
      </c>
      <c r="C69" s="44">
        <f>IF($A69="","",COUNTIFS('DATA ENVIOS'!$B$4:$B$204,$A69,'DATA ENVIOS'!$A$4:$A$204,Config!$B$4))</f>
        <v>0</v>
      </c>
      <c r="D69" s="44">
        <f>IF($A69="","",COUNTIFS('DATA ENVIOS'!$B$4:$B$204,$A69,'DATA ENVIOS'!$A$4:$A$204,Config!$B$9))</f>
        <v>0</v>
      </c>
      <c r="E69" s="44">
        <f>IF($A69="","",COUNTIFS('DATA ENVIOS'!$B$4:$B$204,$A69,'DATA ENVIOS'!$A$4:$A$204,Config!$B$10))</f>
        <v>0</v>
      </c>
      <c r="F69" s="44">
        <f>IF($A69="","",SUMIFS('DATA RECOJOS'!$D$4:$D$201,'DATA RECOJOS'!$B$4:$B$201,$A69,'DATA RECOJOS'!$A$4:$A$201,Config!$B$9))</f>
        <v>0</v>
      </c>
      <c r="G69" s="44">
        <f>IF($A69="","",SUMIFS('DATA RECOJOS'!$D$4:$D$201,'DATA RECOJOS'!$B$4:$B$201,$A69,'DATA RECOJOS'!$A$4:$A$201,Config!$B$10))</f>
        <v>0</v>
      </c>
      <c r="H69" s="44">
        <f t="shared" si="1"/>
        <v>0</v>
      </c>
      <c r="I69" s="44" t="str">
        <f t="shared" si="2"/>
        <v>-</v>
      </c>
    </row>
    <row r="70" ht="15.75" customHeight="1">
      <c r="A70" s="44" t="str">
        <f>IF(Tiendas!$A69="","",Tiendas!$A69)</f>
        <v>KIKMIT.PE STORE</v>
      </c>
      <c r="B70" s="44" t="str">
        <f>IF($A70="","",Tiendas!$B69)</f>
        <v>SANDRA</v>
      </c>
      <c r="C70" s="44">
        <f>IF($A70="","",COUNTIFS('DATA ENVIOS'!$B$4:$B$204,$A70,'DATA ENVIOS'!$A$4:$A$204,Config!$B$4))</f>
        <v>0</v>
      </c>
      <c r="D70" s="44">
        <f>IF($A70="","",COUNTIFS('DATA ENVIOS'!$B$4:$B$204,$A70,'DATA ENVIOS'!$A$4:$A$204,Config!$B$9))</f>
        <v>0</v>
      </c>
      <c r="E70" s="44">
        <f>IF($A70="","",COUNTIFS('DATA ENVIOS'!$B$4:$B$204,$A70,'DATA ENVIOS'!$A$4:$A$204,Config!$B$10))</f>
        <v>0</v>
      </c>
      <c r="F70" s="44">
        <f>IF($A70="","",SUMIFS('DATA RECOJOS'!$D$4:$D$201,'DATA RECOJOS'!$B$4:$B$201,$A70,'DATA RECOJOS'!$A$4:$A$201,Config!$B$9))</f>
        <v>0</v>
      </c>
      <c r="G70" s="44">
        <f>IF($A70="","",SUMIFS('DATA RECOJOS'!$D$4:$D$201,'DATA RECOJOS'!$B$4:$B$201,$A70,'DATA RECOJOS'!$A$4:$A$201,Config!$B$10))</f>
        <v>0</v>
      </c>
      <c r="H70" s="44">
        <f t="shared" si="1"/>
        <v>0</v>
      </c>
      <c r="I70" s="44" t="str">
        <f t="shared" si="2"/>
        <v>-</v>
      </c>
    </row>
    <row r="71" ht="15.75" customHeight="1">
      <c r="A71" s="44" t="str">
        <f>IF(Tiendas!$A70="","",Tiendas!$A70)</f>
        <v>Mishop Perú</v>
      </c>
      <c r="B71" s="44" t="str">
        <f>IF($A71="","",Tiendas!$B70)</f>
        <v>JORDAN</v>
      </c>
      <c r="C71" s="44">
        <f>IF($A71="","",COUNTIFS('DATA ENVIOS'!$B$4:$B$204,$A71,'DATA ENVIOS'!$A$4:$A$204,Config!$B$4))</f>
        <v>0</v>
      </c>
      <c r="D71" s="44">
        <f>IF($A71="","",COUNTIFS('DATA ENVIOS'!$B$4:$B$204,$A71,'DATA ENVIOS'!$A$4:$A$204,Config!$B$9))</f>
        <v>0</v>
      </c>
      <c r="E71" s="44">
        <f>IF($A71="","",COUNTIFS('DATA ENVIOS'!$B$4:$B$204,$A71,'DATA ENVIOS'!$A$4:$A$204,Config!$B$10))</f>
        <v>0</v>
      </c>
      <c r="F71" s="44">
        <f>IF($A71="","",SUMIFS('DATA RECOJOS'!$D$4:$D$201,'DATA RECOJOS'!$B$4:$B$201,$A71,'DATA RECOJOS'!$A$4:$A$201,Config!$B$9))</f>
        <v>0</v>
      </c>
      <c r="G71" s="44">
        <f>IF($A71="","",SUMIFS('DATA RECOJOS'!$D$4:$D$201,'DATA RECOJOS'!$B$4:$B$201,$A71,'DATA RECOJOS'!$A$4:$A$201,Config!$B$10))</f>
        <v>0</v>
      </c>
      <c r="H71" s="44">
        <f t="shared" si="1"/>
        <v>0</v>
      </c>
      <c r="I71" s="44" t="str">
        <f t="shared" si="2"/>
        <v>-</v>
      </c>
    </row>
    <row r="72" ht="15.75" customHeight="1">
      <c r="A72" s="44" t="str">
        <f>IF(Tiendas!$A71="","",Tiendas!$A71)</f>
        <v>Maar jewelry</v>
      </c>
      <c r="B72" s="44" t="str">
        <f>IF($A72="","",Tiendas!$B71)</f>
        <v>SEBASTIAN</v>
      </c>
      <c r="C72" s="44">
        <f>IF($A72="","",COUNTIFS('DATA ENVIOS'!$B$4:$B$204,$A72,'DATA ENVIOS'!$A$4:$A$204,Config!$B$4))</f>
        <v>0</v>
      </c>
      <c r="D72" s="44">
        <f>IF($A72="","",COUNTIFS('DATA ENVIOS'!$B$4:$B$204,$A72,'DATA ENVIOS'!$A$4:$A$204,Config!$B$9))</f>
        <v>0</v>
      </c>
      <c r="E72" s="44">
        <f>IF($A72="","",COUNTIFS('DATA ENVIOS'!$B$4:$B$204,$A72,'DATA ENVIOS'!$A$4:$A$204,Config!$B$10))</f>
        <v>0</v>
      </c>
      <c r="F72" s="44">
        <f>IF($A72="","",SUMIFS('DATA RECOJOS'!$D$4:$D$201,'DATA RECOJOS'!$B$4:$B$201,$A72,'DATA RECOJOS'!$A$4:$A$201,Config!$B$9))</f>
        <v>0</v>
      </c>
      <c r="G72" s="44">
        <f>IF($A72="","",SUMIFS('DATA RECOJOS'!$D$4:$D$201,'DATA RECOJOS'!$B$4:$B$201,$A72,'DATA RECOJOS'!$A$4:$A$201,Config!$B$10))</f>
        <v>0</v>
      </c>
      <c r="H72" s="44">
        <f t="shared" si="1"/>
        <v>0</v>
      </c>
      <c r="I72" s="44" t="str">
        <f t="shared" si="2"/>
        <v>-</v>
      </c>
    </row>
    <row r="73" ht="15.75" customHeight="1">
      <c r="A73" s="44" t="str">
        <f>IF(Tiendas!$A72="","",Tiendas!$A72)</f>
        <v>Camilu Store</v>
      </c>
      <c r="B73" s="44" t="str">
        <f>IF($A73="","",Tiendas!$B72)</f>
        <v>SANDRA</v>
      </c>
      <c r="C73" s="44">
        <f>IF($A73="","",COUNTIFS('DATA ENVIOS'!$B$4:$B$204,$A73,'DATA ENVIOS'!$A$4:$A$204,Config!$B$4))</f>
        <v>0</v>
      </c>
      <c r="D73" s="44">
        <f>IF($A73="","",COUNTIFS('DATA ENVIOS'!$B$4:$B$204,$A73,'DATA ENVIOS'!$A$4:$A$204,Config!$B$9))</f>
        <v>0</v>
      </c>
      <c r="E73" s="44">
        <f>IF($A73="","",COUNTIFS('DATA ENVIOS'!$B$4:$B$204,$A73,'DATA ENVIOS'!$A$4:$A$204,Config!$B$10))</f>
        <v>0</v>
      </c>
      <c r="F73" s="44">
        <f>IF($A73="","",SUMIFS('DATA RECOJOS'!$D$4:$D$201,'DATA RECOJOS'!$B$4:$B$201,$A73,'DATA RECOJOS'!$A$4:$A$201,Config!$B$9))</f>
        <v>0</v>
      </c>
      <c r="G73" s="44">
        <f>IF($A73="","",SUMIFS('DATA RECOJOS'!$D$4:$D$201,'DATA RECOJOS'!$B$4:$B$201,$A73,'DATA RECOJOS'!$A$4:$A$201,Config!$B$10))</f>
        <v>0</v>
      </c>
      <c r="H73" s="44">
        <f t="shared" si="1"/>
        <v>0</v>
      </c>
      <c r="I73" s="44" t="str">
        <f t="shared" si="2"/>
        <v>-</v>
      </c>
    </row>
    <row r="74" ht="15.75" customHeight="1">
      <c r="A74" s="44" t="str">
        <f>IF(Tiendas!$A73="","",Tiendas!$A73)</f>
        <v>blamlab</v>
      </c>
      <c r="B74" s="44" t="str">
        <f>IF($A74="","",Tiendas!$B73)</f>
        <v>ALEXIS</v>
      </c>
      <c r="C74" s="44">
        <f>IF($A74="","",COUNTIFS('DATA ENVIOS'!$B$4:$B$204,$A74,'DATA ENVIOS'!$A$4:$A$204,Config!$B$4))</f>
        <v>0</v>
      </c>
      <c r="D74" s="44">
        <f>IF($A74="","",COUNTIFS('DATA ENVIOS'!$B$4:$B$204,$A74,'DATA ENVIOS'!$A$4:$A$204,Config!$B$9))</f>
        <v>0</v>
      </c>
      <c r="E74" s="44">
        <f>IF($A74="","",COUNTIFS('DATA ENVIOS'!$B$4:$B$204,$A74,'DATA ENVIOS'!$A$4:$A$204,Config!$B$10))</f>
        <v>0</v>
      </c>
      <c r="F74" s="44">
        <f>IF($A74="","",SUMIFS('DATA RECOJOS'!$D$4:$D$201,'DATA RECOJOS'!$B$4:$B$201,$A74,'DATA RECOJOS'!$A$4:$A$201,Config!$B$9))</f>
        <v>0</v>
      </c>
      <c r="G74" s="44">
        <f>IF($A74="","",SUMIFS('DATA RECOJOS'!$D$4:$D$201,'DATA RECOJOS'!$B$4:$B$201,$A74,'DATA RECOJOS'!$A$4:$A$201,Config!$B$10))</f>
        <v>0</v>
      </c>
      <c r="H74" s="44">
        <f t="shared" si="1"/>
        <v>0</v>
      </c>
      <c r="I74" s="44" t="str">
        <f t="shared" si="2"/>
        <v>-</v>
      </c>
    </row>
    <row r="75" ht="15.75" customHeight="1">
      <c r="A75" s="44" t="str">
        <f>IF(Tiendas!$A74="","",Tiendas!$A74)</f>
        <v>Fiopy store</v>
      </c>
      <c r="B75" s="44" t="str">
        <f>IF($A75="","",Tiendas!$B74)</f>
        <v>JORDAN</v>
      </c>
      <c r="C75" s="44">
        <f>IF($A75="","",COUNTIFS('DATA ENVIOS'!$B$4:$B$204,$A75,'DATA ENVIOS'!$A$4:$A$204,Config!$B$4))</f>
        <v>0</v>
      </c>
      <c r="D75" s="44">
        <f>IF($A75="","",COUNTIFS('DATA ENVIOS'!$B$4:$B$204,$A75,'DATA ENVIOS'!$A$4:$A$204,Config!$B$9))</f>
        <v>0</v>
      </c>
      <c r="E75" s="44">
        <f>IF($A75="","",COUNTIFS('DATA ENVIOS'!$B$4:$B$204,$A75,'DATA ENVIOS'!$A$4:$A$204,Config!$B$10))</f>
        <v>0</v>
      </c>
      <c r="F75" s="44">
        <f>IF($A75="","",SUMIFS('DATA RECOJOS'!$D$4:$D$201,'DATA RECOJOS'!$B$4:$B$201,$A75,'DATA RECOJOS'!$A$4:$A$201,Config!$B$9))</f>
        <v>0</v>
      </c>
      <c r="G75" s="44">
        <f>IF($A75="","",SUMIFS('DATA RECOJOS'!$D$4:$D$201,'DATA RECOJOS'!$B$4:$B$201,$A75,'DATA RECOJOS'!$A$4:$A$201,Config!$B$10))</f>
        <v>0</v>
      </c>
      <c r="H75" s="44">
        <f t="shared" si="1"/>
        <v>0</v>
      </c>
      <c r="I75" s="44" t="str">
        <f t="shared" si="2"/>
        <v>-</v>
      </c>
    </row>
    <row r="76" ht="15.75" customHeight="1">
      <c r="A76" s="44" t="str">
        <f>IF(Tiendas!$A75="","",Tiendas!$A75)</f>
        <v>JAHL PERU</v>
      </c>
      <c r="B76" s="44" t="str">
        <f>IF($A76="","",Tiendas!$B75)</f>
        <v>SEBASTIAN</v>
      </c>
      <c r="C76" s="44">
        <f>IF($A76="","",COUNTIFS('DATA ENVIOS'!$B$4:$B$204,$A76,'DATA ENVIOS'!$A$4:$A$204,Config!$B$4))</f>
        <v>0</v>
      </c>
      <c r="D76" s="44">
        <f>IF($A76="","",COUNTIFS('DATA ENVIOS'!$B$4:$B$204,$A76,'DATA ENVIOS'!$A$4:$A$204,Config!$B$9))</f>
        <v>0</v>
      </c>
      <c r="E76" s="44">
        <f>IF($A76="","",COUNTIFS('DATA ENVIOS'!$B$4:$B$204,$A76,'DATA ENVIOS'!$A$4:$A$204,Config!$B$10))</f>
        <v>0</v>
      </c>
      <c r="F76" s="44">
        <f>IF($A76="","",SUMIFS('DATA RECOJOS'!$D$4:$D$201,'DATA RECOJOS'!$B$4:$B$201,$A76,'DATA RECOJOS'!$A$4:$A$201,Config!$B$9))</f>
        <v>0</v>
      </c>
      <c r="G76" s="44">
        <f>IF($A76="","",SUMIFS('DATA RECOJOS'!$D$4:$D$201,'DATA RECOJOS'!$B$4:$B$201,$A76,'DATA RECOJOS'!$A$4:$A$201,Config!$B$10))</f>
        <v>0</v>
      </c>
      <c r="H76" s="44">
        <f t="shared" si="1"/>
        <v>0</v>
      </c>
      <c r="I76" s="44" t="str">
        <f t="shared" si="2"/>
        <v>-</v>
      </c>
    </row>
    <row r="77" ht="15.75" customHeight="1">
      <c r="A77" s="44" t="str">
        <f>IF(Tiendas!$A76="","",Tiendas!$A76)</f>
        <v>nyconbex sac</v>
      </c>
      <c r="B77" s="44" t="str">
        <f>IF($A77="","",Tiendas!$B76)</f>
        <v>CHRISTIAN</v>
      </c>
      <c r="C77" s="44">
        <f>IF($A77="","",COUNTIFS('DATA ENVIOS'!$B$4:$B$204,$A77,'DATA ENVIOS'!$A$4:$A$204,Config!$B$4))</f>
        <v>0</v>
      </c>
      <c r="D77" s="44">
        <f>IF($A77="","",COUNTIFS('DATA ENVIOS'!$B$4:$B$204,$A77,'DATA ENVIOS'!$A$4:$A$204,Config!$B$9))</f>
        <v>0</v>
      </c>
      <c r="E77" s="44">
        <f>IF($A77="","",COUNTIFS('DATA ENVIOS'!$B$4:$B$204,$A77,'DATA ENVIOS'!$A$4:$A$204,Config!$B$10))</f>
        <v>0</v>
      </c>
      <c r="F77" s="44">
        <f>IF($A77="","",SUMIFS('DATA RECOJOS'!$D$4:$D$201,'DATA RECOJOS'!$B$4:$B$201,$A77,'DATA RECOJOS'!$A$4:$A$201,Config!$B$9))</f>
        <v>0</v>
      </c>
      <c r="G77" s="44">
        <f>IF($A77="","",SUMIFS('DATA RECOJOS'!$D$4:$D$201,'DATA RECOJOS'!$B$4:$B$201,$A77,'DATA RECOJOS'!$A$4:$A$201,Config!$B$10))</f>
        <v>0</v>
      </c>
      <c r="H77" s="44">
        <f t="shared" si="1"/>
        <v>0</v>
      </c>
      <c r="I77" s="44" t="str">
        <f t="shared" si="2"/>
        <v>-</v>
      </c>
    </row>
    <row r="78" ht="15.75" customHeight="1">
      <c r="A78" s="44" t="str">
        <f>IF(Tiendas!$A77="","",Tiendas!$A77)</f>
        <v>TIENDA RESTART</v>
      </c>
      <c r="B78" s="44" t="str">
        <f>IF($A78="","",Tiendas!$B77)</f>
        <v>CHRISTIAN</v>
      </c>
      <c r="C78" s="44">
        <f>IF($A78="","",COUNTIFS('DATA ENVIOS'!$B$4:$B$204,$A78,'DATA ENVIOS'!$A$4:$A$204,Config!$B$4))</f>
        <v>0</v>
      </c>
      <c r="D78" s="44">
        <f>IF($A78="","",COUNTIFS('DATA ENVIOS'!$B$4:$B$204,$A78,'DATA ENVIOS'!$A$4:$A$204,Config!$B$9))</f>
        <v>0</v>
      </c>
      <c r="E78" s="44">
        <f>IF($A78="","",COUNTIFS('DATA ENVIOS'!$B$4:$B$204,$A78,'DATA ENVIOS'!$A$4:$A$204,Config!$B$10))</f>
        <v>0</v>
      </c>
      <c r="F78" s="44">
        <f>IF($A78="","",SUMIFS('DATA RECOJOS'!$D$4:$D$201,'DATA RECOJOS'!$B$4:$B$201,$A78,'DATA RECOJOS'!$A$4:$A$201,Config!$B$9))</f>
        <v>0</v>
      </c>
      <c r="G78" s="44">
        <f>IF($A78="","",SUMIFS('DATA RECOJOS'!$D$4:$D$201,'DATA RECOJOS'!$B$4:$B$201,$A78,'DATA RECOJOS'!$A$4:$A$201,Config!$B$10))</f>
        <v>0</v>
      </c>
      <c r="H78" s="44">
        <f t="shared" si="1"/>
        <v>0</v>
      </c>
      <c r="I78" s="44" t="str">
        <f t="shared" si="2"/>
        <v>-</v>
      </c>
    </row>
    <row r="79" ht="15.75" customHeight="1">
      <c r="A79" s="44" t="str">
        <f>IF(Tiendas!$A78="","",Tiendas!$A78)</f>
        <v>DON PET</v>
      </c>
      <c r="B79" s="44" t="str">
        <f>IF($A79="","",Tiendas!$B78)</f>
        <v>CHRISTIAN</v>
      </c>
      <c r="C79" s="44">
        <f>IF($A79="","",COUNTIFS('DATA ENVIOS'!$B$4:$B$204,$A79,'DATA ENVIOS'!$A$4:$A$204,Config!$B$4))</f>
        <v>0</v>
      </c>
      <c r="D79" s="44">
        <f>IF($A79="","",COUNTIFS('DATA ENVIOS'!$B$4:$B$204,$A79,'DATA ENVIOS'!$A$4:$A$204,Config!$B$9))</f>
        <v>0</v>
      </c>
      <c r="E79" s="44">
        <f>IF($A79="","",COUNTIFS('DATA ENVIOS'!$B$4:$B$204,$A79,'DATA ENVIOS'!$A$4:$A$204,Config!$B$10))</f>
        <v>0</v>
      </c>
      <c r="F79" s="44">
        <f>IF($A79="","",SUMIFS('DATA RECOJOS'!$D$4:$D$201,'DATA RECOJOS'!$B$4:$B$201,$A79,'DATA RECOJOS'!$A$4:$A$201,Config!$B$9))</f>
        <v>0</v>
      </c>
      <c r="G79" s="44">
        <f>IF($A79="","",SUMIFS('DATA RECOJOS'!$D$4:$D$201,'DATA RECOJOS'!$B$4:$B$201,$A79,'DATA RECOJOS'!$A$4:$A$201,Config!$B$10))</f>
        <v>0</v>
      </c>
      <c r="H79" s="44">
        <f t="shared" si="1"/>
        <v>0</v>
      </c>
      <c r="I79" s="44" t="str">
        <f t="shared" si="2"/>
        <v>-</v>
      </c>
    </row>
    <row r="80" ht="15.75" customHeight="1">
      <c r="A80" s="44" t="str">
        <f>IF(Tiendas!$A79="","",Tiendas!$A79)</f>
        <v/>
      </c>
      <c r="B80" s="44" t="str">
        <f>IF($A80="","",Tiendas!$B79)</f>
        <v/>
      </c>
      <c r="C80" s="44" t="str">
        <f>IF($A80="","",COUNTIFS('DATA ENVIOS'!$B$4:$B$204,$A80,'DATA ENVIOS'!$A$4:$A$204,Config!$B$4))</f>
        <v/>
      </c>
      <c r="D80" s="44" t="str">
        <f>IF($A80="","",COUNTIFS('DATA ENVIOS'!$B$4:$B$204,$A80,'DATA ENVIOS'!$A$4:$A$204,Config!$B$9))</f>
        <v/>
      </c>
      <c r="E80" s="44" t="str">
        <f>IF($A80="","",COUNTIFS('DATA ENVIOS'!$B$4:$B$204,$A80,'DATA ENVIOS'!$A$4:$A$204,Config!$B$10))</f>
        <v/>
      </c>
      <c r="F80" s="44" t="str">
        <f>IF($A80="","",SUMIFS('DATA RECOJOS'!$D$4:$D$201,'DATA RECOJOS'!$B$4:$B$201,$A80,'DATA RECOJOS'!$A$4:$A$201,Config!$B$9))</f>
        <v/>
      </c>
      <c r="G80" s="44" t="str">
        <f>IF($A80="","",SUMIFS('DATA RECOJOS'!$D$4:$D$201,'DATA RECOJOS'!$B$4:$B$201,$A80,'DATA RECOJOS'!$A$4:$A$201,Config!$B$10))</f>
        <v/>
      </c>
      <c r="H80" s="44" t="str">
        <f t="shared" si="1"/>
        <v/>
      </c>
      <c r="I80" s="44" t="str">
        <f t="shared" si="2"/>
        <v/>
      </c>
    </row>
    <row r="81" ht="15.75" customHeight="1">
      <c r="A81" s="44" t="str">
        <f>IF(Tiendas!$A80="","",Tiendas!$A80)</f>
        <v/>
      </c>
      <c r="B81" s="44" t="str">
        <f>IF($A81="","",Tiendas!$B80)</f>
        <v/>
      </c>
      <c r="C81" s="44" t="str">
        <f>IF($A81="","",COUNTIFS('DATA ENVIOS'!$B$4:$B$204,$A81,'DATA ENVIOS'!$A$4:$A$204,Config!$B$4))</f>
        <v/>
      </c>
      <c r="D81" s="44" t="str">
        <f>IF($A81="","",COUNTIFS('DATA ENVIOS'!$B$4:$B$204,$A81,'DATA ENVIOS'!$A$4:$A$204,Config!$B$9))</f>
        <v/>
      </c>
      <c r="E81" s="44" t="str">
        <f>IF($A81="","",COUNTIFS('DATA ENVIOS'!$B$4:$B$204,$A81,'DATA ENVIOS'!$A$4:$A$204,Config!$B$10))</f>
        <v/>
      </c>
      <c r="F81" s="44" t="str">
        <f>IF($A81="","",SUMIFS('DATA RECOJOS'!$D$4:$D$201,'DATA RECOJOS'!$B$4:$B$201,$A81,'DATA RECOJOS'!$A$4:$A$201,Config!$B$9))</f>
        <v/>
      </c>
      <c r="G81" s="44" t="str">
        <f>IF($A81="","",SUMIFS('DATA RECOJOS'!$D$4:$D$201,'DATA RECOJOS'!$B$4:$B$201,$A81,'DATA RECOJOS'!$A$4:$A$201,Config!$B$10))</f>
        <v/>
      </c>
      <c r="H81" s="44" t="str">
        <f t="shared" si="1"/>
        <v/>
      </c>
      <c r="I81" s="44" t="str">
        <f t="shared" si="2"/>
        <v/>
      </c>
    </row>
    <row r="82" ht="15.75" customHeight="1">
      <c r="A82" s="44" t="str">
        <f>IF(Tiendas!$A81="","",Tiendas!$A81)</f>
        <v/>
      </c>
      <c r="B82" s="44" t="str">
        <f>IF($A82="","",Tiendas!$B81)</f>
        <v/>
      </c>
      <c r="C82" s="44" t="str">
        <f>IF($A82="","",COUNTIFS('DATA ENVIOS'!$B$4:$B$204,$A82,'DATA ENVIOS'!$A$4:$A$204,Config!$B$4))</f>
        <v/>
      </c>
      <c r="D82" s="44" t="str">
        <f>IF($A82="","",COUNTIFS('DATA ENVIOS'!$B$4:$B$204,$A82,'DATA ENVIOS'!$A$4:$A$204,Config!$B$9))</f>
        <v/>
      </c>
      <c r="E82" s="44" t="str">
        <f>IF($A82="","",COUNTIFS('DATA ENVIOS'!$B$4:$B$204,$A82,'DATA ENVIOS'!$A$4:$A$204,Config!$B$10))</f>
        <v/>
      </c>
      <c r="F82" s="44" t="str">
        <f>IF($A82="","",SUMIFS('DATA RECOJOS'!$D$4:$D$201,'DATA RECOJOS'!$B$4:$B$201,$A82,'DATA RECOJOS'!$A$4:$A$201,Config!$B$9))</f>
        <v/>
      </c>
      <c r="G82" s="44" t="str">
        <f>IF($A82="","",SUMIFS('DATA RECOJOS'!$D$4:$D$201,'DATA RECOJOS'!$B$4:$B$201,$A82,'DATA RECOJOS'!$A$4:$A$201,Config!$B$10))</f>
        <v/>
      </c>
      <c r="H82" s="44" t="str">
        <f t="shared" si="1"/>
        <v/>
      </c>
      <c r="I82" s="44" t="str">
        <f t="shared" si="2"/>
        <v/>
      </c>
    </row>
    <row r="83" ht="15.75" customHeight="1">
      <c r="A83" s="44" t="str">
        <f>IF(Tiendas!$A82="","",Tiendas!$A82)</f>
        <v/>
      </c>
      <c r="B83" s="44" t="str">
        <f>IF($A83="","",Tiendas!$B82)</f>
        <v/>
      </c>
      <c r="C83" s="44" t="str">
        <f>IF($A83="","",COUNTIFS('DATA ENVIOS'!$B$4:$B$204,$A83,'DATA ENVIOS'!$A$4:$A$204,Config!$B$4))</f>
        <v/>
      </c>
      <c r="D83" s="44" t="str">
        <f>IF($A83="","",COUNTIFS('DATA ENVIOS'!$B$4:$B$204,$A83,'DATA ENVIOS'!$A$4:$A$204,Config!$B$9))</f>
        <v/>
      </c>
      <c r="E83" s="44" t="str">
        <f>IF($A83="","",COUNTIFS('DATA ENVIOS'!$B$4:$B$204,$A83,'DATA ENVIOS'!$A$4:$A$204,Config!$B$10))</f>
        <v/>
      </c>
      <c r="F83" s="44" t="str">
        <f>IF($A83="","",SUMIFS('DATA RECOJOS'!$D$4:$D$201,'DATA RECOJOS'!$B$4:$B$201,$A83,'DATA RECOJOS'!$A$4:$A$201,Config!$B$9))</f>
        <v/>
      </c>
      <c r="G83" s="44" t="str">
        <f>IF($A83="","",SUMIFS('DATA RECOJOS'!$D$4:$D$201,'DATA RECOJOS'!$B$4:$B$201,$A83,'DATA RECOJOS'!$A$4:$A$201,Config!$B$10))</f>
        <v/>
      </c>
      <c r="H83" s="44" t="str">
        <f t="shared" si="1"/>
        <v/>
      </c>
      <c r="I83" s="44" t="str">
        <f t="shared" si="2"/>
        <v/>
      </c>
    </row>
    <row r="84" ht="15.75" customHeight="1">
      <c r="A84" s="44" t="str">
        <f>IF(Tiendas!$A83="","",Tiendas!$A83)</f>
        <v/>
      </c>
      <c r="B84" s="44" t="str">
        <f>IF($A84="","",Tiendas!$B83)</f>
        <v/>
      </c>
      <c r="C84" s="44" t="str">
        <f>IF($A84="","",COUNTIFS('DATA ENVIOS'!$B$4:$B$204,$A84,'DATA ENVIOS'!$A$4:$A$204,Config!$B$4))</f>
        <v/>
      </c>
      <c r="D84" s="44" t="str">
        <f>IF($A84="","",COUNTIFS('DATA ENVIOS'!$B$4:$B$204,$A84,'DATA ENVIOS'!$A$4:$A$204,Config!$B$9))</f>
        <v/>
      </c>
      <c r="E84" s="44" t="str">
        <f>IF($A84="","",COUNTIFS('DATA ENVIOS'!$B$4:$B$204,$A84,'DATA ENVIOS'!$A$4:$A$204,Config!$B$10))</f>
        <v/>
      </c>
      <c r="F84" s="44" t="str">
        <f>IF($A84="","",SUMIFS('DATA RECOJOS'!$D$4:$D$201,'DATA RECOJOS'!$B$4:$B$201,$A84,'DATA RECOJOS'!$A$4:$A$201,Config!$B$9))</f>
        <v/>
      </c>
      <c r="G84" s="44" t="str">
        <f>IF($A84="","",SUMIFS('DATA RECOJOS'!$D$4:$D$201,'DATA RECOJOS'!$B$4:$B$201,$A84,'DATA RECOJOS'!$A$4:$A$201,Config!$B$10))</f>
        <v/>
      </c>
      <c r="H84" s="44" t="str">
        <f t="shared" si="1"/>
        <v/>
      </c>
      <c r="I84" s="44" t="str">
        <f t="shared" si="2"/>
        <v/>
      </c>
    </row>
    <row r="85" ht="15.75" customHeight="1">
      <c r="A85" s="44" t="str">
        <f>IF(Tiendas!$A84="","",Tiendas!$A84)</f>
        <v/>
      </c>
      <c r="B85" s="44" t="str">
        <f>IF($A85="","",Tiendas!$B84)</f>
        <v/>
      </c>
      <c r="C85" s="44" t="str">
        <f>IF($A85="","",COUNTIFS('DATA ENVIOS'!$B$4:$B$204,$A85,'DATA ENVIOS'!$A$4:$A$204,Config!$B$4))</f>
        <v/>
      </c>
      <c r="D85" s="44" t="str">
        <f>IF($A85="","",COUNTIFS('DATA ENVIOS'!$B$4:$B$204,$A85,'DATA ENVIOS'!$A$4:$A$204,Config!$B$9))</f>
        <v/>
      </c>
      <c r="E85" s="44" t="str">
        <f>IF($A85="","",COUNTIFS('DATA ENVIOS'!$B$4:$B$204,$A85,'DATA ENVIOS'!$A$4:$A$204,Config!$B$10))</f>
        <v/>
      </c>
      <c r="F85" s="44" t="str">
        <f>IF($A85="","",SUMIFS('DATA RECOJOS'!$D$4:$D$201,'DATA RECOJOS'!$B$4:$B$201,$A85,'DATA RECOJOS'!$A$4:$A$201,Config!$B$9))</f>
        <v/>
      </c>
      <c r="G85" s="44" t="str">
        <f>IF($A85="","",SUMIFS('DATA RECOJOS'!$D$4:$D$201,'DATA RECOJOS'!$B$4:$B$201,$A85,'DATA RECOJOS'!$A$4:$A$201,Config!$B$10))</f>
        <v/>
      </c>
      <c r="H85" s="44" t="str">
        <f t="shared" si="1"/>
        <v/>
      </c>
      <c r="I85" s="44" t="str">
        <f t="shared" si="2"/>
        <v/>
      </c>
    </row>
    <row r="86" ht="15.75" customHeight="1">
      <c r="A86" s="44" t="str">
        <f>IF(Tiendas!$A85="","",Tiendas!$A85)</f>
        <v/>
      </c>
      <c r="B86" s="44" t="str">
        <f>IF($A86="","",Tiendas!$B85)</f>
        <v/>
      </c>
      <c r="C86" s="44" t="str">
        <f>IF($A86="","",COUNTIFS('DATA ENVIOS'!$B$4:$B$204,$A86,'DATA ENVIOS'!$A$4:$A$204,Config!$B$4))</f>
        <v/>
      </c>
      <c r="D86" s="44" t="str">
        <f>IF($A86="","",COUNTIFS('DATA ENVIOS'!$B$4:$B$204,$A86,'DATA ENVIOS'!$A$4:$A$204,Config!$B$9))</f>
        <v/>
      </c>
      <c r="E86" s="44" t="str">
        <f>IF($A86="","",COUNTIFS('DATA ENVIOS'!$B$4:$B$204,$A86,'DATA ENVIOS'!$A$4:$A$204,Config!$B$10))</f>
        <v/>
      </c>
      <c r="F86" s="44" t="str">
        <f>IF($A86="","",SUMIFS('DATA RECOJOS'!$D$4:$D$201,'DATA RECOJOS'!$B$4:$B$201,$A86,'DATA RECOJOS'!$A$4:$A$201,Config!$B$9))</f>
        <v/>
      </c>
      <c r="G86" s="44" t="str">
        <f>IF($A86="","",SUMIFS('DATA RECOJOS'!$D$4:$D$201,'DATA RECOJOS'!$B$4:$B$201,$A86,'DATA RECOJOS'!$A$4:$A$201,Config!$B$10))</f>
        <v/>
      </c>
      <c r="H86" s="44" t="str">
        <f t="shared" si="1"/>
        <v/>
      </c>
      <c r="I86" s="44" t="str">
        <f t="shared" si="2"/>
        <v/>
      </c>
    </row>
    <row r="87" ht="15.75" customHeight="1">
      <c r="A87" s="44" t="str">
        <f>IF(Tiendas!$A86="","",Tiendas!$A86)</f>
        <v/>
      </c>
      <c r="B87" s="44" t="str">
        <f>IF($A87="","",Tiendas!$B86)</f>
        <v/>
      </c>
      <c r="C87" s="44" t="str">
        <f>IF($A87="","",COUNTIFS('DATA ENVIOS'!$B$4:$B$204,$A87,'DATA ENVIOS'!$A$4:$A$204,Config!$B$4))</f>
        <v/>
      </c>
      <c r="D87" s="44" t="str">
        <f>IF($A87="","",COUNTIFS('DATA ENVIOS'!$B$4:$B$204,$A87,'DATA ENVIOS'!$A$4:$A$204,Config!$B$9))</f>
        <v/>
      </c>
      <c r="E87" s="44" t="str">
        <f>IF($A87="","",COUNTIFS('DATA ENVIOS'!$B$4:$B$204,$A87,'DATA ENVIOS'!$A$4:$A$204,Config!$B$10))</f>
        <v/>
      </c>
      <c r="F87" s="44" t="str">
        <f>IF($A87="","",SUMIFS('DATA RECOJOS'!$D$4:$D$201,'DATA RECOJOS'!$B$4:$B$201,$A87,'DATA RECOJOS'!$A$4:$A$201,Config!$B$9))</f>
        <v/>
      </c>
      <c r="G87" s="44" t="str">
        <f>IF($A87="","",SUMIFS('DATA RECOJOS'!$D$4:$D$201,'DATA RECOJOS'!$B$4:$B$201,$A87,'DATA RECOJOS'!$A$4:$A$201,Config!$B$10))</f>
        <v/>
      </c>
      <c r="H87" s="44" t="str">
        <f t="shared" si="1"/>
        <v/>
      </c>
      <c r="I87" s="44" t="str">
        <f t="shared" si="2"/>
        <v/>
      </c>
    </row>
    <row r="88" ht="15.75" customHeight="1">
      <c r="A88" s="44" t="str">
        <f>IF(Tiendas!$A87="","",Tiendas!$A87)</f>
        <v/>
      </c>
      <c r="B88" s="44" t="str">
        <f>IF($A88="","",Tiendas!$B87)</f>
        <v/>
      </c>
      <c r="C88" s="44" t="str">
        <f>IF($A88="","",COUNTIFS('DATA ENVIOS'!$B$4:$B$204,$A88,'DATA ENVIOS'!$A$4:$A$204,Config!$B$4))</f>
        <v/>
      </c>
      <c r="D88" s="44" t="str">
        <f>IF($A88="","",COUNTIFS('DATA ENVIOS'!$B$4:$B$204,$A88,'DATA ENVIOS'!$A$4:$A$204,Config!$B$9))</f>
        <v/>
      </c>
      <c r="E88" s="44" t="str">
        <f>IF($A88="","",COUNTIFS('DATA ENVIOS'!$B$4:$B$204,$A88,'DATA ENVIOS'!$A$4:$A$204,Config!$B$10))</f>
        <v/>
      </c>
      <c r="F88" s="44" t="str">
        <f>IF($A88="","",SUMIFS('DATA RECOJOS'!$D$4:$D$201,'DATA RECOJOS'!$B$4:$B$201,$A88,'DATA RECOJOS'!$A$4:$A$201,Config!$B$9))</f>
        <v/>
      </c>
      <c r="G88" s="44" t="str">
        <f>IF($A88="","",SUMIFS('DATA RECOJOS'!$D$4:$D$201,'DATA RECOJOS'!$B$4:$B$201,$A88,'DATA RECOJOS'!$A$4:$A$201,Config!$B$10))</f>
        <v/>
      </c>
      <c r="H88" s="44" t="str">
        <f t="shared" si="1"/>
        <v/>
      </c>
      <c r="I88" s="44" t="str">
        <f t="shared" si="2"/>
        <v/>
      </c>
    </row>
    <row r="89" ht="15.75" customHeight="1">
      <c r="A89" s="44" t="str">
        <f>IF(Tiendas!$A88="","",Tiendas!$A88)</f>
        <v/>
      </c>
      <c r="B89" s="44" t="str">
        <f>IF($A89="","",Tiendas!$B88)</f>
        <v/>
      </c>
      <c r="C89" s="44" t="str">
        <f>IF($A89="","",COUNTIFS('DATA ENVIOS'!$B$4:$B$204,$A89,'DATA ENVIOS'!$A$4:$A$204,Config!$B$4))</f>
        <v/>
      </c>
      <c r="D89" s="44" t="str">
        <f>IF($A89="","",COUNTIFS('DATA ENVIOS'!$B$4:$B$204,$A89,'DATA ENVIOS'!$A$4:$A$204,Config!$B$9))</f>
        <v/>
      </c>
      <c r="E89" s="44" t="str">
        <f>IF($A89="","",COUNTIFS('DATA ENVIOS'!$B$4:$B$204,$A89,'DATA ENVIOS'!$A$4:$A$204,Config!$B$10))</f>
        <v/>
      </c>
      <c r="F89" s="44" t="str">
        <f>IF($A89="","",SUMIFS('DATA RECOJOS'!$D$4:$D$201,'DATA RECOJOS'!$B$4:$B$201,$A89,'DATA RECOJOS'!$A$4:$A$201,Config!$B$9))</f>
        <v/>
      </c>
      <c r="G89" s="44" t="str">
        <f>IF($A89="","",SUMIFS('DATA RECOJOS'!$D$4:$D$201,'DATA RECOJOS'!$B$4:$B$201,$A89,'DATA RECOJOS'!$A$4:$A$201,Config!$B$10))</f>
        <v/>
      </c>
      <c r="H89" s="44" t="str">
        <f t="shared" si="1"/>
        <v/>
      </c>
      <c r="I89" s="44" t="str">
        <f t="shared" si="2"/>
        <v/>
      </c>
    </row>
    <row r="90" ht="15.75" customHeight="1">
      <c r="A90" s="44" t="str">
        <f>IF(Tiendas!$A89="","",Tiendas!$A89)</f>
        <v/>
      </c>
      <c r="B90" s="44" t="str">
        <f>IF($A90="","",Tiendas!$B89)</f>
        <v/>
      </c>
      <c r="C90" s="44" t="str">
        <f>IF($A90="","",COUNTIFS('DATA ENVIOS'!$B$4:$B$204,$A90,'DATA ENVIOS'!$A$4:$A$204,Config!$B$4))</f>
        <v/>
      </c>
      <c r="D90" s="44" t="str">
        <f>IF($A90="","",COUNTIFS('DATA ENVIOS'!$B$4:$B$204,$A90,'DATA ENVIOS'!$A$4:$A$204,Config!$B$9))</f>
        <v/>
      </c>
      <c r="E90" s="44" t="str">
        <f>IF($A90="","",COUNTIFS('DATA ENVIOS'!$B$4:$B$204,$A90,'DATA ENVIOS'!$A$4:$A$204,Config!$B$10))</f>
        <v/>
      </c>
      <c r="F90" s="44" t="str">
        <f>IF($A90="","",SUMIFS('DATA RECOJOS'!$D$4:$D$201,'DATA RECOJOS'!$B$4:$B$201,$A90,'DATA RECOJOS'!$A$4:$A$201,Config!$B$9))</f>
        <v/>
      </c>
      <c r="G90" s="44" t="str">
        <f>IF($A90="","",SUMIFS('DATA RECOJOS'!$D$4:$D$201,'DATA RECOJOS'!$B$4:$B$201,$A90,'DATA RECOJOS'!$A$4:$A$201,Config!$B$10))</f>
        <v/>
      </c>
      <c r="H90" s="44" t="str">
        <f t="shared" si="1"/>
        <v/>
      </c>
      <c r="I90" s="44" t="str">
        <f t="shared" si="2"/>
        <v/>
      </c>
    </row>
    <row r="91" ht="15.75" customHeight="1">
      <c r="A91" s="44" t="str">
        <f>IF(Tiendas!$A90="","",Tiendas!$A90)</f>
        <v/>
      </c>
      <c r="B91" s="44" t="str">
        <f>IF($A91="","",Tiendas!$B90)</f>
        <v/>
      </c>
      <c r="C91" s="44" t="str">
        <f>IF($A91="","",COUNTIFS('DATA ENVIOS'!$B$4:$B$204,$A91,'DATA ENVIOS'!$A$4:$A$204,Config!$B$4))</f>
        <v/>
      </c>
      <c r="D91" s="44" t="str">
        <f>IF($A91="","",COUNTIFS('DATA ENVIOS'!$B$4:$B$204,$A91,'DATA ENVIOS'!$A$4:$A$204,Config!$B$9))</f>
        <v/>
      </c>
      <c r="E91" s="44" t="str">
        <f>IF($A91="","",COUNTIFS('DATA ENVIOS'!$B$4:$B$204,$A91,'DATA ENVIOS'!$A$4:$A$204,Config!$B$10))</f>
        <v/>
      </c>
      <c r="F91" s="44" t="str">
        <f>IF($A91="","",SUMIFS('DATA RECOJOS'!$D$4:$D$201,'DATA RECOJOS'!$B$4:$B$201,$A91,'DATA RECOJOS'!$A$4:$A$201,Config!$B$9))</f>
        <v/>
      </c>
      <c r="G91" s="44" t="str">
        <f>IF($A91="","",SUMIFS('DATA RECOJOS'!$D$4:$D$201,'DATA RECOJOS'!$B$4:$B$201,$A91,'DATA RECOJOS'!$A$4:$A$201,Config!$B$10))</f>
        <v/>
      </c>
      <c r="H91" s="44" t="str">
        <f t="shared" si="1"/>
        <v/>
      </c>
      <c r="I91" s="44" t="str">
        <f t="shared" si="2"/>
        <v/>
      </c>
    </row>
    <row r="92" ht="15.75" customHeight="1">
      <c r="A92" s="44" t="str">
        <f>IF(Tiendas!$A91="","",Tiendas!$A91)</f>
        <v/>
      </c>
      <c r="B92" s="44" t="str">
        <f>IF($A92="","",Tiendas!$B91)</f>
        <v/>
      </c>
      <c r="C92" s="44" t="str">
        <f>IF($A92="","",COUNTIFS('DATA ENVIOS'!$B$4:$B$204,$A92,'DATA ENVIOS'!$A$4:$A$204,Config!$B$4))</f>
        <v/>
      </c>
      <c r="D92" s="44" t="str">
        <f>IF($A92="","",COUNTIFS('DATA ENVIOS'!$B$4:$B$204,$A92,'DATA ENVIOS'!$A$4:$A$204,Config!$B$9))</f>
        <v/>
      </c>
      <c r="E92" s="44" t="str">
        <f>IF($A92="","",COUNTIFS('DATA ENVIOS'!$B$4:$B$204,$A92,'DATA ENVIOS'!$A$4:$A$204,Config!$B$10))</f>
        <v/>
      </c>
      <c r="F92" s="44" t="str">
        <f>IF($A92="","",SUMIFS('DATA RECOJOS'!$D$4:$D$201,'DATA RECOJOS'!$B$4:$B$201,$A92,'DATA RECOJOS'!$A$4:$A$201,Config!$B$9))</f>
        <v/>
      </c>
      <c r="G92" s="44" t="str">
        <f>IF($A92="","",SUMIFS('DATA RECOJOS'!$D$4:$D$201,'DATA RECOJOS'!$B$4:$B$201,$A92,'DATA RECOJOS'!$A$4:$A$201,Config!$B$10))</f>
        <v/>
      </c>
      <c r="H92" s="44" t="str">
        <f t="shared" si="1"/>
        <v/>
      </c>
      <c r="I92" s="44" t="str">
        <f t="shared" si="2"/>
        <v/>
      </c>
    </row>
    <row r="93" ht="15.75" customHeight="1">
      <c r="A93" s="44" t="str">
        <f>IF(Tiendas!$A92="","",Tiendas!$A92)</f>
        <v/>
      </c>
      <c r="B93" s="44" t="str">
        <f>IF($A93="","",Tiendas!$B92)</f>
        <v/>
      </c>
      <c r="C93" s="44" t="str">
        <f>IF($A93="","",COUNTIFS('DATA ENVIOS'!$B$4:$B$204,$A93,'DATA ENVIOS'!$A$4:$A$204,Config!$B$4))</f>
        <v/>
      </c>
      <c r="D93" s="44" t="str">
        <f>IF($A93="","",COUNTIFS('DATA ENVIOS'!$B$4:$B$204,$A93,'DATA ENVIOS'!$A$4:$A$204,Config!$B$9))</f>
        <v/>
      </c>
      <c r="E93" s="44" t="str">
        <f>IF($A93="","",COUNTIFS('DATA ENVIOS'!$B$4:$B$204,$A93,'DATA ENVIOS'!$A$4:$A$204,Config!$B$10))</f>
        <v/>
      </c>
      <c r="F93" s="44" t="str">
        <f>IF($A93="","",SUMIFS('DATA RECOJOS'!$D$4:$D$201,'DATA RECOJOS'!$B$4:$B$201,$A93,'DATA RECOJOS'!$A$4:$A$201,Config!$B$9))</f>
        <v/>
      </c>
      <c r="G93" s="44" t="str">
        <f>IF($A93="","",SUMIFS('DATA RECOJOS'!$D$4:$D$201,'DATA RECOJOS'!$B$4:$B$201,$A93,'DATA RECOJOS'!$A$4:$A$201,Config!$B$10))</f>
        <v/>
      </c>
      <c r="H93" s="44" t="str">
        <f t="shared" si="1"/>
        <v/>
      </c>
      <c r="I93" s="44" t="str">
        <f t="shared" si="2"/>
        <v/>
      </c>
    </row>
    <row r="94" ht="15.75" customHeight="1">
      <c r="A94" s="44" t="str">
        <f>IF(Tiendas!$A93="","",Tiendas!$A93)</f>
        <v/>
      </c>
      <c r="B94" s="44" t="str">
        <f>IF($A94="","",Tiendas!$B93)</f>
        <v/>
      </c>
      <c r="C94" s="44" t="str">
        <f>IF($A94="","",COUNTIFS('DATA ENVIOS'!$B$4:$B$204,$A94,'DATA ENVIOS'!$A$4:$A$204,Config!$B$4))</f>
        <v/>
      </c>
      <c r="D94" s="44" t="str">
        <f>IF($A94="","",COUNTIFS('DATA ENVIOS'!$B$4:$B$204,$A94,'DATA ENVIOS'!$A$4:$A$204,Config!$B$9))</f>
        <v/>
      </c>
      <c r="E94" s="44" t="str">
        <f>IF($A94="","",COUNTIFS('DATA ENVIOS'!$B$4:$B$204,$A94,'DATA ENVIOS'!$A$4:$A$204,Config!$B$10))</f>
        <v/>
      </c>
      <c r="F94" s="44" t="str">
        <f>IF($A94="","",SUMIFS('DATA RECOJOS'!$D$4:$D$201,'DATA RECOJOS'!$B$4:$B$201,$A94,'DATA RECOJOS'!$A$4:$A$201,Config!$B$9))</f>
        <v/>
      </c>
      <c r="G94" s="44" t="str">
        <f>IF($A94="","",SUMIFS('DATA RECOJOS'!$D$4:$D$201,'DATA RECOJOS'!$B$4:$B$201,$A94,'DATA RECOJOS'!$A$4:$A$201,Config!$B$10))</f>
        <v/>
      </c>
      <c r="H94" s="44" t="str">
        <f t="shared" si="1"/>
        <v/>
      </c>
      <c r="I94" s="44" t="str">
        <f t="shared" si="2"/>
        <v/>
      </c>
    </row>
    <row r="95" ht="15.75" customHeight="1">
      <c r="A95" s="44" t="str">
        <f>IF(Tiendas!$A94="","",Tiendas!$A94)</f>
        <v/>
      </c>
      <c r="B95" s="44" t="str">
        <f>IF($A95="","",Tiendas!$B94)</f>
        <v/>
      </c>
      <c r="C95" s="44" t="str">
        <f>IF($A95="","",COUNTIFS('DATA ENVIOS'!$B$4:$B$204,$A95,'DATA ENVIOS'!$A$4:$A$204,Config!$B$4))</f>
        <v/>
      </c>
      <c r="D95" s="44" t="str">
        <f>IF($A95="","",COUNTIFS('DATA ENVIOS'!$B$4:$B$204,$A95,'DATA ENVIOS'!$A$4:$A$204,Config!$B$9))</f>
        <v/>
      </c>
      <c r="E95" s="44" t="str">
        <f>IF($A95="","",COUNTIFS('DATA ENVIOS'!$B$4:$B$204,$A95,'DATA ENVIOS'!$A$4:$A$204,Config!$B$10))</f>
        <v/>
      </c>
      <c r="F95" s="44" t="str">
        <f>IF($A95="","",SUMIFS('DATA RECOJOS'!$D$4:$D$201,'DATA RECOJOS'!$B$4:$B$201,$A95,'DATA RECOJOS'!$A$4:$A$201,Config!$B$9))</f>
        <v/>
      </c>
      <c r="G95" s="44" t="str">
        <f>IF($A95="","",SUMIFS('DATA RECOJOS'!$D$4:$D$201,'DATA RECOJOS'!$B$4:$B$201,$A95,'DATA RECOJOS'!$A$4:$A$201,Config!$B$10))</f>
        <v/>
      </c>
      <c r="H95" s="44" t="str">
        <f t="shared" si="1"/>
        <v/>
      </c>
      <c r="I95" s="44" t="str">
        <f t="shared" si="2"/>
        <v/>
      </c>
    </row>
    <row r="96" ht="15.75" customHeight="1">
      <c r="A96" s="44" t="str">
        <f>IF(Tiendas!$A95="","",Tiendas!$A95)</f>
        <v/>
      </c>
      <c r="B96" s="44" t="str">
        <f>IF($A96="","",Tiendas!$B95)</f>
        <v/>
      </c>
      <c r="C96" s="44" t="str">
        <f>IF($A96="","",COUNTIFS('DATA ENVIOS'!$B$4:$B$204,$A96,'DATA ENVIOS'!$A$4:$A$204,Config!$B$4))</f>
        <v/>
      </c>
      <c r="D96" s="44" t="str">
        <f>IF($A96="","",COUNTIFS('DATA ENVIOS'!$B$4:$B$204,$A96,'DATA ENVIOS'!$A$4:$A$204,Config!$B$9))</f>
        <v/>
      </c>
      <c r="E96" s="44" t="str">
        <f>IF($A96="","",COUNTIFS('DATA ENVIOS'!$B$4:$B$204,$A96,'DATA ENVIOS'!$A$4:$A$204,Config!$B$10))</f>
        <v/>
      </c>
      <c r="F96" s="44" t="str">
        <f>IF($A96="","",SUMIFS('DATA RECOJOS'!$D$4:$D$201,'DATA RECOJOS'!$B$4:$B$201,$A96,'DATA RECOJOS'!$A$4:$A$201,Config!$B$9))</f>
        <v/>
      </c>
      <c r="G96" s="44" t="str">
        <f>IF($A96="","",SUMIFS('DATA RECOJOS'!$D$4:$D$201,'DATA RECOJOS'!$B$4:$B$201,$A96,'DATA RECOJOS'!$A$4:$A$201,Config!$B$10))</f>
        <v/>
      </c>
      <c r="H96" s="44" t="str">
        <f t="shared" si="1"/>
        <v/>
      </c>
      <c r="I96" s="44" t="str">
        <f t="shared" si="2"/>
        <v/>
      </c>
    </row>
    <row r="97" ht="15.75" customHeight="1">
      <c r="A97" s="44" t="str">
        <f>IF(Tiendas!$A96="","",Tiendas!$A96)</f>
        <v/>
      </c>
      <c r="B97" s="44" t="str">
        <f>IF($A97="","",Tiendas!$B96)</f>
        <v/>
      </c>
      <c r="C97" s="44" t="str">
        <f>IF($A97="","",COUNTIFS('DATA ENVIOS'!$B$4:$B$204,$A97,'DATA ENVIOS'!$A$4:$A$204,Config!$B$4))</f>
        <v/>
      </c>
      <c r="D97" s="44" t="str">
        <f>IF($A97="","",COUNTIFS('DATA ENVIOS'!$B$4:$B$204,$A97,'DATA ENVIOS'!$A$4:$A$204,Config!$B$9))</f>
        <v/>
      </c>
      <c r="E97" s="44" t="str">
        <f>IF($A97="","",COUNTIFS('DATA ENVIOS'!$B$4:$B$204,$A97,'DATA ENVIOS'!$A$4:$A$204,Config!$B$10))</f>
        <v/>
      </c>
      <c r="F97" s="44" t="str">
        <f>IF($A97="","",SUMIFS('DATA RECOJOS'!$D$4:$D$201,'DATA RECOJOS'!$B$4:$B$201,$A97,'DATA RECOJOS'!$A$4:$A$201,Config!$B$9))</f>
        <v/>
      </c>
      <c r="G97" s="44" t="str">
        <f>IF($A97="","",SUMIFS('DATA RECOJOS'!$D$4:$D$201,'DATA RECOJOS'!$B$4:$B$201,$A97,'DATA RECOJOS'!$A$4:$A$201,Config!$B$10))</f>
        <v/>
      </c>
      <c r="H97" s="44" t="str">
        <f t="shared" si="1"/>
        <v/>
      </c>
      <c r="I97" s="44" t="str">
        <f t="shared" si="2"/>
        <v/>
      </c>
    </row>
    <row r="98" ht="15.75" customHeight="1">
      <c r="A98" s="44" t="str">
        <f>IF(Tiendas!$A97="","",Tiendas!$A97)</f>
        <v/>
      </c>
      <c r="B98" s="44" t="str">
        <f>IF($A98="","",Tiendas!$B97)</f>
        <v/>
      </c>
      <c r="C98" s="44" t="str">
        <f>IF($A98="","",COUNTIFS('DATA ENVIOS'!$B$4:$B$204,$A98,'DATA ENVIOS'!$A$4:$A$204,Config!$B$4))</f>
        <v/>
      </c>
      <c r="D98" s="44" t="str">
        <f>IF($A98="","",COUNTIFS('DATA ENVIOS'!$B$4:$B$204,$A98,'DATA ENVIOS'!$A$4:$A$204,Config!$B$9))</f>
        <v/>
      </c>
      <c r="E98" s="44" t="str">
        <f>IF($A98="","",COUNTIFS('DATA ENVIOS'!$B$4:$B$204,$A98,'DATA ENVIOS'!$A$4:$A$204,Config!$B$10))</f>
        <v/>
      </c>
      <c r="F98" s="44" t="str">
        <f>IF($A98="","",SUMIFS('DATA RECOJOS'!$D$4:$D$201,'DATA RECOJOS'!$B$4:$B$201,$A98,'DATA RECOJOS'!$A$4:$A$201,Config!$B$9))</f>
        <v/>
      </c>
      <c r="G98" s="44" t="str">
        <f>IF($A98="","",SUMIFS('DATA RECOJOS'!$D$4:$D$201,'DATA RECOJOS'!$B$4:$B$201,$A98,'DATA RECOJOS'!$A$4:$A$201,Config!$B$10))</f>
        <v/>
      </c>
      <c r="H98" s="44" t="str">
        <f t="shared" si="1"/>
        <v/>
      </c>
      <c r="I98" s="44" t="str">
        <f t="shared" si="2"/>
        <v/>
      </c>
    </row>
    <row r="99" ht="15.75" customHeight="1">
      <c r="A99" s="44" t="str">
        <f>IF(Tiendas!$A98="","",Tiendas!$A98)</f>
        <v/>
      </c>
      <c r="B99" s="44" t="str">
        <f>IF($A99="","",Tiendas!$B98)</f>
        <v/>
      </c>
      <c r="C99" s="44" t="str">
        <f>IF($A99="","",COUNTIFS('DATA ENVIOS'!$B$4:$B$204,$A99,'DATA ENVIOS'!$A$4:$A$204,Config!$B$4))</f>
        <v/>
      </c>
      <c r="D99" s="44" t="str">
        <f>IF($A99="","",COUNTIFS('DATA ENVIOS'!$B$4:$B$204,$A99,'DATA ENVIOS'!$A$4:$A$204,Config!$B$9))</f>
        <v/>
      </c>
      <c r="E99" s="44" t="str">
        <f>IF($A99="","",COUNTIFS('DATA ENVIOS'!$B$4:$B$204,$A99,'DATA ENVIOS'!$A$4:$A$204,Config!$B$10))</f>
        <v/>
      </c>
      <c r="F99" s="44" t="str">
        <f>IF($A99="","",SUMIFS('DATA RECOJOS'!$D$4:$D$201,'DATA RECOJOS'!$B$4:$B$201,$A99,'DATA RECOJOS'!$A$4:$A$201,Config!$B$9))</f>
        <v/>
      </c>
      <c r="G99" s="44" t="str">
        <f>IF($A99="","",SUMIFS('DATA RECOJOS'!$D$4:$D$201,'DATA RECOJOS'!$B$4:$B$201,$A99,'DATA RECOJOS'!$A$4:$A$201,Config!$B$10))</f>
        <v/>
      </c>
      <c r="H99" s="44" t="str">
        <f t="shared" si="1"/>
        <v/>
      </c>
      <c r="I99" s="44" t="str">
        <f t="shared" si="2"/>
        <v/>
      </c>
    </row>
    <row r="100" ht="15.75" customHeight="1">
      <c r="A100" s="44" t="str">
        <f>IF(Tiendas!$A99="","",Tiendas!$A99)</f>
        <v/>
      </c>
      <c r="B100" s="44" t="str">
        <f>IF($A100="","",Tiendas!$B99)</f>
        <v/>
      </c>
      <c r="C100" s="44" t="str">
        <f>IF($A100="","",COUNTIFS('DATA ENVIOS'!$B$4:$B$204,$A100,'DATA ENVIOS'!$A$4:$A$204,Config!$B$4))</f>
        <v/>
      </c>
      <c r="D100" s="44" t="str">
        <f>IF($A100="","",COUNTIFS('DATA ENVIOS'!$B$4:$B$204,$A100,'DATA ENVIOS'!$A$4:$A$204,Config!$B$9))</f>
        <v/>
      </c>
      <c r="E100" s="44" t="str">
        <f>IF($A100="","",COUNTIFS('DATA ENVIOS'!$B$4:$B$204,$A100,'DATA ENVIOS'!$A$4:$A$204,Config!$B$10))</f>
        <v/>
      </c>
      <c r="F100" s="44" t="str">
        <f>IF($A100="","",SUMIFS('DATA RECOJOS'!$D$4:$D$201,'DATA RECOJOS'!$B$4:$B$201,$A100,'DATA RECOJOS'!$A$4:$A$201,Config!$B$9))</f>
        <v/>
      </c>
      <c r="G100" s="44" t="str">
        <f>IF($A100="","",SUMIFS('DATA RECOJOS'!$D$4:$D$201,'DATA RECOJOS'!$B$4:$B$201,$A100,'DATA RECOJOS'!$A$4:$A$201,Config!$B$10))</f>
        <v/>
      </c>
      <c r="H100" s="44" t="str">
        <f t="shared" si="1"/>
        <v/>
      </c>
      <c r="I100" s="44" t="str">
        <f t="shared" si="2"/>
        <v/>
      </c>
    </row>
    <row r="101" ht="15.75" customHeight="1">
      <c r="A101" s="44" t="str">
        <f>IF(Tiendas!$A100="","",Tiendas!$A100)</f>
        <v/>
      </c>
      <c r="B101" s="44" t="str">
        <f>IF($A101="","",Tiendas!$B100)</f>
        <v/>
      </c>
      <c r="C101" s="44" t="str">
        <f>IF($A101="","",COUNTIFS('DATA ENVIOS'!$B$4:$B$204,$A101,'DATA ENVIOS'!$A$4:$A$204,Config!$B$4))</f>
        <v/>
      </c>
      <c r="D101" s="44" t="str">
        <f>IF($A101="","",COUNTIFS('DATA ENVIOS'!$B$4:$B$204,$A101,'DATA ENVIOS'!$A$4:$A$204,Config!$B$9))</f>
        <v/>
      </c>
      <c r="E101" s="44" t="str">
        <f>IF($A101="","",COUNTIFS('DATA ENVIOS'!$B$4:$B$204,$A101,'DATA ENVIOS'!$A$4:$A$204,Config!$B$10))</f>
        <v/>
      </c>
      <c r="F101" s="44" t="str">
        <f>IF($A101="","",SUMIFS('DATA RECOJOS'!$D$4:$D$201,'DATA RECOJOS'!$B$4:$B$201,$A101,'DATA RECOJOS'!$A$4:$A$201,Config!$B$9))</f>
        <v/>
      </c>
      <c r="G101" s="44" t="str">
        <f>IF($A101="","",SUMIFS('DATA RECOJOS'!$D$4:$D$201,'DATA RECOJOS'!$B$4:$B$201,$A101,'DATA RECOJOS'!$A$4:$A$201,Config!$B$10))</f>
        <v/>
      </c>
      <c r="H101" s="44" t="str">
        <f t="shared" si="1"/>
        <v/>
      </c>
      <c r="I101" s="44" t="str">
        <f t="shared" si="2"/>
        <v/>
      </c>
    </row>
    <row r="102" ht="15.75" customHeight="1">
      <c r="A102" s="44" t="str">
        <f>IF(Tiendas!$A101="","",Tiendas!$A101)</f>
        <v/>
      </c>
      <c r="B102" s="44" t="str">
        <f>IF($A102="","",Tiendas!$B101)</f>
        <v/>
      </c>
      <c r="C102" s="44" t="str">
        <f>IF($A102="","",COUNTIFS('DATA ENVIOS'!$B$4:$B$204,$A102,'DATA ENVIOS'!$A$4:$A$204,Config!$B$4))</f>
        <v/>
      </c>
      <c r="D102" s="44" t="str">
        <f>IF($A102="","",COUNTIFS('DATA ENVIOS'!$B$4:$B$204,$A102,'DATA ENVIOS'!$A$4:$A$204,Config!$B$9))</f>
        <v/>
      </c>
      <c r="E102" s="44" t="str">
        <f>IF($A102="","",COUNTIFS('DATA ENVIOS'!$B$4:$B$204,$A102,'DATA ENVIOS'!$A$4:$A$204,Config!$B$10))</f>
        <v/>
      </c>
      <c r="F102" s="44" t="str">
        <f>IF($A102="","",SUMIFS('DATA RECOJOS'!$D$4:$D$201,'DATA RECOJOS'!$B$4:$B$201,$A102,'DATA RECOJOS'!$A$4:$A$201,Config!$B$9))</f>
        <v/>
      </c>
      <c r="G102" s="44" t="str">
        <f>IF($A102="","",SUMIFS('DATA RECOJOS'!$D$4:$D$201,'DATA RECOJOS'!$B$4:$B$201,$A102,'DATA RECOJOS'!$A$4:$A$201,Config!$B$10))</f>
        <v/>
      </c>
      <c r="H102" s="44" t="str">
        <f t="shared" si="1"/>
        <v/>
      </c>
      <c r="I102" s="44" t="str">
        <f t="shared" si="2"/>
        <v/>
      </c>
    </row>
    <row r="103" ht="15.75" customHeight="1">
      <c r="A103" s="44" t="str">
        <f>IF(Tiendas!$A102="","",Tiendas!$A102)</f>
        <v/>
      </c>
      <c r="B103" s="44" t="str">
        <f>IF($A103="","",Tiendas!$B102)</f>
        <v/>
      </c>
      <c r="C103" s="44" t="str">
        <f>IF($A103="","",COUNTIFS('DATA ENVIOS'!$B$4:$B$204,$A103,'DATA ENVIOS'!$A$4:$A$204,Config!$B$4))</f>
        <v/>
      </c>
      <c r="D103" s="44" t="str">
        <f>IF($A103="","",COUNTIFS('DATA ENVIOS'!$B$4:$B$204,$A103,'DATA ENVIOS'!$A$4:$A$204,Config!$B$9))</f>
        <v/>
      </c>
      <c r="E103" s="44" t="str">
        <f>IF($A103="","",COUNTIFS('DATA ENVIOS'!$B$4:$B$204,$A103,'DATA ENVIOS'!$A$4:$A$204,Config!$B$10))</f>
        <v/>
      </c>
      <c r="F103" s="44" t="str">
        <f>IF($A103="","",SUMIFS('DATA RECOJOS'!$D$4:$D$201,'DATA RECOJOS'!$B$4:$B$201,$A103,'DATA RECOJOS'!$A$4:$A$201,Config!$B$9))</f>
        <v/>
      </c>
      <c r="G103" s="44" t="str">
        <f>IF($A103="","",SUMIFS('DATA RECOJOS'!$D$4:$D$201,'DATA RECOJOS'!$B$4:$B$201,$A103,'DATA RECOJOS'!$A$4:$A$201,Config!$B$10))</f>
        <v/>
      </c>
      <c r="H103" s="44" t="str">
        <f t="shared" si="1"/>
        <v/>
      </c>
      <c r="I103" s="44" t="str">
        <f t="shared" si="2"/>
        <v/>
      </c>
    </row>
    <row r="104" ht="15.75" customHeight="1">
      <c r="A104" s="44" t="str">
        <f>IF(Tiendas!$A103="","",Tiendas!$A103)</f>
        <v/>
      </c>
      <c r="B104" s="44" t="str">
        <f>IF($A104="","",Tiendas!$B103)</f>
        <v/>
      </c>
      <c r="C104" s="44" t="str">
        <f>IF($A104="","",COUNTIFS('DATA ENVIOS'!$B$4:$B$204,$A104,'DATA ENVIOS'!$A$4:$A$204,Config!$B$4))</f>
        <v/>
      </c>
      <c r="D104" s="44" t="str">
        <f>IF($A104="","",COUNTIFS('DATA ENVIOS'!$B$4:$B$204,$A104,'DATA ENVIOS'!$A$4:$A$204,Config!$B$9))</f>
        <v/>
      </c>
      <c r="E104" s="44" t="str">
        <f>IF($A104="","",COUNTIFS('DATA ENVIOS'!$B$4:$B$204,$A104,'DATA ENVIOS'!$A$4:$A$204,Config!$B$10))</f>
        <v/>
      </c>
      <c r="F104" s="44" t="str">
        <f>IF($A104="","",SUMIFS('DATA RECOJOS'!$D$4:$D$201,'DATA RECOJOS'!$B$4:$B$201,$A104,'DATA RECOJOS'!$A$4:$A$201,Config!$B$9))</f>
        <v/>
      </c>
      <c r="G104" s="44" t="str">
        <f>IF($A104="","",SUMIFS('DATA RECOJOS'!$D$4:$D$201,'DATA RECOJOS'!$B$4:$B$201,$A104,'DATA RECOJOS'!$A$4:$A$201,Config!$B$10))</f>
        <v/>
      </c>
      <c r="H104" s="44" t="str">
        <f t="shared" si="1"/>
        <v/>
      </c>
      <c r="I104" s="44" t="str">
        <f t="shared" si="2"/>
        <v/>
      </c>
    </row>
    <row r="105" ht="15.75" customHeight="1">
      <c r="A105" s="44" t="str">
        <f>IF(Tiendas!$A104="","",Tiendas!$A104)</f>
        <v/>
      </c>
      <c r="B105" s="44" t="str">
        <f>IF($A105="","",Tiendas!$B104)</f>
        <v/>
      </c>
      <c r="C105" s="44" t="str">
        <f>IF($A105="","",COUNTIFS('DATA ENVIOS'!$B$4:$B$204,$A105,'DATA ENVIOS'!$A$4:$A$204,Config!$B$4))</f>
        <v/>
      </c>
      <c r="D105" s="44" t="str">
        <f>IF($A105="","",COUNTIFS('DATA ENVIOS'!$B$4:$B$204,$A105,'DATA ENVIOS'!$A$4:$A$204,Config!$B$9))</f>
        <v/>
      </c>
      <c r="E105" s="44" t="str">
        <f>IF($A105="","",COUNTIFS('DATA ENVIOS'!$B$4:$B$204,$A105,'DATA ENVIOS'!$A$4:$A$204,Config!$B$10))</f>
        <v/>
      </c>
      <c r="F105" s="44" t="str">
        <f>IF($A105="","",SUMIFS('DATA RECOJOS'!$D$4:$D$201,'DATA RECOJOS'!$B$4:$B$201,$A105,'DATA RECOJOS'!$A$4:$A$201,Config!$B$9))</f>
        <v/>
      </c>
      <c r="G105" s="44" t="str">
        <f>IF($A105="","",SUMIFS('DATA RECOJOS'!$D$4:$D$201,'DATA RECOJOS'!$B$4:$B$201,$A105,'DATA RECOJOS'!$A$4:$A$201,Config!$B$10))</f>
        <v/>
      </c>
      <c r="H105" s="44" t="str">
        <f t="shared" si="1"/>
        <v/>
      </c>
      <c r="I105" s="44" t="str">
        <f t="shared" si="2"/>
        <v/>
      </c>
    </row>
    <row r="106" ht="15.75" customHeight="1">
      <c r="A106" s="44" t="str">
        <f>IF(Tiendas!$A105="","",Tiendas!$A105)</f>
        <v/>
      </c>
      <c r="B106" s="44" t="str">
        <f>IF($A106="","",Tiendas!$B105)</f>
        <v/>
      </c>
      <c r="C106" s="44" t="str">
        <f>IF($A106="","",COUNTIFS('DATA ENVIOS'!$B$4:$B$204,$A106,'DATA ENVIOS'!$A$4:$A$204,Config!$B$4))</f>
        <v/>
      </c>
      <c r="D106" s="44" t="str">
        <f>IF($A106="","",COUNTIFS('DATA ENVIOS'!$B$4:$B$204,$A106,'DATA ENVIOS'!$A$4:$A$204,Config!$B$9))</f>
        <v/>
      </c>
      <c r="E106" s="44" t="str">
        <f>IF($A106="","",COUNTIFS('DATA ENVIOS'!$B$4:$B$204,$A106,'DATA ENVIOS'!$A$4:$A$204,Config!$B$10))</f>
        <v/>
      </c>
      <c r="F106" s="44" t="str">
        <f>IF($A106="","",SUMIFS('DATA RECOJOS'!$D$4:$D$201,'DATA RECOJOS'!$B$4:$B$201,$A106,'DATA RECOJOS'!$A$4:$A$201,Config!$B$9))</f>
        <v/>
      </c>
      <c r="G106" s="44" t="str">
        <f>IF($A106="","",SUMIFS('DATA RECOJOS'!$D$4:$D$201,'DATA RECOJOS'!$B$4:$B$201,$A106,'DATA RECOJOS'!$A$4:$A$201,Config!$B$10))</f>
        <v/>
      </c>
      <c r="H106" s="44" t="str">
        <f t="shared" si="1"/>
        <v/>
      </c>
      <c r="I106" s="44" t="str">
        <f t="shared" si="2"/>
        <v/>
      </c>
    </row>
    <row r="107" ht="15.75" customHeight="1">
      <c r="A107" s="44" t="str">
        <f>IF(Tiendas!$A106="","",Tiendas!$A106)</f>
        <v/>
      </c>
      <c r="B107" s="44" t="str">
        <f>IF($A107="","",Tiendas!$B106)</f>
        <v/>
      </c>
      <c r="C107" s="44" t="str">
        <f>IF($A107="","",COUNTIFS('DATA ENVIOS'!$B$4:$B$204,$A107,'DATA ENVIOS'!$A$4:$A$204,Config!$B$4))</f>
        <v/>
      </c>
      <c r="D107" s="44" t="str">
        <f>IF($A107="","",COUNTIFS('DATA ENVIOS'!$B$4:$B$204,$A107,'DATA ENVIOS'!$A$4:$A$204,Config!$B$9))</f>
        <v/>
      </c>
      <c r="E107" s="44" t="str">
        <f>IF($A107="","",COUNTIFS('DATA ENVIOS'!$B$4:$B$204,$A107,'DATA ENVIOS'!$A$4:$A$204,Config!$B$10))</f>
        <v/>
      </c>
      <c r="F107" s="44" t="str">
        <f>IF($A107="","",SUMIFS('DATA RECOJOS'!$D$4:$D$201,'DATA RECOJOS'!$B$4:$B$201,$A107,'DATA RECOJOS'!$A$4:$A$201,Config!$B$9))</f>
        <v/>
      </c>
      <c r="G107" s="44" t="str">
        <f>IF($A107="","",SUMIFS('DATA RECOJOS'!$D$4:$D$201,'DATA RECOJOS'!$B$4:$B$201,$A107,'DATA RECOJOS'!$A$4:$A$201,Config!$B$10))</f>
        <v/>
      </c>
      <c r="H107" s="44" t="str">
        <f t="shared" si="1"/>
        <v/>
      </c>
      <c r="I107" s="44" t="str">
        <f t="shared" si="2"/>
        <v/>
      </c>
    </row>
    <row r="108" ht="15.75" customHeight="1">
      <c r="A108" s="44" t="str">
        <f>IF(Tiendas!$A107="","",Tiendas!$A107)</f>
        <v/>
      </c>
      <c r="B108" s="44" t="str">
        <f>IF($A108="","",Tiendas!$B107)</f>
        <v/>
      </c>
      <c r="C108" s="44" t="str">
        <f>IF($A108="","",COUNTIFS('DATA ENVIOS'!$B$4:$B$204,$A108,'DATA ENVIOS'!$A$4:$A$204,Config!$B$4))</f>
        <v/>
      </c>
      <c r="D108" s="44" t="str">
        <f>IF($A108="","",COUNTIFS('DATA ENVIOS'!$B$4:$B$204,$A108,'DATA ENVIOS'!$A$4:$A$204,Config!$B$9))</f>
        <v/>
      </c>
      <c r="E108" s="44" t="str">
        <f>IF($A108="","",COUNTIFS('DATA ENVIOS'!$B$4:$B$204,$A108,'DATA ENVIOS'!$A$4:$A$204,Config!$B$10))</f>
        <v/>
      </c>
      <c r="F108" s="44" t="str">
        <f>IF($A108="","",SUMIFS('DATA RECOJOS'!$D$4:$D$201,'DATA RECOJOS'!$B$4:$B$201,$A108,'DATA RECOJOS'!$A$4:$A$201,Config!$B$9))</f>
        <v/>
      </c>
      <c r="G108" s="44" t="str">
        <f>IF($A108="","",SUMIFS('DATA RECOJOS'!$D$4:$D$201,'DATA RECOJOS'!$B$4:$B$201,$A108,'DATA RECOJOS'!$A$4:$A$201,Config!$B$10))</f>
        <v/>
      </c>
      <c r="H108" s="44" t="str">
        <f t="shared" si="1"/>
        <v/>
      </c>
      <c r="I108" s="44" t="str">
        <f t="shared" si="2"/>
        <v/>
      </c>
    </row>
    <row r="109" ht="15.75" customHeight="1">
      <c r="A109" s="44" t="str">
        <f>IF(Tiendas!$A108="","",Tiendas!$A108)</f>
        <v/>
      </c>
      <c r="B109" s="44" t="str">
        <f>IF($A109="","",Tiendas!$B108)</f>
        <v/>
      </c>
      <c r="C109" s="44" t="str">
        <f>IF($A109="","",COUNTIFS('DATA ENVIOS'!$B$4:$B$204,$A109,'DATA ENVIOS'!$A$4:$A$204,Config!$B$4))</f>
        <v/>
      </c>
      <c r="D109" s="44" t="str">
        <f>IF($A109="","",COUNTIFS('DATA ENVIOS'!$B$4:$B$204,$A109,'DATA ENVIOS'!$A$4:$A$204,Config!$B$9))</f>
        <v/>
      </c>
      <c r="E109" s="44" t="str">
        <f>IF($A109="","",COUNTIFS('DATA ENVIOS'!$B$4:$B$204,$A109,'DATA ENVIOS'!$A$4:$A$204,Config!$B$10))</f>
        <v/>
      </c>
      <c r="F109" s="44" t="str">
        <f>IF($A109="","",SUMIFS('DATA RECOJOS'!$D$4:$D$201,'DATA RECOJOS'!$B$4:$B$201,$A109,'DATA RECOJOS'!$A$4:$A$201,Config!$B$9))</f>
        <v/>
      </c>
      <c r="G109" s="44" t="str">
        <f>IF($A109="","",SUMIFS('DATA RECOJOS'!$D$4:$D$201,'DATA RECOJOS'!$B$4:$B$201,$A109,'DATA RECOJOS'!$A$4:$A$201,Config!$B$10))</f>
        <v/>
      </c>
      <c r="H109" s="44" t="str">
        <f t="shared" si="1"/>
        <v/>
      </c>
      <c r="I109" s="44" t="str">
        <f t="shared" si="2"/>
        <v/>
      </c>
    </row>
    <row r="110" ht="15.75" customHeight="1">
      <c r="A110" s="44" t="str">
        <f>IF(Tiendas!$A109="","",Tiendas!$A109)</f>
        <v/>
      </c>
      <c r="B110" s="44" t="str">
        <f>IF($A110="","",Tiendas!$B109)</f>
        <v/>
      </c>
      <c r="C110" s="44" t="str">
        <f>IF($A110="","",COUNTIFS('DATA ENVIOS'!$B$4:$B$204,$A110,'DATA ENVIOS'!$A$4:$A$204,Config!$B$4))</f>
        <v/>
      </c>
      <c r="D110" s="44" t="str">
        <f>IF($A110="","",COUNTIFS('DATA ENVIOS'!$B$4:$B$204,$A110,'DATA ENVIOS'!$A$4:$A$204,Config!$B$9))</f>
        <v/>
      </c>
      <c r="E110" s="44" t="str">
        <f>IF($A110="","",COUNTIFS('DATA ENVIOS'!$B$4:$B$204,$A110,'DATA ENVIOS'!$A$4:$A$204,Config!$B$10))</f>
        <v/>
      </c>
      <c r="F110" s="44" t="str">
        <f>IF($A110="","",SUMIFS('DATA RECOJOS'!$D$4:$D$201,'DATA RECOJOS'!$B$4:$B$201,$A110,'DATA RECOJOS'!$A$4:$A$201,Config!$B$9))</f>
        <v/>
      </c>
      <c r="G110" s="44" t="str">
        <f>IF($A110="","",SUMIFS('DATA RECOJOS'!$D$4:$D$201,'DATA RECOJOS'!$B$4:$B$201,$A110,'DATA RECOJOS'!$A$4:$A$201,Config!$B$10))</f>
        <v/>
      </c>
      <c r="H110" s="44" t="str">
        <f t="shared" si="1"/>
        <v/>
      </c>
      <c r="I110" s="44" t="str">
        <f t="shared" si="2"/>
        <v/>
      </c>
    </row>
    <row r="111" ht="15.75" customHeight="1">
      <c r="A111" s="44" t="str">
        <f>IF(Tiendas!$A110="","",Tiendas!$A110)</f>
        <v/>
      </c>
      <c r="B111" s="44" t="str">
        <f>IF($A111="","",Tiendas!$B110)</f>
        <v/>
      </c>
      <c r="C111" s="44" t="str">
        <f>IF($A111="","",COUNTIFS('DATA ENVIOS'!$B$4:$B$204,$A111,'DATA ENVIOS'!$A$4:$A$204,Config!$B$4))</f>
        <v/>
      </c>
      <c r="D111" s="44" t="str">
        <f>IF($A111="","",COUNTIFS('DATA ENVIOS'!$B$4:$B$204,$A111,'DATA ENVIOS'!$A$4:$A$204,Config!$B$9))</f>
        <v/>
      </c>
      <c r="E111" s="44" t="str">
        <f>IF($A111="","",COUNTIFS('DATA ENVIOS'!$B$4:$B$204,$A111,'DATA ENVIOS'!$A$4:$A$204,Config!$B$10))</f>
        <v/>
      </c>
      <c r="F111" s="44" t="str">
        <f>IF($A111="","",SUMIFS('DATA RECOJOS'!$D$4:$D$201,'DATA RECOJOS'!$B$4:$B$201,$A111,'DATA RECOJOS'!$A$4:$A$201,Config!$B$9))</f>
        <v/>
      </c>
      <c r="G111" s="44" t="str">
        <f>IF($A111="","",SUMIFS('DATA RECOJOS'!$D$4:$D$201,'DATA RECOJOS'!$B$4:$B$201,$A111,'DATA RECOJOS'!$A$4:$A$201,Config!$B$10))</f>
        <v/>
      </c>
      <c r="H111" s="44" t="str">
        <f t="shared" si="1"/>
        <v/>
      </c>
      <c r="I111" s="44" t="str">
        <f t="shared" si="2"/>
        <v/>
      </c>
    </row>
    <row r="112" ht="15.75" customHeight="1">
      <c r="A112" s="44" t="str">
        <f>IF(Tiendas!$A111="","",Tiendas!$A111)</f>
        <v/>
      </c>
      <c r="B112" s="44" t="str">
        <f>IF($A112="","",Tiendas!$B111)</f>
        <v/>
      </c>
      <c r="C112" s="44" t="str">
        <f>IF($A112="","",COUNTIFS('DATA ENVIOS'!$B$4:$B$204,$A112,'DATA ENVIOS'!$A$4:$A$204,Config!$B$4))</f>
        <v/>
      </c>
      <c r="D112" s="44" t="str">
        <f>IF($A112="","",COUNTIFS('DATA ENVIOS'!$B$4:$B$204,$A112,'DATA ENVIOS'!$A$4:$A$204,Config!$B$9))</f>
        <v/>
      </c>
      <c r="E112" s="44" t="str">
        <f>IF($A112="","",COUNTIFS('DATA ENVIOS'!$B$4:$B$204,$A112,'DATA ENVIOS'!$A$4:$A$204,Config!$B$10))</f>
        <v/>
      </c>
      <c r="F112" s="44" t="str">
        <f>IF($A112="","",SUMIFS('DATA RECOJOS'!$D$4:$D$201,'DATA RECOJOS'!$B$4:$B$201,$A112,'DATA RECOJOS'!$A$4:$A$201,Config!$B$9))</f>
        <v/>
      </c>
      <c r="G112" s="44" t="str">
        <f>IF($A112="","",SUMIFS('DATA RECOJOS'!$D$4:$D$201,'DATA RECOJOS'!$B$4:$B$201,$A112,'DATA RECOJOS'!$A$4:$A$201,Config!$B$10))</f>
        <v/>
      </c>
      <c r="H112" s="44" t="str">
        <f t="shared" si="1"/>
        <v/>
      </c>
      <c r="I112" s="44" t="str">
        <f t="shared" si="2"/>
        <v/>
      </c>
    </row>
    <row r="113" ht="15.75" customHeight="1">
      <c r="A113" s="44" t="str">
        <f>IF(Tiendas!$A112="","",Tiendas!$A112)</f>
        <v/>
      </c>
      <c r="B113" s="44" t="str">
        <f>IF($A113="","",Tiendas!$B112)</f>
        <v/>
      </c>
      <c r="C113" s="44" t="str">
        <f>IF($A113="","",COUNTIFS('DATA ENVIOS'!$B$4:$B$204,$A113,'DATA ENVIOS'!$A$4:$A$204,Config!$B$4))</f>
        <v/>
      </c>
      <c r="D113" s="44" t="str">
        <f>IF($A113="","",COUNTIFS('DATA ENVIOS'!$B$4:$B$204,$A113,'DATA ENVIOS'!$A$4:$A$204,Config!$B$9))</f>
        <v/>
      </c>
      <c r="E113" s="44" t="str">
        <f>IF($A113="","",COUNTIFS('DATA ENVIOS'!$B$4:$B$204,$A113,'DATA ENVIOS'!$A$4:$A$204,Config!$B$10))</f>
        <v/>
      </c>
      <c r="F113" s="44" t="str">
        <f>IF($A113="","",SUMIFS('DATA RECOJOS'!$D$4:$D$201,'DATA RECOJOS'!$B$4:$B$201,$A113,'DATA RECOJOS'!$A$4:$A$201,Config!$B$9))</f>
        <v/>
      </c>
      <c r="G113" s="44" t="str">
        <f>IF($A113="","",SUMIFS('DATA RECOJOS'!$D$4:$D$201,'DATA RECOJOS'!$B$4:$B$201,$A113,'DATA RECOJOS'!$A$4:$A$201,Config!$B$10))</f>
        <v/>
      </c>
      <c r="H113" s="44" t="str">
        <f t="shared" si="1"/>
        <v/>
      </c>
      <c r="I113" s="44" t="str">
        <f t="shared" si="2"/>
        <v/>
      </c>
    </row>
    <row r="114" ht="15.75" customHeight="1">
      <c r="A114" s="44" t="str">
        <f>IF(Tiendas!$A113="","",Tiendas!$A113)</f>
        <v/>
      </c>
      <c r="B114" s="44" t="str">
        <f>IF($A114="","",Tiendas!$B113)</f>
        <v/>
      </c>
      <c r="C114" s="44" t="str">
        <f>IF($A114="","",COUNTIFS('DATA ENVIOS'!$B$4:$B$204,$A114,'DATA ENVIOS'!$A$4:$A$204,Config!$B$4))</f>
        <v/>
      </c>
      <c r="D114" s="44" t="str">
        <f>IF($A114="","",COUNTIFS('DATA ENVIOS'!$B$4:$B$204,$A114,'DATA ENVIOS'!$A$4:$A$204,Config!$B$9))</f>
        <v/>
      </c>
      <c r="E114" s="44" t="str">
        <f>IF($A114="","",COUNTIFS('DATA ENVIOS'!$B$4:$B$204,$A114,'DATA ENVIOS'!$A$4:$A$204,Config!$B$10))</f>
        <v/>
      </c>
      <c r="F114" s="44" t="str">
        <f>IF($A114="","",SUMIFS('DATA RECOJOS'!$D$4:$D$201,'DATA RECOJOS'!$B$4:$B$201,$A114,'DATA RECOJOS'!$A$4:$A$201,Config!$B$9))</f>
        <v/>
      </c>
      <c r="G114" s="44" t="str">
        <f>IF($A114="","",SUMIFS('DATA RECOJOS'!$D$4:$D$201,'DATA RECOJOS'!$B$4:$B$201,$A114,'DATA RECOJOS'!$A$4:$A$201,Config!$B$10))</f>
        <v/>
      </c>
      <c r="H114" s="44" t="str">
        <f t="shared" si="1"/>
        <v/>
      </c>
      <c r="I114" s="44" t="str">
        <f t="shared" si="2"/>
        <v/>
      </c>
    </row>
    <row r="115" ht="15.75" customHeight="1">
      <c r="A115" s="44" t="str">
        <f>IF(Tiendas!$A114="","",Tiendas!$A114)</f>
        <v/>
      </c>
      <c r="B115" s="44" t="str">
        <f>IF($A115="","",Tiendas!$B114)</f>
        <v/>
      </c>
      <c r="C115" s="44" t="str">
        <f>IF($A115="","",COUNTIFS('DATA ENVIOS'!$B$4:$B$204,$A115,'DATA ENVIOS'!$A$4:$A$204,Config!$B$4))</f>
        <v/>
      </c>
      <c r="D115" s="44" t="str">
        <f>IF($A115="","",COUNTIFS('DATA ENVIOS'!$B$4:$B$204,$A115,'DATA ENVIOS'!$A$4:$A$204,Config!$B$9))</f>
        <v/>
      </c>
      <c r="E115" s="44" t="str">
        <f>IF($A115="","",COUNTIFS('DATA ENVIOS'!$B$4:$B$204,$A115,'DATA ENVIOS'!$A$4:$A$204,Config!$B$10))</f>
        <v/>
      </c>
      <c r="F115" s="44" t="str">
        <f>IF($A115="","",SUMIFS('DATA RECOJOS'!$D$4:$D$201,'DATA RECOJOS'!$B$4:$B$201,$A115,'DATA RECOJOS'!$A$4:$A$201,Config!$B$9))</f>
        <v/>
      </c>
      <c r="G115" s="44" t="str">
        <f>IF($A115="","",SUMIFS('DATA RECOJOS'!$D$4:$D$201,'DATA RECOJOS'!$B$4:$B$201,$A115,'DATA RECOJOS'!$A$4:$A$201,Config!$B$10))</f>
        <v/>
      </c>
      <c r="H115" s="44" t="str">
        <f t="shared" si="1"/>
        <v/>
      </c>
      <c r="I115" s="44" t="str">
        <f t="shared" si="2"/>
        <v/>
      </c>
    </row>
    <row r="116" ht="15.75" customHeight="1">
      <c r="A116" s="44" t="str">
        <f>IF(Tiendas!$A115="","",Tiendas!$A115)</f>
        <v/>
      </c>
      <c r="B116" s="44" t="str">
        <f>IF($A116="","",Tiendas!$B115)</f>
        <v/>
      </c>
      <c r="C116" s="44" t="str">
        <f>IF($A116="","",COUNTIFS('DATA ENVIOS'!$B$4:$B$204,$A116,'DATA ENVIOS'!$A$4:$A$204,Config!$B$4))</f>
        <v/>
      </c>
      <c r="D116" s="44" t="str">
        <f>IF($A116="","",COUNTIFS('DATA ENVIOS'!$B$4:$B$204,$A116,'DATA ENVIOS'!$A$4:$A$204,Config!$B$9))</f>
        <v/>
      </c>
      <c r="E116" s="44" t="str">
        <f>IF($A116="","",COUNTIFS('DATA ENVIOS'!$B$4:$B$204,$A116,'DATA ENVIOS'!$A$4:$A$204,Config!$B$10))</f>
        <v/>
      </c>
      <c r="F116" s="44" t="str">
        <f>IF($A116="","",SUMIFS('DATA RECOJOS'!$D$4:$D$201,'DATA RECOJOS'!$B$4:$B$201,$A116,'DATA RECOJOS'!$A$4:$A$201,Config!$B$9))</f>
        <v/>
      </c>
      <c r="G116" s="44" t="str">
        <f>IF($A116="","",SUMIFS('DATA RECOJOS'!$D$4:$D$201,'DATA RECOJOS'!$B$4:$B$201,$A116,'DATA RECOJOS'!$A$4:$A$201,Config!$B$10))</f>
        <v/>
      </c>
      <c r="H116" s="44" t="str">
        <f t="shared" si="1"/>
        <v/>
      </c>
      <c r="I116" s="44" t="str">
        <f t="shared" si="2"/>
        <v/>
      </c>
    </row>
    <row r="117" ht="15.75" customHeight="1">
      <c r="A117" s="44" t="str">
        <f>IF(Tiendas!$A116="","",Tiendas!$A116)</f>
        <v/>
      </c>
      <c r="B117" s="44" t="str">
        <f>IF($A117="","",Tiendas!$B116)</f>
        <v/>
      </c>
      <c r="C117" s="44" t="str">
        <f>IF($A117="","",COUNTIFS('DATA ENVIOS'!$B$4:$B$204,$A117,'DATA ENVIOS'!$A$4:$A$204,Config!$B$4))</f>
        <v/>
      </c>
      <c r="D117" s="44" t="str">
        <f>IF($A117="","",COUNTIFS('DATA ENVIOS'!$B$4:$B$204,$A117,'DATA ENVIOS'!$A$4:$A$204,Config!$B$9))</f>
        <v/>
      </c>
      <c r="E117" s="44" t="str">
        <f>IF($A117="","",COUNTIFS('DATA ENVIOS'!$B$4:$B$204,$A117,'DATA ENVIOS'!$A$4:$A$204,Config!$B$10))</f>
        <v/>
      </c>
      <c r="F117" s="44" t="str">
        <f>IF($A117="","",SUMIFS('DATA RECOJOS'!$D$4:$D$201,'DATA RECOJOS'!$B$4:$B$201,$A117,'DATA RECOJOS'!$A$4:$A$201,Config!$B$9))</f>
        <v/>
      </c>
      <c r="G117" s="44" t="str">
        <f>IF($A117="","",SUMIFS('DATA RECOJOS'!$D$4:$D$201,'DATA RECOJOS'!$B$4:$B$201,$A117,'DATA RECOJOS'!$A$4:$A$201,Config!$B$10))</f>
        <v/>
      </c>
      <c r="H117" s="44" t="str">
        <f t="shared" si="1"/>
        <v/>
      </c>
      <c r="I117" s="44" t="str">
        <f t="shared" si="2"/>
        <v/>
      </c>
    </row>
    <row r="118" ht="15.75" customHeight="1">
      <c r="A118" s="44" t="str">
        <f>IF(Tiendas!$A117="","",Tiendas!$A117)</f>
        <v/>
      </c>
      <c r="B118" s="44" t="str">
        <f>IF($A118="","",Tiendas!$B117)</f>
        <v/>
      </c>
      <c r="C118" s="44" t="str">
        <f>IF($A118="","",COUNTIFS('DATA ENVIOS'!$B$4:$B$204,$A118,'DATA ENVIOS'!$A$4:$A$204,Config!$B$4))</f>
        <v/>
      </c>
      <c r="D118" s="44" t="str">
        <f>IF($A118="","",COUNTIFS('DATA ENVIOS'!$B$4:$B$204,$A118,'DATA ENVIOS'!$A$4:$A$204,Config!$B$9))</f>
        <v/>
      </c>
      <c r="E118" s="44" t="str">
        <f>IF($A118="","",COUNTIFS('DATA ENVIOS'!$B$4:$B$204,$A118,'DATA ENVIOS'!$A$4:$A$204,Config!$B$10))</f>
        <v/>
      </c>
      <c r="F118" s="44" t="str">
        <f>IF($A118="","",SUMIFS('DATA RECOJOS'!$D$4:$D$201,'DATA RECOJOS'!$B$4:$B$201,$A118,'DATA RECOJOS'!$A$4:$A$201,Config!$B$9))</f>
        <v/>
      </c>
      <c r="G118" s="44" t="str">
        <f>IF($A118="","",SUMIFS('DATA RECOJOS'!$D$4:$D$201,'DATA RECOJOS'!$B$4:$B$201,$A118,'DATA RECOJOS'!$A$4:$A$201,Config!$B$10))</f>
        <v/>
      </c>
      <c r="H118" s="44" t="str">
        <f t="shared" si="1"/>
        <v/>
      </c>
      <c r="I118" s="44" t="str">
        <f t="shared" si="2"/>
        <v/>
      </c>
    </row>
    <row r="119" ht="15.75" customHeight="1">
      <c r="A119" s="44" t="str">
        <f>IF(Tiendas!$A118="","",Tiendas!$A118)</f>
        <v/>
      </c>
      <c r="B119" s="44" t="str">
        <f>IF($A119="","",Tiendas!$B118)</f>
        <v/>
      </c>
      <c r="C119" s="44" t="str">
        <f>IF($A119="","",COUNTIFS('DATA ENVIOS'!$B$4:$B$204,$A119,'DATA ENVIOS'!$A$4:$A$204,Config!$B$4))</f>
        <v/>
      </c>
      <c r="D119" s="44" t="str">
        <f>IF($A119="","",COUNTIFS('DATA ENVIOS'!$B$4:$B$204,$A119,'DATA ENVIOS'!$A$4:$A$204,Config!$B$9))</f>
        <v/>
      </c>
      <c r="E119" s="44" t="str">
        <f>IF($A119="","",COUNTIFS('DATA ENVIOS'!$B$4:$B$204,$A119,'DATA ENVIOS'!$A$4:$A$204,Config!$B$10))</f>
        <v/>
      </c>
      <c r="F119" s="44" t="str">
        <f>IF($A119="","",SUMIFS('DATA RECOJOS'!$D$4:$D$201,'DATA RECOJOS'!$B$4:$B$201,$A119,'DATA RECOJOS'!$A$4:$A$201,Config!$B$9))</f>
        <v/>
      </c>
      <c r="G119" s="44" t="str">
        <f>IF($A119="","",SUMIFS('DATA RECOJOS'!$D$4:$D$201,'DATA RECOJOS'!$B$4:$B$201,$A119,'DATA RECOJOS'!$A$4:$A$201,Config!$B$10))</f>
        <v/>
      </c>
      <c r="H119" s="44" t="str">
        <f t="shared" si="1"/>
        <v/>
      </c>
      <c r="I119" s="44" t="str">
        <f t="shared" si="2"/>
        <v/>
      </c>
    </row>
    <row r="120" ht="15.75" customHeight="1">
      <c r="A120" s="44" t="str">
        <f>IF(Tiendas!$A119="","",Tiendas!$A119)</f>
        <v/>
      </c>
      <c r="B120" s="44" t="str">
        <f>IF($A120="","",Tiendas!$B119)</f>
        <v/>
      </c>
      <c r="C120" s="44" t="str">
        <f>IF($A120="","",COUNTIFS('DATA ENVIOS'!$B$4:$B$204,$A120,'DATA ENVIOS'!$A$4:$A$204,Config!$B$4))</f>
        <v/>
      </c>
      <c r="D120" s="44" t="str">
        <f>IF($A120="","",COUNTIFS('DATA ENVIOS'!$B$4:$B$204,$A120,'DATA ENVIOS'!$A$4:$A$204,Config!$B$9))</f>
        <v/>
      </c>
      <c r="E120" s="44" t="str">
        <f>IF($A120="","",COUNTIFS('DATA ENVIOS'!$B$4:$B$204,$A120,'DATA ENVIOS'!$A$4:$A$204,Config!$B$10))</f>
        <v/>
      </c>
      <c r="F120" s="44" t="str">
        <f>IF($A120="","",SUMIFS('DATA RECOJOS'!$D$4:$D$201,'DATA RECOJOS'!$B$4:$B$201,$A120,'DATA RECOJOS'!$A$4:$A$201,Config!$B$9))</f>
        <v/>
      </c>
      <c r="G120" s="44" t="str">
        <f>IF($A120="","",SUMIFS('DATA RECOJOS'!$D$4:$D$201,'DATA RECOJOS'!$B$4:$B$201,$A120,'DATA RECOJOS'!$A$4:$A$201,Config!$B$10))</f>
        <v/>
      </c>
      <c r="H120" s="44" t="str">
        <f t="shared" si="1"/>
        <v/>
      </c>
      <c r="I120" s="44" t="str">
        <f t="shared" si="2"/>
        <v/>
      </c>
    </row>
    <row r="121" ht="15.75" customHeight="1">
      <c r="A121" s="44" t="str">
        <f>IF(Tiendas!$A120="","",Tiendas!$A120)</f>
        <v/>
      </c>
      <c r="B121" s="44" t="str">
        <f>IF($A121="","",Tiendas!$B120)</f>
        <v/>
      </c>
      <c r="C121" s="44" t="str">
        <f>IF($A121="","",COUNTIFS('DATA ENVIOS'!$B$4:$B$204,$A121,'DATA ENVIOS'!$A$4:$A$204,Config!$B$4))</f>
        <v/>
      </c>
      <c r="D121" s="44" t="str">
        <f>IF($A121="","",COUNTIFS('DATA ENVIOS'!$B$4:$B$204,$A121,'DATA ENVIOS'!$A$4:$A$204,Config!$B$9))</f>
        <v/>
      </c>
      <c r="E121" s="44" t="str">
        <f>IF($A121="","",COUNTIFS('DATA ENVIOS'!$B$4:$B$204,$A121,'DATA ENVIOS'!$A$4:$A$204,Config!$B$10))</f>
        <v/>
      </c>
      <c r="F121" s="44" t="str">
        <f>IF($A121="","",SUMIFS('DATA RECOJOS'!$D$4:$D$201,'DATA RECOJOS'!$B$4:$B$201,$A121,'DATA RECOJOS'!$A$4:$A$201,Config!$B$9))</f>
        <v/>
      </c>
      <c r="G121" s="44" t="str">
        <f>IF($A121="","",SUMIFS('DATA RECOJOS'!$D$4:$D$201,'DATA RECOJOS'!$B$4:$B$201,$A121,'DATA RECOJOS'!$A$4:$A$201,Config!$B$10))</f>
        <v/>
      </c>
      <c r="H121" s="44" t="str">
        <f t="shared" si="1"/>
        <v/>
      </c>
      <c r="I121" s="44" t="str">
        <f t="shared" si="2"/>
        <v/>
      </c>
    </row>
    <row r="122" ht="15.75" customHeight="1">
      <c r="A122" s="44" t="str">
        <f>IF(Tiendas!$A121="","",Tiendas!$A121)</f>
        <v/>
      </c>
      <c r="B122" s="44" t="str">
        <f>IF($A122="","",Tiendas!$B121)</f>
        <v/>
      </c>
      <c r="C122" s="44" t="str">
        <f>IF($A122="","",COUNTIFS('DATA ENVIOS'!$B$4:$B$204,$A122,'DATA ENVIOS'!$A$4:$A$204,Config!$B$4))</f>
        <v/>
      </c>
      <c r="D122" s="44" t="str">
        <f>IF($A122="","",COUNTIFS('DATA ENVIOS'!$B$4:$B$204,$A122,'DATA ENVIOS'!$A$4:$A$204,Config!$B$9))</f>
        <v/>
      </c>
      <c r="E122" s="44" t="str">
        <f>IF($A122="","",COUNTIFS('DATA ENVIOS'!$B$4:$B$204,$A122,'DATA ENVIOS'!$A$4:$A$204,Config!$B$10))</f>
        <v/>
      </c>
      <c r="F122" s="44" t="str">
        <f>IF($A122="","",SUMIFS('DATA RECOJOS'!$D$4:$D$201,'DATA RECOJOS'!$B$4:$B$201,$A122,'DATA RECOJOS'!$A$4:$A$201,Config!$B$9))</f>
        <v/>
      </c>
      <c r="G122" s="44" t="str">
        <f>IF($A122="","",SUMIFS('DATA RECOJOS'!$D$4:$D$201,'DATA RECOJOS'!$B$4:$B$201,$A122,'DATA RECOJOS'!$A$4:$A$201,Config!$B$10))</f>
        <v/>
      </c>
      <c r="H122" s="44" t="str">
        <f t="shared" si="1"/>
        <v/>
      </c>
      <c r="I122" s="44" t="str">
        <f t="shared" si="2"/>
        <v/>
      </c>
    </row>
    <row r="123" ht="15.75" customHeight="1">
      <c r="A123" s="44" t="str">
        <f>IF(Tiendas!$A122="","",Tiendas!$A122)</f>
        <v/>
      </c>
      <c r="B123" s="44" t="str">
        <f>IF($A123="","",Tiendas!$B122)</f>
        <v/>
      </c>
      <c r="C123" s="44" t="str">
        <f>IF($A123="","",COUNTIFS('DATA ENVIOS'!$B$4:$B$204,$A123,'DATA ENVIOS'!$A$4:$A$204,Config!$B$4))</f>
        <v/>
      </c>
      <c r="D123" s="44" t="str">
        <f>IF($A123="","",COUNTIFS('DATA ENVIOS'!$B$4:$B$204,$A123,'DATA ENVIOS'!$A$4:$A$204,Config!$B$9))</f>
        <v/>
      </c>
      <c r="E123" s="44" t="str">
        <f>IF($A123="","",COUNTIFS('DATA ENVIOS'!$B$4:$B$204,$A123,'DATA ENVIOS'!$A$4:$A$204,Config!$B$10))</f>
        <v/>
      </c>
      <c r="F123" s="44" t="str">
        <f>IF($A123="","",SUMIFS('DATA RECOJOS'!$D$4:$D$201,'DATA RECOJOS'!$B$4:$B$201,$A123,'DATA RECOJOS'!$A$4:$A$201,Config!$B$9))</f>
        <v/>
      </c>
      <c r="G123" s="44" t="str">
        <f>IF($A123="","",SUMIFS('DATA RECOJOS'!$D$4:$D$201,'DATA RECOJOS'!$B$4:$B$201,$A123,'DATA RECOJOS'!$A$4:$A$201,Config!$B$10))</f>
        <v/>
      </c>
      <c r="H123" s="44" t="str">
        <f t="shared" si="1"/>
        <v/>
      </c>
      <c r="I123" s="44" t="str">
        <f t="shared" si="2"/>
        <v/>
      </c>
    </row>
    <row r="124" ht="15.75" customHeight="1">
      <c r="A124" s="44" t="str">
        <f>IF(Tiendas!$A123="","",Tiendas!$A123)</f>
        <v/>
      </c>
      <c r="B124" s="44" t="str">
        <f>IF($A124="","",Tiendas!$B123)</f>
        <v/>
      </c>
      <c r="C124" s="44" t="str">
        <f>IF($A124="","",COUNTIFS('DATA ENVIOS'!$B$4:$B$204,$A124,'DATA ENVIOS'!$A$4:$A$204,Config!$B$4))</f>
        <v/>
      </c>
      <c r="D124" s="44" t="str">
        <f>IF($A124="","",COUNTIFS('DATA ENVIOS'!$B$4:$B$204,$A124,'DATA ENVIOS'!$A$4:$A$204,Config!$B$9))</f>
        <v/>
      </c>
      <c r="E124" s="44" t="str">
        <f>IF($A124="","",COUNTIFS('DATA ENVIOS'!$B$4:$B$204,$A124,'DATA ENVIOS'!$A$4:$A$204,Config!$B$10))</f>
        <v/>
      </c>
      <c r="F124" s="44" t="str">
        <f>IF($A124="","",SUMIFS('DATA RECOJOS'!$D$4:$D$201,'DATA RECOJOS'!$B$4:$B$201,$A124,'DATA RECOJOS'!$A$4:$A$201,Config!$B$9))</f>
        <v/>
      </c>
      <c r="G124" s="44" t="str">
        <f>IF($A124="","",SUMIFS('DATA RECOJOS'!$D$4:$D$201,'DATA RECOJOS'!$B$4:$B$201,$A124,'DATA RECOJOS'!$A$4:$A$201,Config!$B$10))</f>
        <v/>
      </c>
      <c r="H124" s="44" t="str">
        <f t="shared" si="1"/>
        <v/>
      </c>
      <c r="I124" s="44" t="str">
        <f t="shared" si="2"/>
        <v/>
      </c>
    </row>
    <row r="125" ht="15.75" customHeight="1">
      <c r="A125" s="44" t="str">
        <f>IF(Tiendas!$A124="","",Tiendas!$A124)</f>
        <v/>
      </c>
      <c r="B125" s="44" t="str">
        <f>IF($A125="","",Tiendas!$B124)</f>
        <v/>
      </c>
      <c r="C125" s="44" t="str">
        <f>IF($A125="","",COUNTIFS('DATA ENVIOS'!$B$4:$B$204,$A125,'DATA ENVIOS'!$A$4:$A$204,Config!$B$4))</f>
        <v/>
      </c>
      <c r="D125" s="44" t="str">
        <f>IF($A125="","",COUNTIFS('DATA ENVIOS'!$B$4:$B$204,$A125,'DATA ENVIOS'!$A$4:$A$204,Config!$B$9))</f>
        <v/>
      </c>
      <c r="E125" s="44" t="str">
        <f>IF($A125="","",COUNTIFS('DATA ENVIOS'!$B$4:$B$204,$A125,'DATA ENVIOS'!$A$4:$A$204,Config!$B$10))</f>
        <v/>
      </c>
      <c r="F125" s="44" t="str">
        <f>IF($A125="","",SUMIFS('DATA RECOJOS'!$D$4:$D$201,'DATA RECOJOS'!$B$4:$B$201,$A125,'DATA RECOJOS'!$A$4:$A$201,Config!$B$9))</f>
        <v/>
      </c>
      <c r="G125" s="44" t="str">
        <f>IF($A125="","",SUMIFS('DATA RECOJOS'!$D$4:$D$201,'DATA RECOJOS'!$B$4:$B$201,$A125,'DATA RECOJOS'!$A$4:$A$201,Config!$B$10))</f>
        <v/>
      </c>
      <c r="H125" s="44" t="str">
        <f t="shared" si="1"/>
        <v/>
      </c>
      <c r="I125" s="44" t="str">
        <f t="shared" si="2"/>
        <v/>
      </c>
    </row>
    <row r="126" ht="15.75" customHeight="1">
      <c r="A126" s="44" t="str">
        <f>IF(Tiendas!$A125="","",Tiendas!$A125)</f>
        <v/>
      </c>
      <c r="B126" s="44" t="str">
        <f>IF($A126="","",Tiendas!$B125)</f>
        <v/>
      </c>
      <c r="C126" s="44" t="str">
        <f>IF($A126="","",COUNTIFS('DATA ENVIOS'!$B$4:$B$204,$A126,'DATA ENVIOS'!$A$4:$A$204,Config!$B$4))</f>
        <v/>
      </c>
      <c r="D126" s="44" t="str">
        <f>IF($A126="","",COUNTIFS('DATA ENVIOS'!$B$4:$B$204,$A126,'DATA ENVIOS'!$A$4:$A$204,Config!$B$9))</f>
        <v/>
      </c>
      <c r="E126" s="44" t="str">
        <f>IF($A126="","",COUNTIFS('DATA ENVIOS'!$B$4:$B$204,$A126,'DATA ENVIOS'!$A$4:$A$204,Config!$B$10))</f>
        <v/>
      </c>
      <c r="F126" s="44" t="str">
        <f>IF($A126="","",SUMIFS('DATA RECOJOS'!$D$4:$D$201,'DATA RECOJOS'!$B$4:$B$201,$A126,'DATA RECOJOS'!$A$4:$A$201,Config!$B$9))</f>
        <v/>
      </c>
      <c r="G126" s="44" t="str">
        <f>IF($A126="","",SUMIFS('DATA RECOJOS'!$D$4:$D$201,'DATA RECOJOS'!$B$4:$B$201,$A126,'DATA RECOJOS'!$A$4:$A$201,Config!$B$10))</f>
        <v/>
      </c>
      <c r="H126" s="44" t="str">
        <f t="shared" si="1"/>
        <v/>
      </c>
      <c r="I126" s="44" t="str">
        <f t="shared" si="2"/>
        <v/>
      </c>
    </row>
    <row r="127" ht="15.75" customHeight="1">
      <c r="A127" s="44" t="str">
        <f>IF(Tiendas!$A126="","",Tiendas!$A126)</f>
        <v/>
      </c>
      <c r="B127" s="44" t="str">
        <f>IF($A127="","",Tiendas!$B126)</f>
        <v/>
      </c>
      <c r="C127" s="44" t="str">
        <f>IF($A127="","",COUNTIFS('DATA ENVIOS'!$B$4:$B$204,$A127,'DATA ENVIOS'!$A$4:$A$204,Config!$B$4))</f>
        <v/>
      </c>
      <c r="D127" s="44" t="str">
        <f>IF($A127="","",COUNTIFS('DATA ENVIOS'!$B$4:$B$204,$A127,'DATA ENVIOS'!$A$4:$A$204,Config!$B$9))</f>
        <v/>
      </c>
      <c r="E127" s="44" t="str">
        <f>IF($A127="","",COUNTIFS('DATA ENVIOS'!$B$4:$B$204,$A127,'DATA ENVIOS'!$A$4:$A$204,Config!$B$10))</f>
        <v/>
      </c>
      <c r="F127" s="44" t="str">
        <f>IF($A127="","",SUMIFS('DATA RECOJOS'!$D$4:$D$201,'DATA RECOJOS'!$B$4:$B$201,$A127,'DATA RECOJOS'!$A$4:$A$201,Config!$B$9))</f>
        <v/>
      </c>
      <c r="G127" s="44" t="str">
        <f>IF($A127="","",SUMIFS('DATA RECOJOS'!$D$4:$D$201,'DATA RECOJOS'!$B$4:$B$201,$A127,'DATA RECOJOS'!$A$4:$A$201,Config!$B$10))</f>
        <v/>
      </c>
      <c r="H127" s="44" t="str">
        <f t="shared" si="1"/>
        <v/>
      </c>
      <c r="I127" s="44" t="str">
        <f t="shared" si="2"/>
        <v/>
      </c>
    </row>
    <row r="128" ht="15.75" customHeight="1">
      <c r="A128" s="44" t="str">
        <f>IF(Tiendas!$A127="","",Tiendas!$A127)</f>
        <v/>
      </c>
      <c r="B128" s="44" t="str">
        <f>IF($A128="","",Tiendas!$B127)</f>
        <v/>
      </c>
      <c r="C128" s="44" t="str">
        <f>IF($A128="","",COUNTIFS('DATA ENVIOS'!$B$4:$B$204,$A128,'DATA ENVIOS'!$A$4:$A$204,Config!$B$4))</f>
        <v/>
      </c>
      <c r="D128" s="44" t="str">
        <f>IF($A128="","",COUNTIFS('DATA ENVIOS'!$B$4:$B$204,$A128,'DATA ENVIOS'!$A$4:$A$204,Config!$B$9))</f>
        <v/>
      </c>
      <c r="E128" s="44" t="str">
        <f>IF($A128="","",COUNTIFS('DATA ENVIOS'!$B$4:$B$204,$A128,'DATA ENVIOS'!$A$4:$A$204,Config!$B$10))</f>
        <v/>
      </c>
      <c r="F128" s="44" t="str">
        <f>IF($A128="","",SUMIFS('DATA RECOJOS'!$D$4:$D$201,'DATA RECOJOS'!$B$4:$B$201,$A128,'DATA RECOJOS'!$A$4:$A$201,Config!$B$9))</f>
        <v/>
      </c>
      <c r="G128" s="44" t="str">
        <f>IF($A128="","",SUMIFS('DATA RECOJOS'!$D$4:$D$201,'DATA RECOJOS'!$B$4:$B$201,$A128,'DATA RECOJOS'!$A$4:$A$201,Config!$B$10))</f>
        <v/>
      </c>
      <c r="H128" s="44" t="str">
        <f t="shared" si="1"/>
        <v/>
      </c>
      <c r="I128" s="44" t="str">
        <f t="shared" si="2"/>
        <v/>
      </c>
    </row>
    <row r="129" ht="15.75" customHeight="1">
      <c r="A129" s="44" t="str">
        <f>IF(Tiendas!$A128="","",Tiendas!$A128)</f>
        <v/>
      </c>
      <c r="B129" s="44" t="str">
        <f>IF($A129="","",Tiendas!$B128)</f>
        <v/>
      </c>
      <c r="C129" s="44" t="str">
        <f>IF($A129="","",COUNTIFS('DATA ENVIOS'!$B$4:$B$204,$A129,'DATA ENVIOS'!$A$4:$A$204,Config!$B$4))</f>
        <v/>
      </c>
      <c r="D129" s="44" t="str">
        <f>IF($A129="","",COUNTIFS('DATA ENVIOS'!$B$4:$B$204,$A129,'DATA ENVIOS'!$A$4:$A$204,Config!$B$9))</f>
        <v/>
      </c>
      <c r="E129" s="44" t="str">
        <f>IF($A129="","",COUNTIFS('DATA ENVIOS'!$B$4:$B$204,$A129,'DATA ENVIOS'!$A$4:$A$204,Config!$B$10))</f>
        <v/>
      </c>
      <c r="F129" s="44" t="str">
        <f>IF($A129="","",SUMIFS('DATA RECOJOS'!$D$4:$D$201,'DATA RECOJOS'!$B$4:$B$201,$A129,'DATA RECOJOS'!$A$4:$A$201,Config!$B$9))</f>
        <v/>
      </c>
      <c r="G129" s="44" t="str">
        <f>IF($A129="","",SUMIFS('DATA RECOJOS'!$D$4:$D$201,'DATA RECOJOS'!$B$4:$B$201,$A129,'DATA RECOJOS'!$A$4:$A$201,Config!$B$10))</f>
        <v/>
      </c>
      <c r="H129" s="44" t="str">
        <f t="shared" si="1"/>
        <v/>
      </c>
      <c r="I129" s="44" t="str">
        <f t="shared" si="2"/>
        <v/>
      </c>
    </row>
    <row r="130" ht="15.75" customHeight="1">
      <c r="A130" s="44" t="str">
        <f>IF(Tiendas!$A129="","",Tiendas!$A129)</f>
        <v/>
      </c>
      <c r="B130" s="44" t="str">
        <f>IF($A130="","",Tiendas!$B129)</f>
        <v/>
      </c>
      <c r="C130" s="44" t="str">
        <f>IF($A130="","",COUNTIFS('DATA ENVIOS'!$B$4:$B$204,$A130,'DATA ENVIOS'!$A$4:$A$204,Config!$B$4))</f>
        <v/>
      </c>
      <c r="D130" s="44" t="str">
        <f>IF($A130="","",COUNTIFS('DATA ENVIOS'!$B$4:$B$204,$A130,'DATA ENVIOS'!$A$4:$A$204,Config!$B$9))</f>
        <v/>
      </c>
      <c r="E130" s="44" t="str">
        <f>IF($A130="","",COUNTIFS('DATA ENVIOS'!$B$4:$B$204,$A130,'DATA ENVIOS'!$A$4:$A$204,Config!$B$10))</f>
        <v/>
      </c>
      <c r="F130" s="44" t="str">
        <f>IF($A130="","",SUMIFS('DATA RECOJOS'!$D$4:$D$201,'DATA RECOJOS'!$B$4:$B$201,$A130,'DATA RECOJOS'!$A$4:$A$201,Config!$B$9))</f>
        <v/>
      </c>
      <c r="G130" s="44" t="str">
        <f>IF($A130="","",SUMIFS('DATA RECOJOS'!$D$4:$D$201,'DATA RECOJOS'!$B$4:$B$201,$A130,'DATA RECOJOS'!$A$4:$A$201,Config!$B$10))</f>
        <v/>
      </c>
      <c r="H130" s="44" t="str">
        <f t="shared" si="1"/>
        <v/>
      </c>
      <c r="I130" s="44" t="str">
        <f t="shared" si="2"/>
        <v/>
      </c>
    </row>
    <row r="131" ht="15.75" customHeight="1">
      <c r="A131" s="44" t="str">
        <f>IF(Tiendas!$A130="","",Tiendas!$A130)</f>
        <v/>
      </c>
      <c r="B131" s="44" t="str">
        <f>IF($A131="","",Tiendas!$B130)</f>
        <v/>
      </c>
      <c r="C131" s="44" t="str">
        <f>IF($A131="","",COUNTIFS('DATA ENVIOS'!$B$4:$B$204,$A131,'DATA ENVIOS'!$A$4:$A$204,Config!$B$4))</f>
        <v/>
      </c>
      <c r="D131" s="44" t="str">
        <f>IF($A131="","",COUNTIFS('DATA ENVIOS'!$B$4:$B$204,$A131,'DATA ENVIOS'!$A$4:$A$204,Config!$B$9))</f>
        <v/>
      </c>
      <c r="E131" s="44" t="str">
        <f>IF($A131="","",COUNTIFS('DATA ENVIOS'!$B$4:$B$204,$A131,'DATA ENVIOS'!$A$4:$A$204,Config!$B$10))</f>
        <v/>
      </c>
      <c r="F131" s="44" t="str">
        <f>IF($A131="","",SUMIFS('DATA RECOJOS'!$D$4:$D$201,'DATA RECOJOS'!$B$4:$B$201,$A131,'DATA RECOJOS'!$A$4:$A$201,Config!$B$9))</f>
        <v/>
      </c>
      <c r="G131" s="44" t="str">
        <f>IF($A131="","",SUMIFS('DATA RECOJOS'!$D$4:$D$201,'DATA RECOJOS'!$B$4:$B$201,$A131,'DATA RECOJOS'!$A$4:$A$201,Config!$B$10))</f>
        <v/>
      </c>
      <c r="H131" s="44" t="str">
        <f t="shared" si="1"/>
        <v/>
      </c>
      <c r="I131" s="44" t="str">
        <f t="shared" si="2"/>
        <v/>
      </c>
    </row>
    <row r="132" ht="15.75" customHeight="1">
      <c r="A132" s="44" t="str">
        <f>IF(Tiendas!$A131="","",Tiendas!$A131)</f>
        <v/>
      </c>
      <c r="B132" s="44" t="str">
        <f>IF($A132="","",Tiendas!$B131)</f>
        <v/>
      </c>
      <c r="C132" s="44" t="str">
        <f>IF($A132="","",COUNTIFS('DATA ENVIOS'!$B$4:$B$204,$A132,'DATA ENVIOS'!$A$4:$A$204,Config!$B$4))</f>
        <v/>
      </c>
      <c r="D132" s="44" t="str">
        <f>IF($A132="","",COUNTIFS('DATA ENVIOS'!$B$4:$B$204,$A132,'DATA ENVIOS'!$A$4:$A$204,Config!$B$9))</f>
        <v/>
      </c>
      <c r="E132" s="44" t="str">
        <f>IF($A132="","",COUNTIFS('DATA ENVIOS'!$B$4:$B$204,$A132,'DATA ENVIOS'!$A$4:$A$204,Config!$B$10))</f>
        <v/>
      </c>
      <c r="F132" s="44" t="str">
        <f>IF($A132="","",SUMIFS('DATA RECOJOS'!$D$4:$D$201,'DATA RECOJOS'!$B$4:$B$201,$A132,'DATA RECOJOS'!$A$4:$A$201,Config!$B$9))</f>
        <v/>
      </c>
      <c r="G132" s="44" t="str">
        <f>IF($A132="","",SUMIFS('DATA RECOJOS'!$D$4:$D$201,'DATA RECOJOS'!$B$4:$B$201,$A132,'DATA RECOJOS'!$A$4:$A$201,Config!$B$10))</f>
        <v/>
      </c>
      <c r="H132" s="44" t="str">
        <f t="shared" si="1"/>
        <v/>
      </c>
      <c r="I132" s="44" t="str">
        <f t="shared" si="2"/>
        <v/>
      </c>
    </row>
    <row r="133" ht="15.75" customHeight="1">
      <c r="A133" s="44" t="str">
        <f>IF(Tiendas!$A132="","",Tiendas!$A132)</f>
        <v/>
      </c>
      <c r="B133" s="44" t="str">
        <f>IF($A133="","",Tiendas!$B132)</f>
        <v/>
      </c>
      <c r="C133" s="44" t="str">
        <f>IF($A133="","",COUNTIFS('DATA ENVIOS'!$B$4:$B$204,$A133,'DATA ENVIOS'!$A$4:$A$204,Config!$B$4))</f>
        <v/>
      </c>
      <c r="D133" s="44" t="str">
        <f>IF($A133="","",COUNTIFS('DATA ENVIOS'!$B$4:$B$204,$A133,'DATA ENVIOS'!$A$4:$A$204,Config!$B$9))</f>
        <v/>
      </c>
      <c r="E133" s="44" t="str">
        <f>IF($A133="","",COUNTIFS('DATA ENVIOS'!$B$4:$B$204,$A133,'DATA ENVIOS'!$A$4:$A$204,Config!$B$10))</f>
        <v/>
      </c>
      <c r="F133" s="44" t="str">
        <f>IF($A133="","",SUMIFS('DATA RECOJOS'!$D$4:$D$201,'DATA RECOJOS'!$B$4:$B$201,$A133,'DATA RECOJOS'!$A$4:$A$201,Config!$B$9))</f>
        <v/>
      </c>
      <c r="G133" s="44" t="str">
        <f>IF($A133="","",SUMIFS('DATA RECOJOS'!$D$4:$D$201,'DATA RECOJOS'!$B$4:$B$201,$A133,'DATA RECOJOS'!$A$4:$A$201,Config!$B$10))</f>
        <v/>
      </c>
      <c r="H133" s="44" t="str">
        <f t="shared" si="1"/>
        <v/>
      </c>
      <c r="I133" s="44" t="str">
        <f t="shared" si="2"/>
        <v/>
      </c>
    </row>
    <row r="134" ht="15.75" customHeight="1">
      <c r="A134" s="44" t="str">
        <f>IF(Tiendas!$A133="","",Tiendas!$A133)</f>
        <v/>
      </c>
      <c r="B134" s="44" t="str">
        <f>IF($A134="","",Tiendas!$B133)</f>
        <v/>
      </c>
      <c r="C134" s="44" t="str">
        <f>IF($A134="","",COUNTIFS('DATA ENVIOS'!$B$4:$B$204,$A134,'DATA ENVIOS'!$A$4:$A$204,Config!$B$4))</f>
        <v/>
      </c>
      <c r="D134" s="44" t="str">
        <f>IF($A134="","",COUNTIFS('DATA ENVIOS'!$B$4:$B$204,$A134,'DATA ENVIOS'!$A$4:$A$204,Config!$B$9))</f>
        <v/>
      </c>
      <c r="E134" s="44" t="str">
        <f>IF($A134="","",COUNTIFS('DATA ENVIOS'!$B$4:$B$204,$A134,'DATA ENVIOS'!$A$4:$A$204,Config!$B$10))</f>
        <v/>
      </c>
      <c r="F134" s="44" t="str">
        <f>IF($A134="","",SUMIFS('DATA RECOJOS'!$D$4:$D$201,'DATA RECOJOS'!$B$4:$B$201,$A134,'DATA RECOJOS'!$A$4:$A$201,Config!$B$9))</f>
        <v/>
      </c>
      <c r="G134" s="44" t="str">
        <f>IF($A134="","",SUMIFS('DATA RECOJOS'!$D$4:$D$201,'DATA RECOJOS'!$B$4:$B$201,$A134,'DATA RECOJOS'!$A$4:$A$201,Config!$B$10))</f>
        <v/>
      </c>
      <c r="H134" s="44" t="str">
        <f t="shared" si="1"/>
        <v/>
      </c>
      <c r="I134" s="44" t="str">
        <f t="shared" si="2"/>
        <v/>
      </c>
    </row>
    <row r="135" ht="15.75" customHeight="1">
      <c r="A135" s="44" t="str">
        <f>IF(Tiendas!$A134="","",Tiendas!$A134)</f>
        <v/>
      </c>
      <c r="B135" s="44" t="str">
        <f>IF($A135="","",Tiendas!$B134)</f>
        <v/>
      </c>
      <c r="C135" s="44" t="str">
        <f>IF($A135="","",COUNTIFS('DATA ENVIOS'!$B$4:$B$204,$A135,'DATA ENVIOS'!$A$4:$A$204,Config!$B$4))</f>
        <v/>
      </c>
      <c r="D135" s="44" t="str">
        <f>IF($A135="","",COUNTIFS('DATA ENVIOS'!$B$4:$B$204,$A135,'DATA ENVIOS'!$A$4:$A$204,Config!$B$9))</f>
        <v/>
      </c>
      <c r="E135" s="44" t="str">
        <f>IF($A135="","",COUNTIFS('DATA ENVIOS'!$B$4:$B$204,$A135,'DATA ENVIOS'!$A$4:$A$204,Config!$B$10))</f>
        <v/>
      </c>
      <c r="F135" s="44" t="str">
        <f>IF($A135="","",SUMIFS('DATA RECOJOS'!$D$4:$D$201,'DATA RECOJOS'!$B$4:$B$201,$A135,'DATA RECOJOS'!$A$4:$A$201,Config!$B$9))</f>
        <v/>
      </c>
      <c r="G135" s="44" t="str">
        <f>IF($A135="","",SUMIFS('DATA RECOJOS'!$D$4:$D$201,'DATA RECOJOS'!$B$4:$B$201,$A135,'DATA RECOJOS'!$A$4:$A$201,Config!$B$10))</f>
        <v/>
      </c>
      <c r="H135" s="44" t="str">
        <f t="shared" si="1"/>
        <v/>
      </c>
      <c r="I135" s="44" t="str">
        <f t="shared" si="2"/>
        <v/>
      </c>
    </row>
    <row r="136" ht="15.75" customHeight="1">
      <c r="A136" s="44" t="str">
        <f>IF(Tiendas!$A135="","",Tiendas!$A135)</f>
        <v/>
      </c>
      <c r="B136" s="44" t="str">
        <f>IF($A136="","",Tiendas!$B135)</f>
        <v/>
      </c>
      <c r="C136" s="44" t="str">
        <f>IF($A136="","",COUNTIFS('DATA ENVIOS'!$B$4:$B$204,$A136,'DATA ENVIOS'!$A$4:$A$204,Config!$B$4))</f>
        <v/>
      </c>
      <c r="D136" s="44" t="str">
        <f>IF($A136="","",COUNTIFS('DATA ENVIOS'!$B$4:$B$204,$A136,'DATA ENVIOS'!$A$4:$A$204,Config!$B$9))</f>
        <v/>
      </c>
      <c r="E136" s="44" t="str">
        <f>IF($A136="","",COUNTIFS('DATA ENVIOS'!$B$4:$B$204,$A136,'DATA ENVIOS'!$A$4:$A$204,Config!$B$10))</f>
        <v/>
      </c>
      <c r="F136" s="44" t="str">
        <f>IF($A136="","",SUMIFS('DATA RECOJOS'!$D$4:$D$201,'DATA RECOJOS'!$B$4:$B$201,$A136,'DATA RECOJOS'!$A$4:$A$201,Config!$B$9))</f>
        <v/>
      </c>
      <c r="G136" s="44" t="str">
        <f>IF($A136="","",SUMIFS('DATA RECOJOS'!$D$4:$D$201,'DATA RECOJOS'!$B$4:$B$201,$A136,'DATA RECOJOS'!$A$4:$A$201,Config!$B$10))</f>
        <v/>
      </c>
      <c r="H136" s="44" t="str">
        <f t="shared" si="1"/>
        <v/>
      </c>
      <c r="I136" s="44" t="str">
        <f t="shared" si="2"/>
        <v/>
      </c>
    </row>
    <row r="137" ht="15.75" customHeight="1">
      <c r="A137" s="44" t="str">
        <f>IF(Tiendas!$A136="","",Tiendas!$A136)</f>
        <v/>
      </c>
      <c r="B137" s="44" t="str">
        <f>IF($A137="","",Tiendas!$B136)</f>
        <v/>
      </c>
      <c r="C137" s="44" t="str">
        <f>IF($A137="","",COUNTIFS('DATA ENVIOS'!$B$4:$B$204,$A137,'DATA ENVIOS'!$A$4:$A$204,Config!$B$4))</f>
        <v/>
      </c>
      <c r="D137" s="44" t="str">
        <f>IF($A137="","",COUNTIFS('DATA ENVIOS'!$B$4:$B$204,$A137,'DATA ENVIOS'!$A$4:$A$204,Config!$B$9))</f>
        <v/>
      </c>
      <c r="E137" s="44" t="str">
        <f>IF($A137="","",COUNTIFS('DATA ENVIOS'!$B$4:$B$204,$A137,'DATA ENVIOS'!$A$4:$A$204,Config!$B$10))</f>
        <v/>
      </c>
      <c r="F137" s="44" t="str">
        <f>IF($A137="","",SUMIFS('DATA RECOJOS'!$D$4:$D$201,'DATA RECOJOS'!$B$4:$B$201,$A137,'DATA RECOJOS'!$A$4:$A$201,Config!$B$9))</f>
        <v/>
      </c>
      <c r="G137" s="44" t="str">
        <f>IF($A137="","",SUMIFS('DATA RECOJOS'!$D$4:$D$201,'DATA RECOJOS'!$B$4:$B$201,$A137,'DATA RECOJOS'!$A$4:$A$201,Config!$B$10))</f>
        <v/>
      </c>
      <c r="H137" s="44" t="str">
        <f t="shared" si="1"/>
        <v/>
      </c>
      <c r="I137" s="44" t="str">
        <f t="shared" si="2"/>
        <v/>
      </c>
    </row>
    <row r="138" ht="15.75" customHeight="1">
      <c r="A138" s="44" t="str">
        <f>IF(Tiendas!$A137="","",Tiendas!$A137)</f>
        <v/>
      </c>
      <c r="B138" s="44" t="str">
        <f>IF($A138="","",Tiendas!$B137)</f>
        <v/>
      </c>
      <c r="C138" s="44" t="str">
        <f>IF($A138="","",COUNTIFS('DATA ENVIOS'!$B$4:$B$204,$A138,'DATA ENVIOS'!$A$4:$A$204,Config!$B$4))</f>
        <v/>
      </c>
      <c r="D138" s="44" t="str">
        <f>IF($A138="","",COUNTIFS('DATA ENVIOS'!$B$4:$B$204,$A138,'DATA ENVIOS'!$A$4:$A$204,Config!$B$9))</f>
        <v/>
      </c>
      <c r="E138" s="44" t="str">
        <f>IF($A138="","",COUNTIFS('DATA ENVIOS'!$B$4:$B$204,$A138,'DATA ENVIOS'!$A$4:$A$204,Config!$B$10))</f>
        <v/>
      </c>
      <c r="F138" s="44" t="str">
        <f>IF($A138="","",SUMIFS('DATA RECOJOS'!$D$4:$D$201,'DATA RECOJOS'!$B$4:$B$201,$A138,'DATA RECOJOS'!$A$4:$A$201,Config!$B$9))</f>
        <v/>
      </c>
      <c r="G138" s="44" t="str">
        <f>IF($A138="","",SUMIFS('DATA RECOJOS'!$D$4:$D$201,'DATA RECOJOS'!$B$4:$B$201,$A138,'DATA RECOJOS'!$A$4:$A$201,Config!$B$10))</f>
        <v/>
      </c>
      <c r="H138" s="44" t="str">
        <f t="shared" si="1"/>
        <v/>
      </c>
      <c r="I138" s="44" t="str">
        <f t="shared" si="2"/>
        <v/>
      </c>
    </row>
    <row r="139" ht="15.75" customHeight="1">
      <c r="A139" s="44" t="str">
        <f>IF(Tiendas!$A138="","",Tiendas!$A138)</f>
        <v/>
      </c>
      <c r="B139" s="44" t="str">
        <f>IF($A139="","",Tiendas!$B138)</f>
        <v/>
      </c>
      <c r="C139" s="44" t="str">
        <f>IF($A139="","",COUNTIFS('DATA ENVIOS'!$B$4:$B$204,$A139,'DATA ENVIOS'!$A$4:$A$204,Config!$B$4))</f>
        <v/>
      </c>
      <c r="D139" s="44" t="str">
        <f>IF($A139="","",COUNTIFS('DATA ENVIOS'!$B$4:$B$204,$A139,'DATA ENVIOS'!$A$4:$A$204,Config!$B$9))</f>
        <v/>
      </c>
      <c r="E139" s="44" t="str">
        <f>IF($A139="","",COUNTIFS('DATA ENVIOS'!$B$4:$B$204,$A139,'DATA ENVIOS'!$A$4:$A$204,Config!$B$10))</f>
        <v/>
      </c>
      <c r="F139" s="44" t="str">
        <f>IF($A139="","",SUMIFS('DATA RECOJOS'!$D$4:$D$201,'DATA RECOJOS'!$B$4:$B$201,$A139,'DATA RECOJOS'!$A$4:$A$201,Config!$B$9))</f>
        <v/>
      </c>
      <c r="G139" s="44" t="str">
        <f>IF($A139="","",SUMIFS('DATA RECOJOS'!$D$4:$D$201,'DATA RECOJOS'!$B$4:$B$201,$A139,'DATA RECOJOS'!$A$4:$A$201,Config!$B$10))</f>
        <v/>
      </c>
      <c r="H139" s="44" t="str">
        <f t="shared" si="1"/>
        <v/>
      </c>
      <c r="I139" s="44" t="str">
        <f t="shared" si="2"/>
        <v/>
      </c>
    </row>
    <row r="140" ht="15.75" customHeight="1">
      <c r="A140" s="44" t="str">
        <f>IF(Tiendas!$A139="","",Tiendas!$A139)</f>
        <v/>
      </c>
      <c r="B140" s="44" t="str">
        <f>IF($A140="","",Tiendas!$B139)</f>
        <v/>
      </c>
      <c r="C140" s="44" t="str">
        <f>IF($A140="","",COUNTIFS('DATA ENVIOS'!$B$4:$B$204,$A140,'DATA ENVIOS'!$A$4:$A$204,Config!$B$4))</f>
        <v/>
      </c>
      <c r="D140" s="44" t="str">
        <f>IF($A140="","",COUNTIFS('DATA ENVIOS'!$B$4:$B$204,$A140,'DATA ENVIOS'!$A$4:$A$204,Config!$B$9))</f>
        <v/>
      </c>
      <c r="E140" s="44" t="str">
        <f>IF($A140="","",COUNTIFS('DATA ENVIOS'!$B$4:$B$204,$A140,'DATA ENVIOS'!$A$4:$A$204,Config!$B$10))</f>
        <v/>
      </c>
      <c r="F140" s="44" t="str">
        <f>IF($A140="","",SUMIFS('DATA RECOJOS'!$D$4:$D$201,'DATA RECOJOS'!$B$4:$B$201,$A140,'DATA RECOJOS'!$A$4:$A$201,Config!$B$9))</f>
        <v/>
      </c>
      <c r="G140" s="44" t="str">
        <f>IF($A140="","",SUMIFS('DATA RECOJOS'!$D$4:$D$201,'DATA RECOJOS'!$B$4:$B$201,$A140,'DATA RECOJOS'!$A$4:$A$201,Config!$B$10))</f>
        <v/>
      </c>
      <c r="H140" s="44" t="str">
        <f t="shared" si="1"/>
        <v/>
      </c>
      <c r="I140" s="44" t="str">
        <f t="shared" si="2"/>
        <v/>
      </c>
    </row>
    <row r="141" ht="15.75" customHeight="1">
      <c r="A141" s="44" t="str">
        <f>IF(Tiendas!$A140="","",Tiendas!$A140)</f>
        <v/>
      </c>
      <c r="B141" s="44" t="str">
        <f>IF($A141="","",Tiendas!$B140)</f>
        <v/>
      </c>
      <c r="C141" s="44" t="str">
        <f>IF($A141="","",COUNTIFS('DATA ENVIOS'!$B$4:$B$204,$A141,'DATA ENVIOS'!$A$4:$A$204,Config!$B$4))</f>
        <v/>
      </c>
      <c r="D141" s="44" t="str">
        <f>IF($A141="","",COUNTIFS('DATA ENVIOS'!$B$4:$B$204,$A141,'DATA ENVIOS'!$A$4:$A$204,Config!$B$9))</f>
        <v/>
      </c>
      <c r="E141" s="44" t="str">
        <f>IF($A141="","",COUNTIFS('DATA ENVIOS'!$B$4:$B$204,$A141,'DATA ENVIOS'!$A$4:$A$204,Config!$B$10))</f>
        <v/>
      </c>
      <c r="F141" s="44" t="str">
        <f>IF($A141="","",SUMIFS('DATA RECOJOS'!$D$4:$D$201,'DATA RECOJOS'!$B$4:$B$201,$A141,'DATA RECOJOS'!$A$4:$A$201,Config!$B$9))</f>
        <v/>
      </c>
      <c r="G141" s="44" t="str">
        <f>IF($A141="","",SUMIFS('DATA RECOJOS'!$D$4:$D$201,'DATA RECOJOS'!$B$4:$B$201,$A141,'DATA RECOJOS'!$A$4:$A$201,Config!$B$10))</f>
        <v/>
      </c>
      <c r="H141" s="44" t="str">
        <f t="shared" si="1"/>
        <v/>
      </c>
      <c r="I141" s="44" t="str">
        <f t="shared" si="2"/>
        <v/>
      </c>
    </row>
    <row r="142" ht="15.75" customHeight="1">
      <c r="A142" s="44" t="str">
        <f>IF(Tiendas!$A141="","",Tiendas!$A141)</f>
        <v/>
      </c>
      <c r="B142" s="44" t="str">
        <f>IF($A142="","",Tiendas!$B141)</f>
        <v/>
      </c>
      <c r="C142" s="44" t="str">
        <f>IF($A142="","",COUNTIFS('DATA ENVIOS'!$B$4:$B$204,$A142,'DATA ENVIOS'!$A$4:$A$204,Config!$B$4))</f>
        <v/>
      </c>
      <c r="D142" s="44" t="str">
        <f>IF($A142="","",COUNTIFS('DATA ENVIOS'!$B$4:$B$204,$A142,'DATA ENVIOS'!$A$4:$A$204,Config!$B$9))</f>
        <v/>
      </c>
      <c r="E142" s="44" t="str">
        <f>IF($A142="","",COUNTIFS('DATA ENVIOS'!$B$4:$B$204,$A142,'DATA ENVIOS'!$A$4:$A$204,Config!$B$10))</f>
        <v/>
      </c>
      <c r="F142" s="44" t="str">
        <f>IF($A142="","",SUMIFS('DATA RECOJOS'!$D$4:$D$201,'DATA RECOJOS'!$B$4:$B$201,$A142,'DATA RECOJOS'!$A$4:$A$201,Config!$B$9))</f>
        <v/>
      </c>
      <c r="G142" s="44" t="str">
        <f>IF($A142="","",SUMIFS('DATA RECOJOS'!$D$4:$D$201,'DATA RECOJOS'!$B$4:$B$201,$A142,'DATA RECOJOS'!$A$4:$A$201,Config!$B$10))</f>
        <v/>
      </c>
      <c r="H142" s="44" t="str">
        <f t="shared" si="1"/>
        <v/>
      </c>
      <c r="I142" s="44" t="str">
        <f t="shared" si="2"/>
        <v/>
      </c>
    </row>
    <row r="143" ht="15.75" customHeight="1">
      <c r="A143" s="44" t="str">
        <f>IF(Tiendas!$A142="","",Tiendas!$A142)</f>
        <v/>
      </c>
      <c r="B143" s="44" t="str">
        <f>IF($A143="","",Tiendas!$B142)</f>
        <v/>
      </c>
      <c r="C143" s="44" t="str">
        <f>IF($A143="","",COUNTIFS('DATA ENVIOS'!$B$4:$B$204,$A143,'DATA ENVIOS'!$A$4:$A$204,Config!$B$4))</f>
        <v/>
      </c>
      <c r="D143" s="44" t="str">
        <f>IF($A143="","",COUNTIFS('DATA ENVIOS'!$B$4:$B$204,$A143,'DATA ENVIOS'!$A$4:$A$204,Config!$B$9))</f>
        <v/>
      </c>
      <c r="E143" s="44" t="str">
        <f>IF($A143="","",COUNTIFS('DATA ENVIOS'!$B$4:$B$204,$A143,'DATA ENVIOS'!$A$4:$A$204,Config!$B$10))</f>
        <v/>
      </c>
      <c r="F143" s="44" t="str">
        <f>IF($A143="","",SUMIFS('DATA RECOJOS'!$D$4:$D$201,'DATA RECOJOS'!$B$4:$B$201,$A143,'DATA RECOJOS'!$A$4:$A$201,Config!$B$9))</f>
        <v/>
      </c>
      <c r="G143" s="44" t="str">
        <f>IF($A143="","",SUMIFS('DATA RECOJOS'!$D$4:$D$201,'DATA RECOJOS'!$B$4:$B$201,$A143,'DATA RECOJOS'!$A$4:$A$201,Config!$B$10))</f>
        <v/>
      </c>
      <c r="H143" s="44" t="str">
        <f t="shared" si="1"/>
        <v/>
      </c>
      <c r="I143" s="44" t="str">
        <f t="shared" si="2"/>
        <v/>
      </c>
    </row>
    <row r="144" ht="15.75" customHeight="1">
      <c r="A144" s="44" t="str">
        <f>IF(Tiendas!$A143="","",Tiendas!$A143)</f>
        <v/>
      </c>
      <c r="B144" s="44" t="str">
        <f>IF($A144="","",Tiendas!$B143)</f>
        <v/>
      </c>
      <c r="C144" s="44" t="str">
        <f>IF($A144="","",COUNTIFS('DATA ENVIOS'!$B$4:$B$204,$A144,'DATA ENVIOS'!$A$4:$A$204,Config!$B$4))</f>
        <v/>
      </c>
      <c r="D144" s="44" t="str">
        <f>IF($A144="","",COUNTIFS('DATA ENVIOS'!$B$4:$B$204,$A144,'DATA ENVIOS'!$A$4:$A$204,Config!$B$9))</f>
        <v/>
      </c>
      <c r="E144" s="44" t="str">
        <f>IF($A144="","",COUNTIFS('DATA ENVIOS'!$B$4:$B$204,$A144,'DATA ENVIOS'!$A$4:$A$204,Config!$B$10))</f>
        <v/>
      </c>
      <c r="F144" s="44" t="str">
        <f>IF($A144="","",SUMIFS('DATA RECOJOS'!$D$4:$D$201,'DATA RECOJOS'!$B$4:$B$201,$A144,'DATA RECOJOS'!$A$4:$A$201,Config!$B$9))</f>
        <v/>
      </c>
      <c r="G144" s="44" t="str">
        <f>IF($A144="","",SUMIFS('DATA RECOJOS'!$D$4:$D$201,'DATA RECOJOS'!$B$4:$B$201,$A144,'DATA RECOJOS'!$A$4:$A$201,Config!$B$10))</f>
        <v/>
      </c>
      <c r="H144" s="44" t="str">
        <f t="shared" si="1"/>
        <v/>
      </c>
      <c r="I144" s="44" t="str">
        <f t="shared" si="2"/>
        <v/>
      </c>
    </row>
    <row r="145" ht="15.75" customHeight="1">
      <c r="A145" s="44" t="str">
        <f>IF(Tiendas!$A144="","",Tiendas!$A144)</f>
        <v/>
      </c>
      <c r="B145" s="44" t="str">
        <f>IF($A145="","",Tiendas!$B144)</f>
        <v/>
      </c>
      <c r="C145" s="44" t="str">
        <f>IF($A145="","",COUNTIFS('DATA ENVIOS'!$B$4:$B$204,$A145,'DATA ENVIOS'!$A$4:$A$204,Config!$B$4))</f>
        <v/>
      </c>
      <c r="D145" s="44" t="str">
        <f>IF($A145="","",COUNTIFS('DATA ENVIOS'!$B$4:$B$204,$A145,'DATA ENVIOS'!$A$4:$A$204,Config!$B$9))</f>
        <v/>
      </c>
      <c r="E145" s="44" t="str">
        <f>IF($A145="","",COUNTIFS('DATA ENVIOS'!$B$4:$B$204,$A145,'DATA ENVIOS'!$A$4:$A$204,Config!$B$10))</f>
        <v/>
      </c>
      <c r="F145" s="44" t="str">
        <f>IF($A145="","",SUMIFS('DATA RECOJOS'!$D$4:$D$201,'DATA RECOJOS'!$B$4:$B$201,$A145,'DATA RECOJOS'!$A$4:$A$201,Config!$B$9))</f>
        <v/>
      </c>
      <c r="G145" s="44" t="str">
        <f>IF($A145="","",SUMIFS('DATA RECOJOS'!$D$4:$D$201,'DATA RECOJOS'!$B$4:$B$201,$A145,'DATA RECOJOS'!$A$4:$A$201,Config!$B$10))</f>
        <v/>
      </c>
      <c r="H145" s="44" t="str">
        <f t="shared" si="1"/>
        <v/>
      </c>
      <c r="I145" s="44" t="str">
        <f t="shared" si="2"/>
        <v/>
      </c>
    </row>
    <row r="146" ht="15.75" customHeight="1">
      <c r="A146" s="44" t="str">
        <f>IF(Tiendas!$A145="","",Tiendas!$A145)</f>
        <v/>
      </c>
      <c r="B146" s="44" t="str">
        <f>IF($A146="","",Tiendas!$B145)</f>
        <v/>
      </c>
      <c r="C146" s="44" t="str">
        <f>IF($A146="","",COUNTIFS('DATA ENVIOS'!$B$4:$B$204,$A146,'DATA ENVIOS'!$A$4:$A$204,Config!$B$4))</f>
        <v/>
      </c>
      <c r="D146" s="44" t="str">
        <f>IF($A146="","",COUNTIFS('DATA ENVIOS'!$B$4:$B$204,$A146,'DATA ENVIOS'!$A$4:$A$204,Config!$B$9))</f>
        <v/>
      </c>
      <c r="E146" s="44" t="str">
        <f>IF($A146="","",COUNTIFS('DATA ENVIOS'!$B$4:$B$204,$A146,'DATA ENVIOS'!$A$4:$A$204,Config!$B$10))</f>
        <v/>
      </c>
      <c r="F146" s="44" t="str">
        <f>IF($A146="","",SUMIFS('DATA RECOJOS'!$D$4:$D$201,'DATA RECOJOS'!$B$4:$B$201,$A146,'DATA RECOJOS'!$A$4:$A$201,Config!$B$9))</f>
        <v/>
      </c>
      <c r="G146" s="44" t="str">
        <f>IF($A146="","",SUMIFS('DATA RECOJOS'!$D$4:$D$201,'DATA RECOJOS'!$B$4:$B$201,$A146,'DATA RECOJOS'!$A$4:$A$201,Config!$B$10))</f>
        <v/>
      </c>
      <c r="H146" s="44" t="str">
        <f t="shared" si="1"/>
        <v/>
      </c>
      <c r="I146" s="44" t="str">
        <f t="shared" si="2"/>
        <v/>
      </c>
    </row>
    <row r="147" ht="15.75" customHeight="1">
      <c r="A147" s="44" t="str">
        <f>IF(Tiendas!$A146="","",Tiendas!$A146)</f>
        <v/>
      </c>
      <c r="B147" s="44" t="str">
        <f>IF($A147="","",Tiendas!$B146)</f>
        <v/>
      </c>
      <c r="C147" s="44" t="str">
        <f>IF($A147="","",COUNTIFS('DATA ENVIOS'!$B$4:$B$204,$A147,'DATA ENVIOS'!$A$4:$A$204,Config!$B$4))</f>
        <v/>
      </c>
      <c r="D147" s="44" t="str">
        <f>IF($A147="","",COUNTIFS('DATA ENVIOS'!$B$4:$B$204,$A147,'DATA ENVIOS'!$A$4:$A$204,Config!$B$9))</f>
        <v/>
      </c>
      <c r="E147" s="44" t="str">
        <f>IF($A147="","",COUNTIFS('DATA ENVIOS'!$B$4:$B$204,$A147,'DATA ENVIOS'!$A$4:$A$204,Config!$B$10))</f>
        <v/>
      </c>
      <c r="F147" s="44" t="str">
        <f>IF($A147="","",SUMIFS('DATA RECOJOS'!$D$4:$D$201,'DATA RECOJOS'!$B$4:$B$201,$A147,'DATA RECOJOS'!$A$4:$A$201,Config!$B$9))</f>
        <v/>
      </c>
      <c r="G147" s="44" t="str">
        <f>IF($A147="","",SUMIFS('DATA RECOJOS'!$D$4:$D$201,'DATA RECOJOS'!$B$4:$B$201,$A147,'DATA RECOJOS'!$A$4:$A$201,Config!$B$10))</f>
        <v/>
      </c>
      <c r="H147" s="44" t="str">
        <f t="shared" si="1"/>
        <v/>
      </c>
      <c r="I147" s="44" t="str">
        <f t="shared" si="2"/>
        <v/>
      </c>
    </row>
    <row r="148" ht="15.75" customHeight="1">
      <c r="A148" s="44" t="str">
        <f>IF(Tiendas!$A147="","",Tiendas!$A147)</f>
        <v/>
      </c>
      <c r="B148" s="44" t="str">
        <f>IF($A148="","",Tiendas!$B147)</f>
        <v/>
      </c>
      <c r="C148" s="44" t="str">
        <f>IF($A148="","",COUNTIFS('DATA ENVIOS'!$B$4:$B$204,$A148,'DATA ENVIOS'!$A$4:$A$204,Config!$B$4))</f>
        <v/>
      </c>
      <c r="D148" s="44" t="str">
        <f>IF($A148="","",COUNTIFS('DATA ENVIOS'!$B$4:$B$204,$A148,'DATA ENVIOS'!$A$4:$A$204,Config!$B$9))</f>
        <v/>
      </c>
      <c r="E148" s="44" t="str">
        <f>IF($A148="","",COUNTIFS('DATA ENVIOS'!$B$4:$B$204,$A148,'DATA ENVIOS'!$A$4:$A$204,Config!$B$10))</f>
        <v/>
      </c>
      <c r="F148" s="44" t="str">
        <f>IF($A148="","",SUMIFS('DATA RECOJOS'!$D$4:$D$201,'DATA RECOJOS'!$B$4:$B$201,$A148,'DATA RECOJOS'!$A$4:$A$201,Config!$B$9))</f>
        <v/>
      </c>
      <c r="G148" s="44" t="str">
        <f>IF($A148="","",SUMIFS('DATA RECOJOS'!$D$4:$D$201,'DATA RECOJOS'!$B$4:$B$201,$A148,'DATA RECOJOS'!$A$4:$A$201,Config!$B$10))</f>
        <v/>
      </c>
      <c r="H148" s="44" t="str">
        <f t="shared" si="1"/>
        <v/>
      </c>
      <c r="I148" s="44" t="str">
        <f t="shared" si="2"/>
        <v/>
      </c>
    </row>
    <row r="149" ht="15.75" customHeight="1">
      <c r="A149" s="44" t="str">
        <f>IF(Tiendas!$A148="","",Tiendas!$A148)</f>
        <v/>
      </c>
      <c r="B149" s="44" t="str">
        <f>IF($A149="","",Tiendas!$B148)</f>
        <v/>
      </c>
      <c r="C149" s="44" t="str">
        <f>IF($A149="","",COUNTIFS('DATA ENVIOS'!$B$4:$B$204,$A149,'DATA ENVIOS'!$A$4:$A$204,Config!$B$4))</f>
        <v/>
      </c>
      <c r="D149" s="44" t="str">
        <f>IF($A149="","",COUNTIFS('DATA ENVIOS'!$B$4:$B$204,$A149,'DATA ENVIOS'!$A$4:$A$204,Config!$B$9))</f>
        <v/>
      </c>
      <c r="E149" s="44" t="str">
        <f>IF($A149="","",COUNTIFS('DATA ENVIOS'!$B$4:$B$204,$A149,'DATA ENVIOS'!$A$4:$A$204,Config!$B$10))</f>
        <v/>
      </c>
      <c r="F149" s="44" t="str">
        <f>IF($A149="","",SUMIFS('DATA RECOJOS'!$D$4:$D$201,'DATA RECOJOS'!$B$4:$B$201,$A149,'DATA RECOJOS'!$A$4:$A$201,Config!$B$9))</f>
        <v/>
      </c>
      <c r="G149" s="44" t="str">
        <f>IF($A149="","",SUMIFS('DATA RECOJOS'!$D$4:$D$201,'DATA RECOJOS'!$B$4:$B$201,$A149,'DATA RECOJOS'!$A$4:$A$201,Config!$B$10))</f>
        <v/>
      </c>
      <c r="H149" s="44" t="str">
        <f t="shared" si="1"/>
        <v/>
      </c>
      <c r="I149" s="44" t="str">
        <f t="shared" si="2"/>
        <v/>
      </c>
    </row>
    <row r="150" ht="15.75" customHeight="1">
      <c r="A150" s="44" t="str">
        <f>IF(Tiendas!$A149="","",Tiendas!$A149)</f>
        <v/>
      </c>
      <c r="B150" s="44" t="str">
        <f>IF($A150="","",Tiendas!$B149)</f>
        <v/>
      </c>
      <c r="C150" s="44" t="str">
        <f>IF($A150="","",COUNTIFS('DATA ENVIOS'!$B$4:$B$204,$A150,'DATA ENVIOS'!$A$4:$A$204,Config!$B$4))</f>
        <v/>
      </c>
      <c r="D150" s="44" t="str">
        <f>IF($A150="","",COUNTIFS('DATA ENVIOS'!$B$4:$B$204,$A150,'DATA ENVIOS'!$A$4:$A$204,Config!$B$9))</f>
        <v/>
      </c>
      <c r="E150" s="44" t="str">
        <f>IF($A150="","",COUNTIFS('DATA ENVIOS'!$B$4:$B$204,$A150,'DATA ENVIOS'!$A$4:$A$204,Config!$B$10))</f>
        <v/>
      </c>
      <c r="F150" s="44" t="str">
        <f>IF($A150="","",SUMIFS('DATA RECOJOS'!$D$4:$D$201,'DATA RECOJOS'!$B$4:$B$201,$A150,'DATA RECOJOS'!$A$4:$A$201,Config!$B$9))</f>
        <v/>
      </c>
      <c r="G150" s="44" t="str">
        <f>IF($A150="","",SUMIFS('DATA RECOJOS'!$D$4:$D$201,'DATA RECOJOS'!$B$4:$B$201,$A150,'DATA RECOJOS'!$A$4:$A$201,Config!$B$10))</f>
        <v/>
      </c>
      <c r="H150" s="44" t="str">
        <f t="shared" si="1"/>
        <v/>
      </c>
      <c r="I150" s="44" t="str">
        <f t="shared" si="2"/>
        <v/>
      </c>
    </row>
    <row r="151" ht="15.75" customHeight="1">
      <c r="A151" s="44" t="str">
        <f>IF(Tiendas!$A150="","",Tiendas!$A150)</f>
        <v/>
      </c>
      <c r="B151" s="44" t="str">
        <f>IF($A151="","",Tiendas!$B150)</f>
        <v/>
      </c>
      <c r="C151" s="44" t="str">
        <f>IF($A151="","",COUNTIFS('DATA ENVIOS'!$B$4:$B$204,$A151,'DATA ENVIOS'!$A$4:$A$204,Config!$B$4))</f>
        <v/>
      </c>
      <c r="D151" s="44" t="str">
        <f>IF($A151="","",COUNTIFS('DATA ENVIOS'!$B$4:$B$204,$A151,'DATA ENVIOS'!$A$4:$A$204,Config!$B$9))</f>
        <v/>
      </c>
      <c r="E151" s="44" t="str">
        <f>IF($A151="","",COUNTIFS('DATA ENVIOS'!$B$4:$B$204,$A151,'DATA ENVIOS'!$A$4:$A$204,Config!$B$10))</f>
        <v/>
      </c>
      <c r="F151" s="44" t="str">
        <f>IF($A151="","",SUMIFS('DATA RECOJOS'!$D$4:$D$201,'DATA RECOJOS'!$B$4:$B$201,$A151,'DATA RECOJOS'!$A$4:$A$201,Config!$B$9))</f>
        <v/>
      </c>
      <c r="G151" s="44" t="str">
        <f>IF($A151="","",SUMIFS('DATA RECOJOS'!$D$4:$D$201,'DATA RECOJOS'!$B$4:$B$201,$A151,'DATA RECOJOS'!$A$4:$A$201,Config!$B$10))</f>
        <v/>
      </c>
      <c r="H151" s="44" t="str">
        <f t="shared" si="1"/>
        <v/>
      </c>
      <c r="I151" s="44" t="str">
        <f t="shared" si="2"/>
        <v/>
      </c>
    </row>
    <row r="152" ht="15.75" customHeight="1">
      <c r="A152" s="44" t="str">
        <f>IF(Tiendas!$A151="","",Tiendas!$A151)</f>
        <v/>
      </c>
      <c r="B152" s="44" t="str">
        <f>IF($A152="","",Tiendas!$B151)</f>
        <v/>
      </c>
      <c r="C152" s="44" t="str">
        <f>IF($A152="","",COUNTIFS('DATA ENVIOS'!$B$4:$B$204,$A152,'DATA ENVIOS'!$A$4:$A$204,Config!$B$4))</f>
        <v/>
      </c>
      <c r="D152" s="44" t="str">
        <f>IF($A152="","",COUNTIFS('DATA ENVIOS'!$B$4:$B$204,$A152,'DATA ENVIOS'!$A$4:$A$204,Config!$B$9))</f>
        <v/>
      </c>
      <c r="E152" s="44" t="str">
        <f>IF($A152="","",COUNTIFS('DATA ENVIOS'!$B$4:$B$204,$A152,'DATA ENVIOS'!$A$4:$A$204,Config!$B$10))</f>
        <v/>
      </c>
      <c r="F152" s="44" t="str">
        <f>IF($A152="","",SUMIFS('DATA RECOJOS'!$D$4:$D$201,'DATA RECOJOS'!$B$4:$B$201,$A152,'DATA RECOJOS'!$A$4:$A$201,Config!$B$9))</f>
        <v/>
      </c>
      <c r="G152" s="44" t="str">
        <f>IF($A152="","",SUMIFS('DATA RECOJOS'!$D$4:$D$201,'DATA RECOJOS'!$B$4:$B$201,$A152,'DATA RECOJOS'!$A$4:$A$201,Config!$B$10))</f>
        <v/>
      </c>
      <c r="H152" s="44" t="str">
        <f t="shared" si="1"/>
        <v/>
      </c>
      <c r="I152" s="44" t="str">
        <f t="shared" si="2"/>
        <v/>
      </c>
    </row>
    <row r="153" ht="15.75" customHeight="1">
      <c r="A153" s="44" t="str">
        <f>IF(Tiendas!$A152="","",Tiendas!$A152)</f>
        <v/>
      </c>
      <c r="B153" s="44" t="str">
        <f>IF($A153="","",Tiendas!$B152)</f>
        <v/>
      </c>
      <c r="C153" s="44" t="str">
        <f>IF($A153="","",COUNTIFS('DATA ENVIOS'!$B$4:$B$204,$A153,'DATA ENVIOS'!$A$4:$A$204,Config!$B$4))</f>
        <v/>
      </c>
      <c r="D153" s="44" t="str">
        <f>IF($A153="","",COUNTIFS('DATA ENVIOS'!$B$4:$B$204,$A153,'DATA ENVIOS'!$A$4:$A$204,Config!$B$9))</f>
        <v/>
      </c>
      <c r="E153" s="44" t="str">
        <f>IF($A153="","",COUNTIFS('DATA ENVIOS'!$B$4:$B$204,$A153,'DATA ENVIOS'!$A$4:$A$204,Config!$B$10))</f>
        <v/>
      </c>
      <c r="F153" s="44" t="str">
        <f>IF($A153="","",SUMIFS('DATA RECOJOS'!$D$4:$D$201,'DATA RECOJOS'!$B$4:$B$201,$A153,'DATA RECOJOS'!$A$4:$A$201,Config!$B$9))</f>
        <v/>
      </c>
      <c r="G153" s="44" t="str">
        <f>IF($A153="","",SUMIFS('DATA RECOJOS'!$D$4:$D$201,'DATA RECOJOS'!$B$4:$B$201,$A153,'DATA RECOJOS'!$A$4:$A$201,Config!$B$10))</f>
        <v/>
      </c>
      <c r="H153" s="44" t="str">
        <f t="shared" si="1"/>
        <v/>
      </c>
      <c r="I153" s="44" t="str">
        <f t="shared" si="2"/>
        <v/>
      </c>
    </row>
    <row r="154" ht="15.75" customHeight="1">
      <c r="A154" s="44" t="str">
        <f>IF(Tiendas!$A153="","",Tiendas!$A153)</f>
        <v/>
      </c>
      <c r="B154" s="44" t="str">
        <f>IF($A154="","",Tiendas!$B153)</f>
        <v/>
      </c>
      <c r="C154" s="44" t="str">
        <f>IF($A154="","",COUNTIFS('DATA ENVIOS'!$B$4:$B$204,$A154,'DATA ENVIOS'!$A$4:$A$204,Config!$B$4))</f>
        <v/>
      </c>
      <c r="D154" s="44" t="str">
        <f>IF($A154="","",COUNTIFS('DATA ENVIOS'!$B$4:$B$204,$A154,'DATA ENVIOS'!$A$4:$A$204,Config!$B$9))</f>
        <v/>
      </c>
      <c r="E154" s="44" t="str">
        <f>IF($A154="","",COUNTIFS('DATA ENVIOS'!$B$4:$B$204,$A154,'DATA ENVIOS'!$A$4:$A$204,Config!$B$10))</f>
        <v/>
      </c>
      <c r="F154" s="44" t="str">
        <f>IF($A154="","",SUMIFS('DATA RECOJOS'!$D$4:$D$201,'DATA RECOJOS'!$B$4:$B$201,$A154,'DATA RECOJOS'!$A$4:$A$201,Config!$B$9))</f>
        <v/>
      </c>
      <c r="G154" s="44" t="str">
        <f>IF($A154="","",SUMIFS('DATA RECOJOS'!$D$4:$D$201,'DATA RECOJOS'!$B$4:$B$201,$A154,'DATA RECOJOS'!$A$4:$A$201,Config!$B$10))</f>
        <v/>
      </c>
      <c r="H154" s="44" t="str">
        <f t="shared" si="1"/>
        <v/>
      </c>
      <c r="I154" s="44" t="str">
        <f t="shared" si="2"/>
        <v/>
      </c>
    </row>
    <row r="155" ht="15.75" customHeight="1">
      <c r="A155" s="44" t="str">
        <f>IF(Tiendas!$A154="","",Tiendas!$A154)</f>
        <v/>
      </c>
      <c r="B155" s="44" t="str">
        <f>IF($A155="","",Tiendas!$B154)</f>
        <v/>
      </c>
      <c r="C155" s="44" t="str">
        <f>IF($A155="","",COUNTIFS('DATA ENVIOS'!$B$4:$B$204,$A155,'DATA ENVIOS'!$A$4:$A$204,Config!$B$4))</f>
        <v/>
      </c>
      <c r="D155" s="44" t="str">
        <f>IF($A155="","",COUNTIFS('DATA ENVIOS'!$B$4:$B$204,$A155,'DATA ENVIOS'!$A$4:$A$204,Config!$B$9))</f>
        <v/>
      </c>
      <c r="E155" s="44" t="str">
        <f>IF($A155="","",COUNTIFS('DATA ENVIOS'!$B$4:$B$204,$A155,'DATA ENVIOS'!$A$4:$A$204,Config!$B$10))</f>
        <v/>
      </c>
      <c r="F155" s="44" t="str">
        <f>IF($A155="","",SUMIFS('DATA RECOJOS'!$D$4:$D$201,'DATA RECOJOS'!$B$4:$B$201,$A155,'DATA RECOJOS'!$A$4:$A$201,Config!$B$9))</f>
        <v/>
      </c>
      <c r="G155" s="44" t="str">
        <f>IF($A155="","",SUMIFS('DATA RECOJOS'!$D$4:$D$201,'DATA RECOJOS'!$B$4:$B$201,$A155,'DATA RECOJOS'!$A$4:$A$201,Config!$B$10))</f>
        <v/>
      </c>
      <c r="H155" s="44" t="str">
        <f t="shared" si="1"/>
        <v/>
      </c>
      <c r="I155" s="44" t="str">
        <f t="shared" si="2"/>
        <v/>
      </c>
    </row>
    <row r="156" ht="15.75" customHeight="1">
      <c r="A156" s="44" t="str">
        <f>IF(Tiendas!$A155="","",Tiendas!$A155)</f>
        <v/>
      </c>
      <c r="B156" s="44" t="str">
        <f>IF($A156="","",Tiendas!$B155)</f>
        <v/>
      </c>
      <c r="C156" s="44" t="str">
        <f>IF($A156="","",COUNTIFS('DATA ENVIOS'!$B$4:$B$204,$A156,'DATA ENVIOS'!$A$4:$A$204,Config!$B$4))</f>
        <v/>
      </c>
      <c r="D156" s="44" t="str">
        <f>IF($A156="","",COUNTIFS('DATA ENVIOS'!$B$4:$B$204,$A156,'DATA ENVIOS'!$A$4:$A$204,Config!$B$9))</f>
        <v/>
      </c>
      <c r="E156" s="44" t="str">
        <f>IF($A156="","",COUNTIFS('DATA ENVIOS'!$B$4:$B$204,$A156,'DATA ENVIOS'!$A$4:$A$204,Config!$B$10))</f>
        <v/>
      </c>
      <c r="F156" s="44" t="str">
        <f>IF($A156="","",SUMIFS('DATA RECOJOS'!$D$4:$D$201,'DATA RECOJOS'!$B$4:$B$201,$A156,'DATA RECOJOS'!$A$4:$A$201,Config!$B$9))</f>
        <v/>
      </c>
      <c r="G156" s="44" t="str">
        <f>IF($A156="","",SUMIFS('DATA RECOJOS'!$D$4:$D$201,'DATA RECOJOS'!$B$4:$B$201,$A156,'DATA RECOJOS'!$A$4:$A$201,Config!$B$10))</f>
        <v/>
      </c>
      <c r="H156" s="44" t="str">
        <f t="shared" si="1"/>
        <v/>
      </c>
      <c r="I156" s="44" t="str">
        <f t="shared" si="2"/>
        <v/>
      </c>
    </row>
    <row r="157" ht="15.75" customHeight="1">
      <c r="A157" s="44" t="str">
        <f>IF(Tiendas!$A156="","",Tiendas!$A156)</f>
        <v/>
      </c>
      <c r="B157" s="44" t="str">
        <f>IF($A157="","",Tiendas!$B156)</f>
        <v/>
      </c>
      <c r="C157" s="44" t="str">
        <f>IF($A157="","",COUNTIFS('DATA ENVIOS'!$B$4:$B$204,$A157,'DATA ENVIOS'!$A$4:$A$204,Config!$B$4))</f>
        <v/>
      </c>
      <c r="D157" s="44" t="str">
        <f>IF($A157="","",COUNTIFS('DATA ENVIOS'!$B$4:$B$204,$A157,'DATA ENVIOS'!$A$4:$A$204,Config!$B$9))</f>
        <v/>
      </c>
      <c r="E157" s="44" t="str">
        <f>IF($A157="","",COUNTIFS('DATA ENVIOS'!$B$4:$B$204,$A157,'DATA ENVIOS'!$A$4:$A$204,Config!$B$10))</f>
        <v/>
      </c>
      <c r="F157" s="44" t="str">
        <f>IF($A157="","",SUMIFS('DATA RECOJOS'!$D$4:$D$201,'DATA RECOJOS'!$B$4:$B$201,$A157,'DATA RECOJOS'!$A$4:$A$201,Config!$B$9))</f>
        <v/>
      </c>
      <c r="G157" s="44" t="str">
        <f>IF($A157="","",SUMIFS('DATA RECOJOS'!$D$4:$D$201,'DATA RECOJOS'!$B$4:$B$201,$A157,'DATA RECOJOS'!$A$4:$A$201,Config!$B$10))</f>
        <v/>
      </c>
      <c r="H157" s="44" t="str">
        <f t="shared" si="1"/>
        <v/>
      </c>
      <c r="I157" s="44" t="str">
        <f t="shared" si="2"/>
        <v/>
      </c>
    </row>
    <row r="158" ht="15.75" customHeight="1">
      <c r="A158" s="44" t="str">
        <f>IF(Tiendas!$A157="","",Tiendas!$A157)</f>
        <v/>
      </c>
      <c r="B158" s="44" t="str">
        <f>IF($A158="","",Tiendas!$B157)</f>
        <v/>
      </c>
      <c r="C158" s="44" t="str">
        <f>IF($A158="","",COUNTIFS('DATA ENVIOS'!$B$4:$B$204,$A158,'DATA ENVIOS'!$A$4:$A$204,Config!$B$4))</f>
        <v/>
      </c>
      <c r="D158" s="44" t="str">
        <f>IF($A158="","",COUNTIFS('DATA ENVIOS'!$B$4:$B$204,$A158,'DATA ENVIOS'!$A$4:$A$204,Config!$B$9))</f>
        <v/>
      </c>
      <c r="E158" s="44" t="str">
        <f>IF($A158="","",COUNTIFS('DATA ENVIOS'!$B$4:$B$204,$A158,'DATA ENVIOS'!$A$4:$A$204,Config!$B$10))</f>
        <v/>
      </c>
      <c r="F158" s="44" t="str">
        <f>IF($A158="","",SUMIFS('DATA RECOJOS'!$D$4:$D$201,'DATA RECOJOS'!$B$4:$B$201,$A158,'DATA RECOJOS'!$A$4:$A$201,Config!$B$9))</f>
        <v/>
      </c>
      <c r="G158" s="44" t="str">
        <f>IF($A158="","",SUMIFS('DATA RECOJOS'!$D$4:$D$201,'DATA RECOJOS'!$B$4:$B$201,$A158,'DATA RECOJOS'!$A$4:$A$201,Config!$B$10))</f>
        <v/>
      </c>
      <c r="H158" s="44" t="str">
        <f t="shared" si="1"/>
        <v/>
      </c>
      <c r="I158" s="44" t="str">
        <f t="shared" si="2"/>
        <v/>
      </c>
    </row>
    <row r="159" ht="15.75" customHeight="1">
      <c r="A159" s="44" t="str">
        <f>IF(Tiendas!$A158="","",Tiendas!$A158)</f>
        <v/>
      </c>
      <c r="B159" s="44" t="str">
        <f>IF($A159="","",Tiendas!$B158)</f>
        <v/>
      </c>
      <c r="C159" s="44" t="str">
        <f>IF($A159="","",COUNTIFS('DATA ENVIOS'!$B$4:$B$204,$A159,'DATA ENVIOS'!$A$4:$A$204,Config!$B$4))</f>
        <v/>
      </c>
      <c r="D159" s="44" t="str">
        <f>IF($A159="","",COUNTIFS('DATA ENVIOS'!$B$4:$B$204,$A159,'DATA ENVIOS'!$A$4:$A$204,Config!$B$9))</f>
        <v/>
      </c>
      <c r="E159" s="44" t="str">
        <f>IF($A159="","",COUNTIFS('DATA ENVIOS'!$B$4:$B$204,$A159,'DATA ENVIOS'!$A$4:$A$204,Config!$B$10))</f>
        <v/>
      </c>
      <c r="F159" s="44" t="str">
        <f>IF($A159="","",SUMIFS('DATA RECOJOS'!$D$4:$D$201,'DATA RECOJOS'!$B$4:$B$201,$A159,'DATA RECOJOS'!$A$4:$A$201,Config!$B$9))</f>
        <v/>
      </c>
      <c r="G159" s="44" t="str">
        <f>IF($A159="","",SUMIFS('DATA RECOJOS'!$D$4:$D$201,'DATA RECOJOS'!$B$4:$B$201,$A159,'DATA RECOJOS'!$A$4:$A$201,Config!$B$10))</f>
        <v/>
      </c>
      <c r="H159" s="44" t="str">
        <f t="shared" si="1"/>
        <v/>
      </c>
      <c r="I159" s="44" t="str">
        <f t="shared" si="2"/>
        <v/>
      </c>
    </row>
    <row r="160" ht="15.75" customHeight="1">
      <c r="A160" s="44" t="str">
        <f>IF(Tiendas!$A159="","",Tiendas!$A159)</f>
        <v/>
      </c>
      <c r="B160" s="44" t="str">
        <f>IF($A160="","",Tiendas!$B159)</f>
        <v/>
      </c>
      <c r="C160" s="44" t="str">
        <f>IF($A160="","",COUNTIFS('DATA ENVIOS'!$B$4:$B$204,$A160,'DATA ENVIOS'!$A$4:$A$204,Config!$B$4))</f>
        <v/>
      </c>
      <c r="D160" s="44" t="str">
        <f>IF($A160="","",COUNTIFS('DATA ENVIOS'!$B$4:$B$204,$A160,'DATA ENVIOS'!$A$4:$A$204,Config!$B$9))</f>
        <v/>
      </c>
      <c r="E160" s="44" t="str">
        <f>IF($A160="","",COUNTIFS('DATA ENVIOS'!$B$4:$B$204,$A160,'DATA ENVIOS'!$A$4:$A$204,Config!$B$10))</f>
        <v/>
      </c>
      <c r="F160" s="44" t="str">
        <f>IF($A160="","",SUMIFS('DATA RECOJOS'!$D$4:$D$201,'DATA RECOJOS'!$B$4:$B$201,$A160,'DATA RECOJOS'!$A$4:$A$201,Config!$B$9))</f>
        <v/>
      </c>
      <c r="G160" s="44" t="str">
        <f>IF($A160="","",SUMIFS('DATA RECOJOS'!$D$4:$D$201,'DATA RECOJOS'!$B$4:$B$201,$A160,'DATA RECOJOS'!$A$4:$A$201,Config!$B$10))</f>
        <v/>
      </c>
      <c r="H160" s="44" t="str">
        <f t="shared" si="1"/>
        <v/>
      </c>
      <c r="I160" s="44" t="str">
        <f t="shared" si="2"/>
        <v/>
      </c>
    </row>
    <row r="161" ht="15.75" customHeight="1">
      <c r="A161" s="44" t="str">
        <f>IF(Tiendas!$A160="","",Tiendas!$A160)</f>
        <v/>
      </c>
      <c r="B161" s="44" t="str">
        <f>IF($A161="","",Tiendas!$B160)</f>
        <v/>
      </c>
      <c r="C161" s="44" t="str">
        <f>IF($A161="","",COUNTIFS('DATA ENVIOS'!$B$4:$B$204,$A161,'DATA ENVIOS'!$A$4:$A$204,Config!$B$4))</f>
        <v/>
      </c>
      <c r="D161" s="44" t="str">
        <f>IF($A161="","",COUNTIFS('DATA ENVIOS'!$B$4:$B$204,$A161,'DATA ENVIOS'!$A$4:$A$204,Config!$B$9))</f>
        <v/>
      </c>
      <c r="E161" s="44" t="str">
        <f>IF($A161="","",COUNTIFS('DATA ENVIOS'!$B$4:$B$204,$A161,'DATA ENVIOS'!$A$4:$A$204,Config!$B$10))</f>
        <v/>
      </c>
      <c r="F161" s="44" t="str">
        <f>IF($A161="","",SUMIFS('DATA RECOJOS'!$D$4:$D$201,'DATA RECOJOS'!$B$4:$B$201,$A161,'DATA RECOJOS'!$A$4:$A$201,Config!$B$9))</f>
        <v/>
      </c>
      <c r="G161" s="44" t="str">
        <f>IF($A161="","",SUMIFS('DATA RECOJOS'!$D$4:$D$201,'DATA RECOJOS'!$B$4:$B$201,$A161,'DATA RECOJOS'!$A$4:$A$201,Config!$B$10))</f>
        <v/>
      </c>
      <c r="H161" s="44" t="str">
        <f t="shared" si="1"/>
        <v/>
      </c>
      <c r="I161" s="44" t="str">
        <f t="shared" si="2"/>
        <v/>
      </c>
    </row>
    <row r="162" ht="15.75" customHeight="1">
      <c r="A162" s="44" t="str">
        <f>IF(Tiendas!$A161="","",Tiendas!$A161)</f>
        <v/>
      </c>
      <c r="B162" s="44" t="str">
        <f>IF($A162="","",Tiendas!$B161)</f>
        <v/>
      </c>
      <c r="C162" s="44" t="str">
        <f>IF($A162="","",COUNTIFS('DATA ENVIOS'!$B$4:$B$204,$A162,'DATA ENVIOS'!$A$4:$A$204,Config!$B$4))</f>
        <v/>
      </c>
      <c r="D162" s="44" t="str">
        <f>IF($A162="","",COUNTIFS('DATA ENVIOS'!$B$4:$B$204,$A162,'DATA ENVIOS'!$A$4:$A$204,Config!$B$9))</f>
        <v/>
      </c>
      <c r="E162" s="44" t="str">
        <f>IF($A162="","",COUNTIFS('DATA ENVIOS'!$B$4:$B$204,$A162,'DATA ENVIOS'!$A$4:$A$204,Config!$B$10))</f>
        <v/>
      </c>
      <c r="F162" s="44" t="str">
        <f>IF($A162="","",SUMIFS('DATA RECOJOS'!$D$4:$D$201,'DATA RECOJOS'!$B$4:$B$201,$A162,'DATA RECOJOS'!$A$4:$A$201,Config!$B$9))</f>
        <v/>
      </c>
      <c r="G162" s="44" t="str">
        <f>IF($A162="","",SUMIFS('DATA RECOJOS'!$D$4:$D$201,'DATA RECOJOS'!$B$4:$B$201,$A162,'DATA RECOJOS'!$A$4:$A$201,Config!$B$10))</f>
        <v/>
      </c>
      <c r="H162" s="44" t="str">
        <f t="shared" si="1"/>
        <v/>
      </c>
      <c r="I162" s="44" t="str">
        <f t="shared" si="2"/>
        <v/>
      </c>
    </row>
    <row r="163" ht="15.75" customHeight="1">
      <c r="A163" s="44" t="str">
        <f>IF(Tiendas!$A162="","",Tiendas!$A162)</f>
        <v/>
      </c>
      <c r="B163" s="44" t="str">
        <f>IF($A163="","",Tiendas!$B162)</f>
        <v/>
      </c>
      <c r="C163" s="44" t="str">
        <f>IF($A163="","",COUNTIFS('DATA ENVIOS'!$B$4:$B$204,$A163,'DATA ENVIOS'!$A$4:$A$204,Config!$B$4))</f>
        <v/>
      </c>
      <c r="D163" s="44" t="str">
        <f>IF($A163="","",COUNTIFS('DATA ENVIOS'!$B$4:$B$204,$A163,'DATA ENVIOS'!$A$4:$A$204,Config!$B$9))</f>
        <v/>
      </c>
      <c r="E163" s="44" t="str">
        <f>IF($A163="","",COUNTIFS('DATA ENVIOS'!$B$4:$B$204,$A163,'DATA ENVIOS'!$A$4:$A$204,Config!$B$10))</f>
        <v/>
      </c>
      <c r="F163" s="44" t="str">
        <f>IF($A163="","",SUMIFS('DATA RECOJOS'!$D$4:$D$201,'DATA RECOJOS'!$B$4:$B$201,$A163,'DATA RECOJOS'!$A$4:$A$201,Config!$B$9))</f>
        <v/>
      </c>
      <c r="G163" s="44" t="str">
        <f>IF($A163="","",SUMIFS('DATA RECOJOS'!$D$4:$D$201,'DATA RECOJOS'!$B$4:$B$201,$A163,'DATA RECOJOS'!$A$4:$A$201,Config!$B$10))</f>
        <v/>
      </c>
      <c r="H163" s="44" t="str">
        <f t="shared" si="1"/>
        <v/>
      </c>
      <c r="I163" s="44" t="str">
        <f t="shared" si="2"/>
        <v/>
      </c>
    </row>
    <row r="164" ht="15.75" customHeight="1">
      <c r="A164" s="44" t="str">
        <f>IF(Tiendas!$A163="","",Tiendas!$A163)</f>
        <v/>
      </c>
      <c r="B164" s="44" t="str">
        <f>IF($A164="","",Tiendas!$B163)</f>
        <v/>
      </c>
      <c r="C164" s="44" t="str">
        <f>IF($A164="","",COUNTIFS('DATA ENVIOS'!$B$4:$B$204,$A164,'DATA ENVIOS'!$A$4:$A$204,Config!$B$4))</f>
        <v/>
      </c>
      <c r="D164" s="44" t="str">
        <f>IF($A164="","",COUNTIFS('DATA ENVIOS'!$B$4:$B$204,$A164,'DATA ENVIOS'!$A$4:$A$204,Config!$B$9))</f>
        <v/>
      </c>
      <c r="E164" s="44" t="str">
        <f>IF($A164="","",COUNTIFS('DATA ENVIOS'!$B$4:$B$204,$A164,'DATA ENVIOS'!$A$4:$A$204,Config!$B$10))</f>
        <v/>
      </c>
      <c r="F164" s="44" t="str">
        <f>IF($A164="","",SUMIFS('DATA RECOJOS'!$D$4:$D$201,'DATA RECOJOS'!$B$4:$B$201,$A164,'DATA RECOJOS'!$A$4:$A$201,Config!$B$9))</f>
        <v/>
      </c>
      <c r="G164" s="44" t="str">
        <f>IF($A164="","",SUMIFS('DATA RECOJOS'!$D$4:$D$201,'DATA RECOJOS'!$B$4:$B$201,$A164,'DATA RECOJOS'!$A$4:$A$201,Config!$B$10))</f>
        <v/>
      </c>
      <c r="H164" s="44" t="str">
        <f t="shared" si="1"/>
        <v/>
      </c>
      <c r="I164" s="44" t="str">
        <f t="shared" si="2"/>
        <v/>
      </c>
    </row>
    <row r="165" ht="15.75" customHeight="1">
      <c r="A165" s="44" t="str">
        <f>IF(Tiendas!$A164="","",Tiendas!$A164)</f>
        <v/>
      </c>
      <c r="B165" s="44" t="str">
        <f>IF($A165="","",Tiendas!$B164)</f>
        <v/>
      </c>
      <c r="C165" s="44" t="str">
        <f>IF($A165="","",COUNTIFS('DATA ENVIOS'!$B$4:$B$204,$A165,'DATA ENVIOS'!$A$4:$A$204,Config!$B$4))</f>
        <v/>
      </c>
      <c r="D165" s="44" t="str">
        <f>IF($A165="","",COUNTIFS('DATA ENVIOS'!$B$4:$B$204,$A165,'DATA ENVIOS'!$A$4:$A$204,Config!$B$9))</f>
        <v/>
      </c>
      <c r="E165" s="44" t="str">
        <f>IF($A165="","",COUNTIFS('DATA ENVIOS'!$B$4:$B$204,$A165,'DATA ENVIOS'!$A$4:$A$204,Config!$B$10))</f>
        <v/>
      </c>
      <c r="F165" s="44" t="str">
        <f>IF($A165="","",SUMIFS('DATA RECOJOS'!$D$4:$D$201,'DATA RECOJOS'!$B$4:$B$201,$A165,'DATA RECOJOS'!$A$4:$A$201,Config!$B$9))</f>
        <v/>
      </c>
      <c r="G165" s="44" t="str">
        <f>IF($A165="","",SUMIFS('DATA RECOJOS'!$D$4:$D$201,'DATA RECOJOS'!$B$4:$B$201,$A165,'DATA RECOJOS'!$A$4:$A$201,Config!$B$10))</f>
        <v/>
      </c>
      <c r="H165" s="44" t="str">
        <f t="shared" si="1"/>
        <v/>
      </c>
      <c r="I165" s="44" t="str">
        <f t="shared" si="2"/>
        <v/>
      </c>
    </row>
    <row r="166" ht="15.75" customHeight="1">
      <c r="A166" s="44" t="str">
        <f>IF(Tiendas!$A165="","",Tiendas!$A165)</f>
        <v/>
      </c>
      <c r="B166" s="44" t="str">
        <f>IF($A166="","",Tiendas!$B165)</f>
        <v/>
      </c>
      <c r="C166" s="44" t="str">
        <f>IF($A166="","",COUNTIFS('DATA ENVIOS'!$B$4:$B$204,$A166,'DATA ENVIOS'!$A$4:$A$204,Config!$B$4))</f>
        <v/>
      </c>
      <c r="D166" s="44" t="str">
        <f>IF($A166="","",COUNTIFS('DATA ENVIOS'!$B$4:$B$204,$A166,'DATA ENVIOS'!$A$4:$A$204,Config!$B$9))</f>
        <v/>
      </c>
      <c r="E166" s="44" t="str">
        <f>IF($A166="","",COUNTIFS('DATA ENVIOS'!$B$4:$B$204,$A166,'DATA ENVIOS'!$A$4:$A$204,Config!$B$10))</f>
        <v/>
      </c>
      <c r="F166" s="44" t="str">
        <f>IF($A166="","",SUMIFS('DATA RECOJOS'!$D$4:$D$201,'DATA RECOJOS'!$B$4:$B$201,$A166,'DATA RECOJOS'!$A$4:$A$201,Config!$B$9))</f>
        <v/>
      </c>
      <c r="G166" s="44" t="str">
        <f>IF($A166="","",SUMIFS('DATA RECOJOS'!$D$4:$D$201,'DATA RECOJOS'!$B$4:$B$201,$A166,'DATA RECOJOS'!$A$4:$A$201,Config!$B$10))</f>
        <v/>
      </c>
      <c r="H166" s="44" t="str">
        <f t="shared" si="1"/>
        <v/>
      </c>
      <c r="I166" s="44" t="str">
        <f t="shared" si="2"/>
        <v/>
      </c>
    </row>
    <row r="167" ht="15.75" customHeight="1">
      <c r="A167" s="44" t="str">
        <f>IF(Tiendas!$A166="","",Tiendas!$A166)</f>
        <v/>
      </c>
      <c r="B167" s="44" t="str">
        <f>IF($A167="","",Tiendas!$B166)</f>
        <v/>
      </c>
      <c r="C167" s="44" t="str">
        <f>IF($A167="","",COUNTIFS('DATA ENVIOS'!$B$4:$B$204,$A167,'DATA ENVIOS'!$A$4:$A$204,Config!$B$4))</f>
        <v/>
      </c>
      <c r="D167" s="44" t="str">
        <f>IF($A167="","",COUNTIFS('DATA ENVIOS'!$B$4:$B$204,$A167,'DATA ENVIOS'!$A$4:$A$204,Config!$B$9))</f>
        <v/>
      </c>
      <c r="E167" s="44" t="str">
        <f>IF($A167="","",COUNTIFS('DATA ENVIOS'!$B$4:$B$204,$A167,'DATA ENVIOS'!$A$4:$A$204,Config!$B$10))</f>
        <v/>
      </c>
      <c r="F167" s="44" t="str">
        <f>IF($A167="","",SUMIFS('DATA RECOJOS'!$D$4:$D$201,'DATA RECOJOS'!$B$4:$B$201,$A167,'DATA RECOJOS'!$A$4:$A$201,Config!$B$9))</f>
        <v/>
      </c>
      <c r="G167" s="44" t="str">
        <f>IF($A167="","",SUMIFS('DATA RECOJOS'!$D$4:$D$201,'DATA RECOJOS'!$B$4:$B$201,$A167,'DATA RECOJOS'!$A$4:$A$201,Config!$B$10))</f>
        <v/>
      </c>
      <c r="H167" s="44" t="str">
        <f t="shared" si="1"/>
        <v/>
      </c>
      <c r="I167" s="44" t="str">
        <f t="shared" si="2"/>
        <v/>
      </c>
    </row>
    <row r="168" ht="15.75" customHeight="1">
      <c r="A168" s="44" t="str">
        <f>IF(Tiendas!$A167="","",Tiendas!$A167)</f>
        <v/>
      </c>
      <c r="B168" s="44" t="str">
        <f>IF($A168="","",Tiendas!$B167)</f>
        <v/>
      </c>
      <c r="C168" s="44" t="str">
        <f>IF($A168="","",COUNTIFS('DATA ENVIOS'!$B$4:$B$204,$A168,'DATA ENVIOS'!$A$4:$A$204,Config!$B$4))</f>
        <v/>
      </c>
      <c r="D168" s="44" t="str">
        <f>IF($A168="","",COUNTIFS('DATA ENVIOS'!$B$4:$B$204,$A168,'DATA ENVIOS'!$A$4:$A$204,Config!$B$9))</f>
        <v/>
      </c>
      <c r="E168" s="44" t="str">
        <f>IF($A168="","",COUNTIFS('DATA ENVIOS'!$B$4:$B$204,$A168,'DATA ENVIOS'!$A$4:$A$204,Config!$B$10))</f>
        <v/>
      </c>
      <c r="F168" s="44" t="str">
        <f>IF($A168="","",SUMIFS('DATA RECOJOS'!$D$4:$D$201,'DATA RECOJOS'!$B$4:$B$201,$A168,'DATA RECOJOS'!$A$4:$A$201,Config!$B$9))</f>
        <v/>
      </c>
      <c r="G168" s="44" t="str">
        <f>IF($A168="","",SUMIFS('DATA RECOJOS'!$D$4:$D$201,'DATA RECOJOS'!$B$4:$B$201,$A168,'DATA RECOJOS'!$A$4:$A$201,Config!$B$10))</f>
        <v/>
      </c>
      <c r="H168" s="44" t="str">
        <f t="shared" si="1"/>
        <v/>
      </c>
      <c r="I168" s="44" t="str">
        <f t="shared" si="2"/>
        <v/>
      </c>
    </row>
    <row r="169" ht="15.75" customHeight="1">
      <c r="A169" s="44" t="str">
        <f>IF(Tiendas!$A168="","",Tiendas!$A168)</f>
        <v/>
      </c>
      <c r="B169" s="44" t="str">
        <f>IF($A169="","",Tiendas!$B168)</f>
        <v/>
      </c>
      <c r="C169" s="44" t="str">
        <f>IF($A169="","",COUNTIFS('DATA ENVIOS'!$B$4:$B$204,$A169,'DATA ENVIOS'!$A$4:$A$204,Config!$B$4))</f>
        <v/>
      </c>
      <c r="D169" s="44" t="str">
        <f>IF($A169="","",COUNTIFS('DATA ENVIOS'!$B$4:$B$204,$A169,'DATA ENVIOS'!$A$4:$A$204,Config!$B$9))</f>
        <v/>
      </c>
      <c r="E169" s="44" t="str">
        <f>IF($A169="","",COUNTIFS('DATA ENVIOS'!$B$4:$B$204,$A169,'DATA ENVIOS'!$A$4:$A$204,Config!$B$10))</f>
        <v/>
      </c>
      <c r="F169" s="44" t="str">
        <f>IF($A169="","",SUMIFS('DATA RECOJOS'!$D$4:$D$201,'DATA RECOJOS'!$B$4:$B$201,$A169,'DATA RECOJOS'!$A$4:$A$201,Config!$B$9))</f>
        <v/>
      </c>
      <c r="G169" s="44" t="str">
        <f>IF($A169="","",SUMIFS('DATA RECOJOS'!$D$4:$D$201,'DATA RECOJOS'!$B$4:$B$201,$A169,'DATA RECOJOS'!$A$4:$A$201,Config!$B$10))</f>
        <v/>
      </c>
      <c r="H169" s="44" t="str">
        <f t="shared" si="1"/>
        <v/>
      </c>
      <c r="I169" s="44" t="str">
        <f t="shared" si="2"/>
        <v/>
      </c>
    </row>
    <row r="170" ht="15.75" customHeight="1">
      <c r="A170" s="44" t="str">
        <f>IF(Tiendas!$A169="","",Tiendas!$A169)</f>
        <v/>
      </c>
      <c r="B170" s="44" t="str">
        <f>IF($A170="","",Tiendas!$B169)</f>
        <v/>
      </c>
      <c r="C170" s="44" t="str">
        <f>IF($A170="","",COUNTIFS('DATA ENVIOS'!$B$4:$B$204,$A170,'DATA ENVIOS'!$A$4:$A$204,Config!$B$4))</f>
        <v/>
      </c>
      <c r="D170" s="44" t="str">
        <f>IF($A170="","",COUNTIFS('DATA ENVIOS'!$B$4:$B$204,$A170,'DATA ENVIOS'!$A$4:$A$204,Config!$B$9))</f>
        <v/>
      </c>
      <c r="E170" s="44" t="str">
        <f>IF($A170="","",COUNTIFS('DATA ENVIOS'!$B$4:$B$204,$A170,'DATA ENVIOS'!$A$4:$A$204,Config!$B$10))</f>
        <v/>
      </c>
      <c r="F170" s="44" t="str">
        <f>IF($A170="","",SUMIFS('DATA RECOJOS'!$D$4:$D$201,'DATA RECOJOS'!$B$4:$B$201,$A170,'DATA RECOJOS'!$A$4:$A$201,Config!$B$9))</f>
        <v/>
      </c>
      <c r="G170" s="44" t="str">
        <f>IF($A170="","",SUMIFS('DATA RECOJOS'!$D$4:$D$201,'DATA RECOJOS'!$B$4:$B$201,$A170,'DATA RECOJOS'!$A$4:$A$201,Config!$B$10))</f>
        <v/>
      </c>
      <c r="H170" s="44" t="str">
        <f t="shared" si="1"/>
        <v/>
      </c>
      <c r="I170" s="44" t="str">
        <f t="shared" si="2"/>
        <v/>
      </c>
    </row>
    <row r="171" ht="15.75" customHeight="1">
      <c r="A171" s="44" t="str">
        <f>IF(Tiendas!$A170="","",Tiendas!$A170)</f>
        <v/>
      </c>
      <c r="B171" s="44" t="str">
        <f>IF($A171="","",Tiendas!$B170)</f>
        <v/>
      </c>
      <c r="C171" s="44" t="str">
        <f>IF($A171="","",COUNTIFS('DATA ENVIOS'!$B$4:$B$204,$A171,'DATA ENVIOS'!$A$4:$A$204,Config!$B$4))</f>
        <v/>
      </c>
      <c r="D171" s="44" t="str">
        <f>IF($A171="","",COUNTIFS('DATA ENVIOS'!$B$4:$B$204,$A171,'DATA ENVIOS'!$A$4:$A$204,Config!$B$9))</f>
        <v/>
      </c>
      <c r="E171" s="44" t="str">
        <f>IF($A171="","",COUNTIFS('DATA ENVIOS'!$B$4:$B$204,$A171,'DATA ENVIOS'!$A$4:$A$204,Config!$B$10))</f>
        <v/>
      </c>
      <c r="F171" s="44" t="str">
        <f>IF($A171="","",SUMIFS('DATA RECOJOS'!$D$4:$D$201,'DATA RECOJOS'!$B$4:$B$201,$A171,'DATA RECOJOS'!$A$4:$A$201,Config!$B$9))</f>
        <v/>
      </c>
      <c r="G171" s="44" t="str">
        <f>IF($A171="","",SUMIFS('DATA RECOJOS'!$D$4:$D$201,'DATA RECOJOS'!$B$4:$B$201,$A171,'DATA RECOJOS'!$A$4:$A$201,Config!$B$10))</f>
        <v/>
      </c>
      <c r="H171" s="44" t="str">
        <f t="shared" si="1"/>
        <v/>
      </c>
      <c r="I171" s="44" t="str">
        <f t="shared" si="2"/>
        <v/>
      </c>
    </row>
    <row r="172" ht="15.75" customHeight="1">
      <c r="A172" s="44" t="str">
        <f>IF(Tiendas!$A171="","",Tiendas!$A171)</f>
        <v/>
      </c>
      <c r="B172" s="44" t="str">
        <f>IF($A172="","",Tiendas!$B171)</f>
        <v/>
      </c>
      <c r="C172" s="44" t="str">
        <f>IF($A172="","",COUNTIFS('DATA ENVIOS'!$B$4:$B$204,$A172,'DATA ENVIOS'!$A$4:$A$204,Config!$B$4))</f>
        <v/>
      </c>
      <c r="D172" s="44" t="str">
        <f>IF($A172="","",COUNTIFS('DATA ENVIOS'!$B$4:$B$204,$A172,'DATA ENVIOS'!$A$4:$A$204,Config!$B$9))</f>
        <v/>
      </c>
      <c r="E172" s="44" t="str">
        <f>IF($A172="","",COUNTIFS('DATA ENVIOS'!$B$4:$B$204,$A172,'DATA ENVIOS'!$A$4:$A$204,Config!$B$10))</f>
        <v/>
      </c>
      <c r="F172" s="44" t="str">
        <f>IF($A172="","",SUMIFS('DATA RECOJOS'!$D$4:$D$201,'DATA RECOJOS'!$B$4:$B$201,$A172,'DATA RECOJOS'!$A$4:$A$201,Config!$B$9))</f>
        <v/>
      </c>
      <c r="G172" s="44" t="str">
        <f>IF($A172="","",SUMIFS('DATA RECOJOS'!$D$4:$D$201,'DATA RECOJOS'!$B$4:$B$201,$A172,'DATA RECOJOS'!$A$4:$A$201,Config!$B$10))</f>
        <v/>
      </c>
      <c r="H172" s="44" t="str">
        <f t="shared" si="1"/>
        <v/>
      </c>
      <c r="I172" s="44" t="str">
        <f t="shared" si="2"/>
        <v/>
      </c>
    </row>
    <row r="173" ht="15.75" customHeight="1">
      <c r="A173" s="44" t="str">
        <f>IF(Tiendas!$A172="","",Tiendas!$A172)</f>
        <v/>
      </c>
      <c r="B173" s="44" t="str">
        <f>IF($A173="","",Tiendas!$B172)</f>
        <v/>
      </c>
      <c r="C173" s="44" t="str">
        <f>IF($A173="","",COUNTIFS('DATA ENVIOS'!$B$4:$B$204,$A173,'DATA ENVIOS'!$A$4:$A$204,Config!$B$4))</f>
        <v/>
      </c>
      <c r="D173" s="44" t="str">
        <f>IF($A173="","",COUNTIFS('DATA ENVIOS'!$B$4:$B$204,$A173,'DATA ENVIOS'!$A$4:$A$204,Config!$B$9))</f>
        <v/>
      </c>
      <c r="E173" s="44" t="str">
        <f>IF($A173="","",COUNTIFS('DATA ENVIOS'!$B$4:$B$204,$A173,'DATA ENVIOS'!$A$4:$A$204,Config!$B$10))</f>
        <v/>
      </c>
      <c r="F173" s="44" t="str">
        <f>IF($A173="","",SUMIFS('DATA RECOJOS'!$D$4:$D$201,'DATA RECOJOS'!$B$4:$B$201,$A173,'DATA RECOJOS'!$A$4:$A$201,Config!$B$9))</f>
        <v/>
      </c>
      <c r="G173" s="44" t="str">
        <f>IF($A173="","",SUMIFS('DATA RECOJOS'!$D$4:$D$201,'DATA RECOJOS'!$B$4:$B$201,$A173,'DATA RECOJOS'!$A$4:$A$201,Config!$B$10))</f>
        <v/>
      </c>
      <c r="H173" s="44" t="str">
        <f t="shared" si="1"/>
        <v/>
      </c>
      <c r="I173" s="44" t="str">
        <f t="shared" si="2"/>
        <v/>
      </c>
    </row>
    <row r="174" ht="15.75" customHeight="1">
      <c r="A174" s="44" t="str">
        <f>IF(Tiendas!$A173="","",Tiendas!$A173)</f>
        <v/>
      </c>
      <c r="B174" s="44" t="str">
        <f>IF($A174="","",Tiendas!$B173)</f>
        <v/>
      </c>
      <c r="C174" s="44" t="str">
        <f>IF($A174="","",COUNTIFS('DATA ENVIOS'!$B$4:$B$204,$A174,'DATA ENVIOS'!$A$4:$A$204,Config!$B$4))</f>
        <v/>
      </c>
      <c r="D174" s="44" t="str">
        <f>IF($A174="","",COUNTIFS('DATA ENVIOS'!$B$4:$B$204,$A174,'DATA ENVIOS'!$A$4:$A$204,Config!$B$9))</f>
        <v/>
      </c>
      <c r="E174" s="44" t="str">
        <f>IF($A174="","",COUNTIFS('DATA ENVIOS'!$B$4:$B$204,$A174,'DATA ENVIOS'!$A$4:$A$204,Config!$B$10))</f>
        <v/>
      </c>
      <c r="F174" s="44" t="str">
        <f>IF($A174="","",SUMIFS('DATA RECOJOS'!$D$4:$D$201,'DATA RECOJOS'!$B$4:$B$201,$A174,'DATA RECOJOS'!$A$4:$A$201,Config!$B$9))</f>
        <v/>
      </c>
      <c r="G174" s="44" t="str">
        <f>IF($A174="","",SUMIFS('DATA RECOJOS'!$D$4:$D$201,'DATA RECOJOS'!$B$4:$B$201,$A174,'DATA RECOJOS'!$A$4:$A$201,Config!$B$10))</f>
        <v/>
      </c>
      <c r="H174" s="44" t="str">
        <f t="shared" si="1"/>
        <v/>
      </c>
      <c r="I174" s="44" t="str">
        <f t="shared" si="2"/>
        <v/>
      </c>
    </row>
    <row r="175" ht="15.75" customHeight="1">
      <c r="A175" s="44" t="str">
        <f>IF(Tiendas!$A174="","",Tiendas!$A174)</f>
        <v/>
      </c>
      <c r="B175" s="44" t="str">
        <f>IF($A175="","",Tiendas!$B174)</f>
        <v/>
      </c>
      <c r="C175" s="44" t="str">
        <f>IF($A175="","",COUNTIFS('DATA ENVIOS'!$B$4:$B$204,$A175,'DATA ENVIOS'!$A$4:$A$204,Config!$B$4))</f>
        <v/>
      </c>
      <c r="D175" s="44" t="str">
        <f>IF($A175="","",COUNTIFS('DATA ENVIOS'!$B$4:$B$204,$A175,'DATA ENVIOS'!$A$4:$A$204,Config!$B$9))</f>
        <v/>
      </c>
      <c r="E175" s="44" t="str">
        <f>IF($A175="","",COUNTIFS('DATA ENVIOS'!$B$4:$B$204,$A175,'DATA ENVIOS'!$A$4:$A$204,Config!$B$10))</f>
        <v/>
      </c>
      <c r="F175" s="44" t="str">
        <f>IF($A175="","",SUMIFS('DATA RECOJOS'!$D$4:$D$201,'DATA RECOJOS'!$B$4:$B$201,$A175,'DATA RECOJOS'!$A$4:$A$201,Config!$B$9))</f>
        <v/>
      </c>
      <c r="G175" s="44" t="str">
        <f>IF($A175="","",SUMIFS('DATA RECOJOS'!$D$4:$D$201,'DATA RECOJOS'!$B$4:$B$201,$A175,'DATA RECOJOS'!$A$4:$A$201,Config!$B$10))</f>
        <v/>
      </c>
      <c r="H175" s="44" t="str">
        <f t="shared" si="1"/>
        <v/>
      </c>
      <c r="I175" s="44" t="str">
        <f t="shared" si="2"/>
        <v/>
      </c>
    </row>
    <row r="176" ht="15.75" customHeight="1">
      <c r="A176" s="44" t="str">
        <f>IF(Tiendas!$A175="","",Tiendas!$A175)</f>
        <v/>
      </c>
      <c r="B176" s="44" t="str">
        <f>IF($A176="","",Tiendas!$B175)</f>
        <v/>
      </c>
      <c r="C176" s="44" t="str">
        <f>IF($A176="","",COUNTIFS('DATA ENVIOS'!$B$4:$B$204,$A176,'DATA ENVIOS'!$A$4:$A$204,Config!$B$4))</f>
        <v/>
      </c>
      <c r="D176" s="44" t="str">
        <f>IF($A176="","",COUNTIFS('DATA ENVIOS'!$B$4:$B$204,$A176,'DATA ENVIOS'!$A$4:$A$204,Config!$B$9))</f>
        <v/>
      </c>
      <c r="E176" s="44" t="str">
        <f>IF($A176="","",COUNTIFS('DATA ENVIOS'!$B$4:$B$204,$A176,'DATA ENVIOS'!$A$4:$A$204,Config!$B$10))</f>
        <v/>
      </c>
      <c r="F176" s="44" t="str">
        <f>IF($A176="","",SUMIFS('DATA RECOJOS'!$D$4:$D$201,'DATA RECOJOS'!$B$4:$B$201,$A176,'DATA RECOJOS'!$A$4:$A$201,Config!$B$9))</f>
        <v/>
      </c>
      <c r="G176" s="44" t="str">
        <f>IF($A176="","",SUMIFS('DATA RECOJOS'!$D$4:$D$201,'DATA RECOJOS'!$B$4:$B$201,$A176,'DATA RECOJOS'!$A$4:$A$201,Config!$B$10))</f>
        <v/>
      </c>
      <c r="H176" s="44" t="str">
        <f t="shared" si="1"/>
        <v/>
      </c>
      <c r="I176" s="44" t="str">
        <f t="shared" si="2"/>
        <v/>
      </c>
    </row>
    <row r="177" ht="15.75" customHeight="1">
      <c r="A177" s="44" t="str">
        <f>IF(Tiendas!$A176="","",Tiendas!$A176)</f>
        <v/>
      </c>
      <c r="B177" s="44" t="str">
        <f>IF($A177="","",Tiendas!$B176)</f>
        <v/>
      </c>
      <c r="C177" s="44" t="str">
        <f>IF($A177="","",COUNTIFS('DATA ENVIOS'!$B$4:$B$204,$A177,'DATA ENVIOS'!$A$4:$A$204,Config!$B$4))</f>
        <v/>
      </c>
      <c r="D177" s="44" t="str">
        <f>IF($A177="","",COUNTIFS('DATA ENVIOS'!$B$4:$B$204,$A177,'DATA ENVIOS'!$A$4:$A$204,Config!$B$9))</f>
        <v/>
      </c>
      <c r="E177" s="44" t="str">
        <f>IF($A177="","",COUNTIFS('DATA ENVIOS'!$B$4:$B$204,$A177,'DATA ENVIOS'!$A$4:$A$204,Config!$B$10))</f>
        <v/>
      </c>
      <c r="F177" s="44" t="str">
        <f>IF($A177="","",SUMIFS('DATA RECOJOS'!$D$4:$D$201,'DATA RECOJOS'!$B$4:$B$201,$A177,'DATA RECOJOS'!$A$4:$A$201,Config!$B$9))</f>
        <v/>
      </c>
      <c r="G177" s="44" t="str">
        <f>IF($A177="","",SUMIFS('DATA RECOJOS'!$D$4:$D$201,'DATA RECOJOS'!$B$4:$B$201,$A177,'DATA RECOJOS'!$A$4:$A$201,Config!$B$10))</f>
        <v/>
      </c>
      <c r="H177" s="44" t="str">
        <f t="shared" si="1"/>
        <v/>
      </c>
      <c r="I177" s="44" t="str">
        <f t="shared" si="2"/>
        <v/>
      </c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</sheetData>
  <autoFilter ref="$A$3:$I$65">
    <sortState ref="A3:I65">
      <sortCondition descending="1" ref="C3:C65"/>
    </sortState>
  </autoFilter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2.0"/>
    <col customWidth="1" min="4" max="4" width="34.0"/>
    <col customWidth="1" min="5" max="6" width="16.0"/>
    <col customWidth="1" min="7" max="7" width="15.86"/>
    <col customWidth="1" min="8" max="8" width="16.0"/>
    <col customWidth="1" min="9" max="26" width="8.86"/>
  </cols>
  <sheetData>
    <row r="1" ht="21.75" customHeight="1">
      <c r="A1" s="1" t="s">
        <v>166</v>
      </c>
      <c r="B1" s="2"/>
      <c r="C1" s="2"/>
      <c r="D1" s="2"/>
      <c r="E1" s="2"/>
      <c r="F1" s="2"/>
      <c r="G1" s="2"/>
      <c r="H1" s="2"/>
    </row>
    <row r="2">
      <c r="A2" s="3"/>
      <c r="B2" s="3"/>
      <c r="C2" s="3"/>
      <c r="D2" s="3"/>
      <c r="E2" s="3"/>
      <c r="F2" s="3"/>
      <c r="G2" s="3"/>
      <c r="H2" s="3"/>
    </row>
    <row r="3">
      <c r="A3" s="13" t="s">
        <v>167</v>
      </c>
      <c r="B3" s="35" t="str">
        <f t="array" ref="B3">IFERROR(INDEX(Helper_Vendedor!$A$4:$A$177,MATCH(1,Helper_Vendedor!$D$4:$D$177,0)),"-")</f>
        <v>AVEFENIX3107</v>
      </c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16" t="s">
        <v>146</v>
      </c>
      <c r="B5" s="49" t="str">
        <f>IF($B$3="","",VLOOKUP($B$3,Tiendas!$A$4:$K$176,2,FALSE))</f>
        <v>JORDAN</v>
      </c>
      <c r="C5" s="3"/>
      <c r="D5" s="3"/>
      <c r="E5" s="3"/>
      <c r="F5" s="3"/>
      <c r="G5" s="3"/>
      <c r="H5" s="3"/>
    </row>
    <row r="6">
      <c r="A6" s="16" t="s">
        <v>168</v>
      </c>
      <c r="B6" s="49" t="str">
        <f>IF($B$3="","",VLOOKUP($B$3,Tiendas!$A$4:$K$176,9,FALSE))</f>
        <v>Si</v>
      </c>
      <c r="C6" s="3"/>
      <c r="D6" s="3"/>
      <c r="E6" s="3"/>
      <c r="F6" s="3"/>
      <c r="G6" s="3"/>
      <c r="H6" s="3"/>
    </row>
    <row r="7">
      <c r="A7" s="16" t="s">
        <v>169</v>
      </c>
      <c r="B7" s="50">
        <f>IF($B$3="","",VLOOKUP($B$3,Tiendas!$A$4:$K$176,3,FALSE))</f>
        <v>46027</v>
      </c>
      <c r="C7" s="3"/>
      <c r="D7" s="3"/>
      <c r="E7" s="3"/>
      <c r="F7" s="3"/>
      <c r="G7" s="3"/>
      <c r="H7" s="3"/>
    </row>
    <row r="8">
      <c r="A8" s="16" t="s">
        <v>170</v>
      </c>
      <c r="B8" s="50">
        <f>IF($B$3="","",VLOOKUP($B$3,Tiendas!$A$4:$K$176,4,FALSE))</f>
        <v>46028</v>
      </c>
      <c r="C8" s="3"/>
      <c r="D8" s="3"/>
      <c r="E8" s="3"/>
      <c r="F8" s="3"/>
      <c r="G8" s="3"/>
      <c r="H8" s="3"/>
    </row>
    <row r="9">
      <c r="A9" s="16" t="s">
        <v>171</v>
      </c>
      <c r="B9" s="50">
        <f>IF($B$3="","",VLOOKUP($B$3,Tiendas!$A$4:$K$176,5,FALSE))</f>
        <v>46032</v>
      </c>
      <c r="C9" s="3"/>
      <c r="D9" s="3"/>
      <c r="E9" s="3"/>
      <c r="F9" s="3"/>
      <c r="G9" s="3"/>
      <c r="H9" s="3"/>
    </row>
    <row r="10">
      <c r="A10" s="16" t="s">
        <v>172</v>
      </c>
      <c r="B10" s="51">
        <f>IF($B$3="","",VLOOKUP($B$3,Tiendas!$A$4:$K$176,8,FALSE))</f>
        <v>5</v>
      </c>
      <c r="C10" s="3"/>
      <c r="D10" s="3"/>
      <c r="E10" s="3"/>
      <c r="F10" s="3"/>
      <c r="G10" s="3"/>
      <c r="H10" s="3"/>
    </row>
    <row r="11">
      <c r="A11" s="16" t="s">
        <v>173</v>
      </c>
      <c r="B11" s="49" t="str">
        <f>IF($B$3="","",VLOOKUP($B$3,Tiendas!$A$4:$K$176,10,FALSE))</f>
        <v>Sí</v>
      </c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 ht="15.75" customHeight="1">
      <c r="A13" s="4" t="s">
        <v>174</v>
      </c>
      <c r="B13" s="2"/>
      <c r="C13" s="2"/>
      <c r="D13" s="2"/>
      <c r="E13" s="2"/>
      <c r="F13" s="2"/>
      <c r="G13" s="2"/>
      <c r="H13" s="2"/>
    </row>
    <row r="14">
      <c r="A14" s="5" t="s">
        <v>16</v>
      </c>
      <c r="B14" s="52">
        <f>Config!$B$4</f>
        <v>46023</v>
      </c>
      <c r="C14" s="3"/>
      <c r="D14" s="53" t="s">
        <v>175</v>
      </c>
      <c r="E14" s="2"/>
      <c r="F14" s="2"/>
      <c r="G14" s="53" t="s">
        <v>176</v>
      </c>
      <c r="H14" s="2"/>
    </row>
    <row r="15" ht="30.0" customHeight="1">
      <c r="A15" s="3"/>
      <c r="B15" s="3"/>
      <c r="C15" s="3"/>
      <c r="D15" s="5" t="s">
        <v>177</v>
      </c>
      <c r="E15" s="54">
        <f>IF($B$3="","",COUNTIFS('DATA ENVIOS'!$B$4:$B$2000,$B$3,'DATA ENVIOS'!$D$4:$D$2000,"Entregado",'DATA ENVIOS'!$A$4:$A$2000,Config!$B$4))</f>
        <v>292</v>
      </c>
      <c r="F15" s="3"/>
      <c r="G15" s="5" t="s">
        <v>41</v>
      </c>
      <c r="H15" s="54">
        <f>IF($B$3="","",SUMIFS('DATA RECOJOS'!$D$4:$D$201,'DATA RECOJOS'!$B$4:$B$201,$B$3,'DATA RECOJOS'!$A$4:$A$201,Config!$B$4,'DATA RECOJOS'!$C$4:$C$201,"1 pedido (cobra S/8)"))</f>
        <v>0</v>
      </c>
    </row>
    <row r="16" ht="30.0" customHeight="1">
      <c r="A16" s="3"/>
      <c r="B16" s="3"/>
      <c r="C16" s="3"/>
      <c r="D16" s="5" t="s">
        <v>178</v>
      </c>
      <c r="E16" s="54">
        <f>IF($B$3="","",COUNTIFS('DATA ENVIOS'!$B$4:$B$2000,$B$3,'DATA ENVIOS'!$D$4:$D$2000,"Rechazado",'DATA ENVIOS'!$A$4:$A$2000,Config!$B$4))</f>
        <v>1</v>
      </c>
      <c r="F16" s="3"/>
      <c r="G16" s="5" t="s">
        <v>43</v>
      </c>
      <c r="H16" s="54">
        <f>IF($B$3="","",SUMIFS('DATA RECOJOS'!$D$4:$D$201,'DATA RECOJOS'!$B$4:$B$201,$B$3,'DATA RECOJOS'!$A$4:$A$201,Config!$B$4,'DATA RECOJOS'!$C$4:$C$201,"2+ entregados (gratis)"))</f>
        <v>0</v>
      </c>
    </row>
    <row r="17" ht="30.0" customHeight="1">
      <c r="A17" s="3"/>
      <c r="B17" s="3"/>
      <c r="C17" s="3"/>
      <c r="D17" s="5" t="s">
        <v>179</v>
      </c>
      <c r="E17" s="55">
        <f>IF($B$3="","",SUMIFS('DATA ENVIOS'!$H$4:$H$2000,'DATA ENVIOS'!$B$4:$B$2000,$B$3,'DATA ENVIOS'!$A$4:$A$2000,Config!$B$4))</f>
        <v>2894.915254</v>
      </c>
      <c r="F17" s="3"/>
      <c r="G17" s="5" t="s">
        <v>180</v>
      </c>
      <c r="H17" s="55">
        <f>IF($B$3="","",SUMIFS('DATA RECOJOS'!$G$4:$G$201,'DATA RECOJOS'!$B$4:$B$201,$B$3,'DATA RECOJOS'!$A$4:$A$201,Config!$B$4))</f>
        <v>0</v>
      </c>
    </row>
    <row r="18" ht="30.0" customHeight="1">
      <c r="A18" s="3"/>
      <c r="B18" s="3"/>
      <c r="C18" s="3"/>
      <c r="D18" s="5" t="s">
        <v>181</v>
      </c>
      <c r="E18" s="55">
        <f>IF($B$3="","",SUMIFS('DATA ENVIOS'!$I$4:$I$2000,'DATA ENVIOS'!$B$4:$B$2000,$B$3,'DATA ENVIOS'!$A$4:$A$2000,Config!$B$4))</f>
        <v>1459.5</v>
      </c>
      <c r="F18" s="3"/>
      <c r="G18" s="5" t="s">
        <v>182</v>
      </c>
      <c r="H18" s="55">
        <f>IF($B$3="","",SUMIFS('DATA RECOJOS'!$H$4:$H$201,'DATA RECOJOS'!$B$4:$B$201,$B$3,'DATA RECOJOS'!$A$4:$A$201,Config!$B$4))</f>
        <v>0</v>
      </c>
    </row>
    <row r="19">
      <c r="A19" s="3"/>
      <c r="B19" s="3"/>
      <c r="C19" s="3"/>
      <c r="D19" s="5" t="s">
        <v>183</v>
      </c>
      <c r="E19" s="55">
        <f>IF($B$3="","",E17-E18)</f>
        <v>1435.415254</v>
      </c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30.0" customHeight="1">
      <c r="A21" s="4" t="s">
        <v>184</v>
      </c>
      <c r="B21" s="2"/>
      <c r="C21" s="2"/>
      <c r="D21" s="5" t="s">
        <v>185</v>
      </c>
      <c r="E21" s="55">
        <f>E17+H17</f>
        <v>2894.915254</v>
      </c>
      <c r="F21" s="5" t="s">
        <v>186</v>
      </c>
      <c r="G21" s="55">
        <f>E18+H18</f>
        <v>1459.5</v>
      </c>
      <c r="H21" s="5" t="s">
        <v>187</v>
      </c>
    </row>
    <row r="22" ht="15.75" customHeight="1">
      <c r="A22" s="3"/>
      <c r="B22" s="3"/>
      <c r="C22" s="3"/>
      <c r="D22" s="3"/>
      <c r="E22" s="3"/>
      <c r="F22" s="3"/>
      <c r="G22" s="3"/>
      <c r="H22" s="55">
        <f>E21-G21</f>
        <v>1435.415254</v>
      </c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5">
    <mergeCell ref="A1:H1"/>
    <mergeCell ref="A13:H13"/>
    <mergeCell ref="D14:F14"/>
    <mergeCell ref="G14:H14"/>
    <mergeCell ref="A21:C2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17.43"/>
    <col customWidth="1" min="4" max="4" width="17.86"/>
    <col customWidth="1" min="5" max="5" width="18.29"/>
    <col customWidth="1" min="6" max="6" width="18.57"/>
    <col customWidth="1" min="7" max="7" width="22.0"/>
    <col customWidth="1" min="8" max="8" width="20.0"/>
    <col customWidth="1" min="9" max="9" width="12.0"/>
    <col customWidth="1" min="10" max="10" width="23.71"/>
    <col customWidth="1" min="11" max="11" width="30.0"/>
    <col customWidth="1" min="12" max="12" width="25.0"/>
    <col customWidth="1" min="13" max="13" width="16.29"/>
    <col customWidth="1" min="14" max="14" width="21.29"/>
    <col customWidth="1" hidden="1" min="15" max="16" width="13.0"/>
    <col customWidth="1" min="17" max="17" width="17.29"/>
    <col customWidth="1" min="18" max="18" width="13.86"/>
    <col customWidth="1" min="19" max="26" width="8.86"/>
  </cols>
  <sheetData>
    <row r="1" ht="21.75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O1" s="3"/>
      <c r="P1" s="3"/>
      <c r="Q1" s="3"/>
      <c r="R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</row>
    <row r="3">
      <c r="A3" s="41" t="s">
        <v>158</v>
      </c>
      <c r="B3" s="41" t="s">
        <v>146</v>
      </c>
      <c r="C3" s="41" t="s">
        <v>169</v>
      </c>
      <c r="D3" s="41" t="s">
        <v>170</v>
      </c>
      <c r="E3" s="41" t="s">
        <v>171</v>
      </c>
      <c r="F3" s="41" t="s">
        <v>189</v>
      </c>
      <c r="G3" s="41" t="s">
        <v>190</v>
      </c>
      <c r="H3" s="41" t="s">
        <v>172</v>
      </c>
      <c r="I3" s="41" t="s">
        <v>168</v>
      </c>
      <c r="J3" s="41" t="s">
        <v>173</v>
      </c>
      <c r="K3" s="41" t="s">
        <v>149</v>
      </c>
      <c r="L3" s="41" t="s">
        <v>191</v>
      </c>
      <c r="M3" s="41" t="s">
        <v>192</v>
      </c>
      <c r="N3" s="41" t="s">
        <v>193</v>
      </c>
      <c r="O3" s="41" t="s">
        <v>194</v>
      </c>
      <c r="P3" s="41" t="s">
        <v>195</v>
      </c>
      <c r="Q3" s="41" t="s">
        <v>196</v>
      </c>
      <c r="R3" s="41" t="s">
        <v>37</v>
      </c>
    </row>
    <row r="4">
      <c r="A4" s="44" t="s">
        <v>197</v>
      </c>
      <c r="B4" s="45" t="s">
        <v>152</v>
      </c>
      <c r="C4" s="56">
        <v>46045.0</v>
      </c>
      <c r="D4" s="56">
        <v>46045.0</v>
      </c>
      <c r="E4" s="56">
        <v>46046.0</v>
      </c>
      <c r="F4" s="18">
        <f t="shared" ref="F4:G4" si="1">IF(OR(C4="",D4=""),"",D4-C4)</f>
        <v>0</v>
      </c>
      <c r="G4" s="18">
        <f t="shared" si="1"/>
        <v>1</v>
      </c>
      <c r="H4" s="18">
        <f t="shared" ref="H4:H176" si="3">IF(OR(C4="",E4=""),"",E4-C4)</f>
        <v>1</v>
      </c>
      <c r="I4" s="45" t="s">
        <v>198</v>
      </c>
      <c r="J4" s="57" t="str">
        <f>IF(E4="","",IF(AND(E4&gt;=Config!$B$5,E4&lt;=Config!$B$6),"Sí","No"))</f>
        <v>Sí</v>
      </c>
      <c r="K4" s="44"/>
      <c r="L4" s="18">
        <f>IF($A4="","",COUNTIFS('DATA ENVIOS'!$B$4:$B$2000,$A4,'DATA ENVIOS'!$A$4:$A$2000,Config!$B$4))</f>
        <v>13</v>
      </c>
      <c r="M4" s="58" t="s">
        <v>199</v>
      </c>
      <c r="N4" s="44" t="s">
        <v>64</v>
      </c>
      <c r="O4" s="45"/>
      <c r="P4" s="44"/>
      <c r="Q4" s="58"/>
      <c r="R4" s="18">
        <f t="shared" ref="R4:R78" si="4">IF($Q4="",0,$Q4*2)</f>
        <v>0</v>
      </c>
    </row>
    <row r="5">
      <c r="A5" s="58" t="s">
        <v>200</v>
      </c>
      <c r="B5" s="59" t="s">
        <v>152</v>
      </c>
      <c r="C5" s="60">
        <v>46029.0</v>
      </c>
      <c r="D5" s="60">
        <v>46029.0</v>
      </c>
      <c r="E5" s="60">
        <v>46030.0</v>
      </c>
      <c r="F5" s="18">
        <f t="shared" ref="F5:G5" si="2">IF(OR(C5="",D5=""),"",D5-C5)</f>
        <v>0</v>
      </c>
      <c r="G5" s="18">
        <f t="shared" si="2"/>
        <v>1</v>
      </c>
      <c r="H5" s="18">
        <f t="shared" si="3"/>
        <v>1</v>
      </c>
      <c r="I5" s="45" t="s">
        <v>198</v>
      </c>
      <c r="J5" s="57" t="str">
        <f>IF(E5="","",IF(AND(E5&gt;=Config!$B$5,E5&lt;=Config!$B$6),"Sí","No"))</f>
        <v>Sí</v>
      </c>
      <c r="K5" s="44"/>
      <c r="L5" s="18">
        <f>IF($A5="","",COUNTIFS('DATA ENVIOS'!$B$4:$B$2000,$A5,'DATA ENVIOS'!$A$4:$A$2000,Config!$B$4))</f>
        <v>66</v>
      </c>
      <c r="M5" s="58" t="s">
        <v>199</v>
      </c>
      <c r="N5" s="58" t="s">
        <v>21</v>
      </c>
      <c r="O5" s="61"/>
      <c r="P5" s="62"/>
      <c r="Q5" s="58"/>
      <c r="R5" s="18">
        <f t="shared" si="4"/>
        <v>0</v>
      </c>
    </row>
    <row r="6">
      <c r="A6" s="44" t="s">
        <v>201</v>
      </c>
      <c r="B6" s="45" t="s">
        <v>155</v>
      </c>
      <c r="C6" s="63">
        <v>46038.0</v>
      </c>
      <c r="D6" s="63">
        <v>46038.0</v>
      </c>
      <c r="E6" s="63">
        <v>46039.0</v>
      </c>
      <c r="F6" s="18">
        <f t="shared" ref="F6:G6" si="5">IF(OR(C6="",D6=""),"",D6-C6)</f>
        <v>0</v>
      </c>
      <c r="G6" s="18">
        <f t="shared" si="5"/>
        <v>1</v>
      </c>
      <c r="H6" s="18">
        <f t="shared" si="3"/>
        <v>1</v>
      </c>
      <c r="I6" s="45" t="s">
        <v>198</v>
      </c>
      <c r="J6" s="57" t="str">
        <f>IF(E6="","",IF(AND(E6&gt;=Config!$B$5,E6&lt;=Config!$B$6),"Sí","No"))</f>
        <v>Sí</v>
      </c>
      <c r="K6" s="44"/>
      <c r="L6" s="18">
        <f>IF($A6="","",COUNTIFS('DATA ENVIOS'!$B$4:$B$2000,$A6,'DATA ENVIOS'!$A$4:$A$2000,Config!$B$4))</f>
        <v>1</v>
      </c>
      <c r="M6" s="44" t="s">
        <v>199</v>
      </c>
      <c r="N6" s="44" t="s">
        <v>51</v>
      </c>
      <c r="O6" s="45"/>
      <c r="P6" s="44"/>
      <c r="Q6" s="58"/>
      <c r="R6" s="18">
        <f t="shared" si="4"/>
        <v>0</v>
      </c>
    </row>
    <row r="7">
      <c r="A7" s="44" t="s">
        <v>202</v>
      </c>
      <c r="B7" s="45" t="s">
        <v>155</v>
      </c>
      <c r="C7" s="63">
        <v>46046.0</v>
      </c>
      <c r="D7" s="63">
        <v>46046.0</v>
      </c>
      <c r="E7" s="63">
        <v>46047.0</v>
      </c>
      <c r="F7" s="18">
        <f t="shared" ref="F7:G7" si="6">IF(OR(C7="",D7=""),"",D7-C7)</f>
        <v>0</v>
      </c>
      <c r="G7" s="18">
        <f t="shared" si="6"/>
        <v>1</v>
      </c>
      <c r="H7" s="18">
        <f t="shared" si="3"/>
        <v>1</v>
      </c>
      <c r="I7" s="45" t="s">
        <v>198</v>
      </c>
      <c r="J7" s="57" t="str">
        <f>IF(E7="","",IF(AND(E7&gt;=Config!$B$5,E7&lt;=Config!$B$6),"Sí","No"))</f>
        <v>Sí</v>
      </c>
      <c r="K7" s="44"/>
      <c r="L7" s="18">
        <f>IF($A7="","",COUNTIFS('DATA ENVIOS'!$B$4:$B$2000,$A7,'DATA ENVIOS'!$A$4:$A$2000,Config!$B$4))</f>
        <v>1</v>
      </c>
      <c r="M7" s="44" t="s">
        <v>199</v>
      </c>
      <c r="N7" s="44" t="s">
        <v>58</v>
      </c>
      <c r="O7" s="45"/>
      <c r="P7" s="44"/>
      <c r="Q7" s="58"/>
      <c r="R7" s="18">
        <f t="shared" si="4"/>
        <v>0</v>
      </c>
    </row>
    <row r="8">
      <c r="A8" s="44" t="s">
        <v>203</v>
      </c>
      <c r="B8" s="45" t="s">
        <v>155</v>
      </c>
      <c r="C8" s="63">
        <v>46051.0</v>
      </c>
      <c r="D8" s="63">
        <v>46051.0</v>
      </c>
      <c r="E8" s="63">
        <v>46052.0</v>
      </c>
      <c r="F8" s="18">
        <f t="shared" ref="F8:G8" si="7">IF(OR(C8="",D8=""),"",D8-C8)</f>
        <v>0</v>
      </c>
      <c r="G8" s="18">
        <f t="shared" si="7"/>
        <v>1</v>
      </c>
      <c r="H8" s="18">
        <f t="shared" si="3"/>
        <v>1</v>
      </c>
      <c r="I8" s="45" t="s">
        <v>198</v>
      </c>
      <c r="J8" s="57" t="str">
        <f>IF(E8="","",IF(AND(E8&gt;=Config!$B$5,E8&lt;=Config!$B$6),"Sí","No"))</f>
        <v>Sí</v>
      </c>
      <c r="K8" s="44"/>
      <c r="L8" s="18">
        <f>IF($A8="","",COUNTIFS('DATA ENVIOS'!$B$4:$B$2000,$A8,'DATA ENVIOS'!$A$4:$A$2000,Config!$B$4))</f>
        <v>1</v>
      </c>
      <c r="M8" s="44" t="s">
        <v>199</v>
      </c>
      <c r="N8" s="44" t="s">
        <v>21</v>
      </c>
      <c r="O8" s="45"/>
      <c r="P8" s="44"/>
      <c r="Q8" s="58"/>
      <c r="R8" s="18">
        <f t="shared" si="4"/>
        <v>0</v>
      </c>
    </row>
    <row r="9">
      <c r="A9" s="44" t="s">
        <v>204</v>
      </c>
      <c r="B9" s="45" t="s">
        <v>155</v>
      </c>
      <c r="C9" s="63">
        <v>46051.0</v>
      </c>
      <c r="D9" s="63">
        <v>46051.0</v>
      </c>
      <c r="E9" s="63">
        <v>46052.0</v>
      </c>
      <c r="F9" s="18">
        <f t="shared" ref="F9:G9" si="8">IF(OR(C9="",D9=""),"",D9-C9)</f>
        <v>0</v>
      </c>
      <c r="G9" s="18">
        <f t="shared" si="8"/>
        <v>1</v>
      </c>
      <c r="H9" s="18">
        <f t="shared" si="3"/>
        <v>1</v>
      </c>
      <c r="I9" s="45" t="s">
        <v>198</v>
      </c>
      <c r="J9" s="57" t="str">
        <f>IF(E9="","",IF(AND(E9&gt;=Config!$B$5,E9&lt;=Config!$B$6),"Sí","No"))</f>
        <v>Sí</v>
      </c>
      <c r="K9" s="44"/>
      <c r="L9" s="18">
        <f>IF($A9="","",COUNTIFS('DATA ENVIOS'!$B$4:$B$2000,$A9,'DATA ENVIOS'!$A$4:$A$2000,Config!$B$4))</f>
        <v>2</v>
      </c>
      <c r="M9" s="44" t="s">
        <v>199</v>
      </c>
      <c r="N9" s="44" t="s">
        <v>23</v>
      </c>
      <c r="O9" s="45"/>
      <c r="P9" s="44"/>
      <c r="Q9" s="58"/>
      <c r="R9" s="18">
        <f t="shared" si="4"/>
        <v>0</v>
      </c>
    </row>
    <row r="10">
      <c r="A10" s="44" t="s">
        <v>205</v>
      </c>
      <c r="B10" s="45" t="s">
        <v>155</v>
      </c>
      <c r="C10" s="63">
        <v>46031.0</v>
      </c>
      <c r="D10" s="63">
        <v>46031.0</v>
      </c>
      <c r="E10" s="63">
        <v>46032.0</v>
      </c>
      <c r="F10" s="18">
        <f t="shared" ref="F10:G10" si="9">IF(OR(C10="",D10=""),"",D10-C10)</f>
        <v>0</v>
      </c>
      <c r="G10" s="18">
        <f t="shared" si="9"/>
        <v>1</v>
      </c>
      <c r="H10" s="18">
        <f t="shared" si="3"/>
        <v>1</v>
      </c>
      <c r="I10" s="45" t="s">
        <v>198</v>
      </c>
      <c r="J10" s="57" t="str">
        <f>IF(E10="","",IF(AND(E10&gt;=Config!$B$5,E10&lt;=Config!$B$6),"Sí","No"))</f>
        <v>Sí</v>
      </c>
      <c r="K10" s="44"/>
      <c r="L10" s="18">
        <f>IF($A10="","",COUNTIFS('DATA ENVIOS'!$B$4:$B$2000,$A10,'DATA ENVIOS'!$A$4:$A$2000,Config!$B$4))</f>
        <v>9</v>
      </c>
      <c r="M10" s="44" t="s">
        <v>199</v>
      </c>
      <c r="N10" s="44" t="s">
        <v>38</v>
      </c>
      <c r="O10" s="45"/>
      <c r="P10" s="44"/>
      <c r="Q10" s="58"/>
      <c r="R10" s="18">
        <f t="shared" si="4"/>
        <v>0</v>
      </c>
    </row>
    <row r="11">
      <c r="A11" s="44" t="s">
        <v>206</v>
      </c>
      <c r="B11" s="45" t="s">
        <v>155</v>
      </c>
      <c r="C11" s="63">
        <v>46044.0</v>
      </c>
      <c r="D11" s="63">
        <v>46044.0</v>
      </c>
      <c r="E11" s="63">
        <v>46045.0</v>
      </c>
      <c r="F11" s="18">
        <f t="shared" ref="F11:G11" si="10">IF(OR(C11="",D11=""),"",D11-C11)</f>
        <v>0</v>
      </c>
      <c r="G11" s="18">
        <f t="shared" si="10"/>
        <v>1</v>
      </c>
      <c r="H11" s="18">
        <f t="shared" si="3"/>
        <v>1</v>
      </c>
      <c r="I11" s="45" t="s">
        <v>198</v>
      </c>
      <c r="J11" s="57" t="str">
        <f>IF(E11="","",IF(AND(E11&gt;=Config!$B$5,E11&lt;=Config!$B$6),"Sí","No"))</f>
        <v>Sí</v>
      </c>
      <c r="K11" s="44"/>
      <c r="L11" s="18">
        <f>IF($A11="","",COUNTIFS('DATA ENVIOS'!$B$4:$B$2000,$A11,'DATA ENVIOS'!$A$4:$A$2000,Config!$B$4))</f>
        <v>21</v>
      </c>
      <c r="M11" s="44" t="s">
        <v>199</v>
      </c>
      <c r="N11" s="44" t="s">
        <v>36</v>
      </c>
      <c r="O11" s="45"/>
      <c r="P11" s="44"/>
      <c r="Q11" s="58"/>
      <c r="R11" s="18">
        <f t="shared" si="4"/>
        <v>0</v>
      </c>
    </row>
    <row r="12">
      <c r="A12" s="44" t="s">
        <v>207</v>
      </c>
      <c r="B12" s="45" t="s">
        <v>154</v>
      </c>
      <c r="C12" s="63">
        <v>46036.0</v>
      </c>
      <c r="D12" s="63">
        <v>46036.0</v>
      </c>
      <c r="E12" s="56">
        <v>46037.0</v>
      </c>
      <c r="F12" s="18">
        <f t="shared" ref="F12:G12" si="11">IF(OR(C12="",D12=""),"",D12-C12)</f>
        <v>0</v>
      </c>
      <c r="G12" s="18">
        <f t="shared" si="11"/>
        <v>1</v>
      </c>
      <c r="H12" s="18">
        <f t="shared" si="3"/>
        <v>1</v>
      </c>
      <c r="I12" s="45" t="s">
        <v>198</v>
      </c>
      <c r="J12" s="57" t="str">
        <f>IF(E12="","",IF(AND(E12&gt;=Config!$B$5,E12&lt;=Config!$B$6),"Sí","No"))</f>
        <v>Sí</v>
      </c>
      <c r="K12" s="44"/>
      <c r="L12" s="18">
        <f>IF($A12="","",COUNTIFS('DATA ENVIOS'!$B$4:$B$2000,$A12,'DATA ENVIOS'!$A$4:$A$2000,Config!$B$4))</f>
        <v>1</v>
      </c>
      <c r="M12" s="44" t="s">
        <v>199</v>
      </c>
      <c r="N12" s="44" t="s">
        <v>30</v>
      </c>
      <c r="O12" s="45"/>
      <c r="P12" s="44"/>
      <c r="Q12" s="58"/>
      <c r="R12" s="18">
        <f t="shared" si="4"/>
        <v>0</v>
      </c>
    </row>
    <row r="13">
      <c r="A13" s="44" t="s">
        <v>208</v>
      </c>
      <c r="B13" s="45" t="s">
        <v>154</v>
      </c>
      <c r="C13" s="56">
        <v>46044.0</v>
      </c>
      <c r="D13" s="56">
        <v>46044.0</v>
      </c>
      <c r="E13" s="56">
        <v>46045.0</v>
      </c>
      <c r="F13" s="18">
        <f t="shared" ref="F13:G13" si="12">IF(OR(C13="",D13=""),"",D13-C13)</f>
        <v>0</v>
      </c>
      <c r="G13" s="18">
        <f t="shared" si="12"/>
        <v>1</v>
      </c>
      <c r="H13" s="18">
        <f t="shared" si="3"/>
        <v>1</v>
      </c>
      <c r="I13" s="45" t="s">
        <v>198</v>
      </c>
      <c r="J13" s="57" t="str">
        <f>IF(E13="","",IF(AND(E13&gt;=Config!$B$5,E13&lt;=Config!$B$6),"Sí","No"))</f>
        <v>Sí</v>
      </c>
      <c r="K13" s="44"/>
      <c r="L13" s="18">
        <f>IF($A13="","",COUNTIFS('DATA ENVIOS'!$B$4:$B$2000,$A13,'DATA ENVIOS'!$A$4:$A$2000,Config!$B$4))</f>
        <v>1</v>
      </c>
      <c r="M13" s="44" t="s">
        <v>199</v>
      </c>
      <c r="N13" s="44" t="s">
        <v>44</v>
      </c>
      <c r="O13" s="45"/>
      <c r="P13" s="44"/>
      <c r="Q13" s="58"/>
      <c r="R13" s="18">
        <f t="shared" si="4"/>
        <v>0</v>
      </c>
    </row>
    <row r="14">
      <c r="A14" s="44" t="s">
        <v>209</v>
      </c>
      <c r="B14" s="45" t="s">
        <v>154</v>
      </c>
      <c r="C14" s="63">
        <v>46043.0</v>
      </c>
      <c r="D14" s="63">
        <v>46043.0</v>
      </c>
      <c r="E14" s="63">
        <v>46044.0</v>
      </c>
      <c r="F14" s="18">
        <f t="shared" ref="F14:G14" si="13">IF(OR(C14="",D14=""),"",D14-C14)</f>
        <v>0</v>
      </c>
      <c r="G14" s="18">
        <f t="shared" si="13"/>
        <v>1</v>
      </c>
      <c r="H14" s="18">
        <f t="shared" si="3"/>
        <v>1</v>
      </c>
      <c r="I14" s="45" t="s">
        <v>198</v>
      </c>
      <c r="J14" s="57" t="str">
        <f>IF(E14="","",IF(AND(E14&gt;=Config!$B$5,E14&lt;=Config!$B$6),"Sí","No"))</f>
        <v>Sí</v>
      </c>
      <c r="K14" s="44"/>
      <c r="L14" s="18">
        <f>IF($A14="","",COUNTIFS('DATA ENVIOS'!$B$4:$B$2000,$A14,'DATA ENVIOS'!$A$4:$A$2000,Config!$B$4))</f>
        <v>4</v>
      </c>
      <c r="M14" s="44" t="s">
        <v>199</v>
      </c>
      <c r="N14" s="44" t="s">
        <v>21</v>
      </c>
      <c r="O14" s="45"/>
      <c r="P14" s="44"/>
      <c r="Q14" s="58"/>
      <c r="R14" s="18">
        <f t="shared" si="4"/>
        <v>0</v>
      </c>
    </row>
    <row r="15">
      <c r="A15" s="58" t="s">
        <v>210</v>
      </c>
      <c r="B15" s="45" t="s">
        <v>153</v>
      </c>
      <c r="C15" s="60">
        <v>46034.0</v>
      </c>
      <c r="D15" s="60">
        <v>46034.0</v>
      </c>
      <c r="E15" s="60">
        <v>46035.0</v>
      </c>
      <c r="F15" s="18">
        <f t="shared" ref="F15:G15" si="14">IF(OR(C15="",D15=""),"",D15-C15)</f>
        <v>0</v>
      </c>
      <c r="G15" s="18">
        <f t="shared" si="14"/>
        <v>1</v>
      </c>
      <c r="H15" s="18">
        <f t="shared" si="3"/>
        <v>1</v>
      </c>
      <c r="I15" s="45" t="s">
        <v>198</v>
      </c>
      <c r="J15" s="57" t="str">
        <f>IF(E15="","",IF(AND(E15&gt;=Config!$B$5,E15&lt;=Config!$B$6),"Sí","No"))</f>
        <v>Sí</v>
      </c>
      <c r="K15" s="44"/>
      <c r="L15" s="18">
        <f>IF($A15="","",COUNTIFS('DATA ENVIOS'!$B$4:$B$2000,$A15,'DATA ENVIOS'!$A$4:$A$2000,Config!$B$4))</f>
        <v>2</v>
      </c>
      <c r="M15" s="58" t="s">
        <v>199</v>
      </c>
      <c r="N15" s="58" t="s">
        <v>211</v>
      </c>
      <c r="O15" s="61"/>
      <c r="P15" s="62"/>
      <c r="Q15" s="58"/>
      <c r="R15" s="18">
        <f t="shared" si="4"/>
        <v>0</v>
      </c>
    </row>
    <row r="16">
      <c r="A16" s="44" t="s">
        <v>212</v>
      </c>
      <c r="B16" s="45" t="s">
        <v>153</v>
      </c>
      <c r="C16" s="56">
        <v>46045.0</v>
      </c>
      <c r="D16" s="56">
        <v>46045.0</v>
      </c>
      <c r="E16" s="56">
        <v>46046.0</v>
      </c>
      <c r="F16" s="18">
        <f t="shared" ref="F16:G16" si="15">IF(OR(C16="",D16=""),"",D16-C16)</f>
        <v>0</v>
      </c>
      <c r="G16" s="18">
        <f t="shared" si="15"/>
        <v>1</v>
      </c>
      <c r="H16" s="18">
        <f t="shared" si="3"/>
        <v>1</v>
      </c>
      <c r="I16" s="45" t="s">
        <v>198</v>
      </c>
      <c r="J16" s="57" t="str">
        <f>IF(E16="","",IF(AND(E16&gt;=Config!$B$5,E16&lt;=Config!$B$6),"Sí","No"))</f>
        <v>Sí</v>
      </c>
      <c r="K16" s="44"/>
      <c r="L16" s="18">
        <f>IF($A16="","",COUNTIFS('DATA ENVIOS'!$B$4:$B$2000,$A16,'DATA ENVIOS'!$A$4:$A$2000,Config!$B$4))</f>
        <v>2</v>
      </c>
      <c r="M16" s="58" t="s">
        <v>199</v>
      </c>
      <c r="N16" s="44" t="s">
        <v>15</v>
      </c>
      <c r="O16" s="45"/>
      <c r="P16" s="44"/>
      <c r="Q16" s="58"/>
      <c r="R16" s="18">
        <f t="shared" si="4"/>
        <v>0</v>
      </c>
    </row>
    <row r="17">
      <c r="A17" s="44" t="s">
        <v>213</v>
      </c>
      <c r="B17" s="45" t="s">
        <v>153</v>
      </c>
      <c r="C17" s="56">
        <v>46044.0</v>
      </c>
      <c r="D17" s="56">
        <v>46044.0</v>
      </c>
      <c r="E17" s="56">
        <v>46045.0</v>
      </c>
      <c r="F17" s="18">
        <f t="shared" ref="F17:G17" si="16">IF(OR(C17="",D17=""),"",D17-C17)</f>
        <v>0</v>
      </c>
      <c r="G17" s="18">
        <f t="shared" si="16"/>
        <v>1</v>
      </c>
      <c r="H17" s="18">
        <f t="shared" si="3"/>
        <v>1</v>
      </c>
      <c r="I17" s="45" t="s">
        <v>198</v>
      </c>
      <c r="J17" s="57" t="str">
        <f>IF(E17="","",IF(AND(E17&gt;=Config!$B$5,E17&lt;=Config!$B$6),"Sí","No"))</f>
        <v>Sí</v>
      </c>
      <c r="K17" s="44"/>
      <c r="L17" s="18">
        <f>IF($A17="","",COUNTIFS('DATA ENVIOS'!$B$4:$B$2000,$A17,'DATA ENVIOS'!$A$4:$A$2000,Config!$B$4))</f>
        <v>10</v>
      </c>
      <c r="M17" s="58" t="s">
        <v>199</v>
      </c>
      <c r="N17" s="44" t="s">
        <v>21</v>
      </c>
      <c r="O17" s="45"/>
      <c r="P17" s="44"/>
      <c r="Q17" s="58"/>
      <c r="R17" s="18">
        <f t="shared" si="4"/>
        <v>0</v>
      </c>
    </row>
    <row r="18" ht="15.75" customHeight="1">
      <c r="A18" s="44" t="s">
        <v>214</v>
      </c>
      <c r="B18" s="45" t="s">
        <v>156</v>
      </c>
      <c r="C18" s="56">
        <v>46050.0</v>
      </c>
      <c r="D18" s="56">
        <v>46050.0</v>
      </c>
      <c r="E18" s="56">
        <v>46051.0</v>
      </c>
      <c r="F18" s="18">
        <f t="shared" ref="F18:G18" si="17">IF(OR(C18="",D18=""),"",D18-C18)</f>
        <v>0</v>
      </c>
      <c r="G18" s="18">
        <f t="shared" si="17"/>
        <v>1</v>
      </c>
      <c r="H18" s="18">
        <f t="shared" si="3"/>
        <v>1</v>
      </c>
      <c r="I18" s="45" t="s">
        <v>198</v>
      </c>
      <c r="J18" s="57" t="str">
        <f>IF(E18="","",IF(AND(E18&gt;=Config!$B$5,E18&lt;=Config!$B$6),"Sí","No"))</f>
        <v>Sí</v>
      </c>
      <c r="K18" s="44"/>
      <c r="L18" s="18">
        <f>IF($A18="","",COUNTIFS('DATA ENVIOS'!$B$4:$B$2000,$A18,'DATA ENVIOS'!$A$4:$A$2000,Config!$B$4))</f>
        <v>1</v>
      </c>
      <c r="M18" s="44" t="s">
        <v>199</v>
      </c>
      <c r="N18" s="44" t="s">
        <v>46</v>
      </c>
      <c r="O18" s="45"/>
      <c r="P18" s="44"/>
      <c r="Q18" s="58"/>
      <c r="R18" s="18">
        <f t="shared" si="4"/>
        <v>0</v>
      </c>
    </row>
    <row r="19" ht="15.75" customHeight="1">
      <c r="A19" s="44" t="s">
        <v>215</v>
      </c>
      <c r="B19" s="45" t="s">
        <v>156</v>
      </c>
      <c r="C19" s="56">
        <v>46025.0</v>
      </c>
      <c r="D19" s="56">
        <v>46025.0</v>
      </c>
      <c r="E19" s="56">
        <v>46026.0</v>
      </c>
      <c r="F19" s="18">
        <f t="shared" ref="F19:G19" si="18">IF(OR(C19="",D19=""),"",D19-C19)</f>
        <v>0</v>
      </c>
      <c r="G19" s="18">
        <f t="shared" si="18"/>
        <v>1</v>
      </c>
      <c r="H19" s="18">
        <f t="shared" si="3"/>
        <v>1</v>
      </c>
      <c r="I19" s="45" t="s">
        <v>198</v>
      </c>
      <c r="J19" s="57" t="str">
        <f>IF(E19="","",IF(AND(E19&gt;=Config!$B$5,E19&lt;=Config!$B$6),"Sí","No"))</f>
        <v>Sí</v>
      </c>
      <c r="K19" s="44"/>
      <c r="L19" s="18">
        <f>IF($A19="","",COUNTIFS('DATA ENVIOS'!$B$4:$B$2000,$A19,'DATA ENVIOS'!$A$4:$A$2000,Config!$B$4))</f>
        <v>3</v>
      </c>
      <c r="M19" s="44" t="s">
        <v>199</v>
      </c>
      <c r="N19" s="44" t="s">
        <v>216</v>
      </c>
      <c r="O19" s="45"/>
      <c r="P19" s="44"/>
      <c r="Q19" s="58"/>
      <c r="R19" s="18">
        <f t="shared" si="4"/>
        <v>0</v>
      </c>
    </row>
    <row r="20" ht="15.75" customHeight="1">
      <c r="A20" s="58" t="s">
        <v>217</v>
      </c>
      <c r="B20" s="59" t="s">
        <v>156</v>
      </c>
      <c r="C20" s="60">
        <v>46049.0</v>
      </c>
      <c r="D20" s="60">
        <v>46049.0</v>
      </c>
      <c r="E20" s="60">
        <v>46050.0</v>
      </c>
      <c r="F20" s="18">
        <f t="shared" ref="F20:G20" si="19">IF(OR(C20="",D20=""),"",D20-C20)</f>
        <v>0</v>
      </c>
      <c r="G20" s="18">
        <f t="shared" si="19"/>
        <v>1</v>
      </c>
      <c r="H20" s="18">
        <f t="shared" si="3"/>
        <v>1</v>
      </c>
      <c r="I20" s="45" t="s">
        <v>198</v>
      </c>
      <c r="J20" s="57" t="str">
        <f>IF(E20="","",IF(AND(E20&gt;=Config!$B$5,E20&lt;=Config!$B$6),"Sí","No"))</f>
        <v>Sí</v>
      </c>
      <c r="K20" s="44"/>
      <c r="L20" s="18">
        <f>IF($A20="","",COUNTIFS('DATA ENVIOS'!$B$4:$B$2000,$A20,'DATA ENVIOS'!$A$4:$A$2000,Config!$B$4))</f>
        <v>6</v>
      </c>
      <c r="M20" s="44" t="s">
        <v>199</v>
      </c>
      <c r="N20" s="58" t="s">
        <v>51</v>
      </c>
      <c r="O20" s="61"/>
      <c r="P20" s="62"/>
      <c r="Q20" s="58"/>
      <c r="R20" s="18">
        <f t="shared" si="4"/>
        <v>0</v>
      </c>
    </row>
    <row r="21" ht="15.75" customHeight="1">
      <c r="A21" s="58" t="s">
        <v>218</v>
      </c>
      <c r="B21" s="59" t="s">
        <v>156</v>
      </c>
      <c r="C21" s="60">
        <v>46049.0</v>
      </c>
      <c r="D21" s="60">
        <v>46049.0</v>
      </c>
      <c r="E21" s="60">
        <v>46050.0</v>
      </c>
      <c r="F21" s="18">
        <f t="shared" ref="F21:G21" si="20">IF(OR(C21="",D21=""),"",D21-C21)</f>
        <v>0</v>
      </c>
      <c r="G21" s="18">
        <f t="shared" si="20"/>
        <v>1</v>
      </c>
      <c r="H21" s="18">
        <f t="shared" si="3"/>
        <v>1</v>
      </c>
      <c r="I21" s="45" t="s">
        <v>198</v>
      </c>
      <c r="J21" s="57" t="str">
        <f>IF(E21="","",IF(AND(E21&gt;=Config!$B$5,E21&lt;=Config!$B$6),"Sí","No"))</f>
        <v>Sí</v>
      </c>
      <c r="K21" s="44"/>
      <c r="L21" s="18">
        <f>IF($A21="","",COUNTIFS('DATA ENVIOS'!$B$4:$B$2000,$A21,'DATA ENVIOS'!$A$4:$A$2000,Config!$B$4))</f>
        <v>12</v>
      </c>
      <c r="M21" s="44" t="s">
        <v>199</v>
      </c>
      <c r="N21" s="58" t="s">
        <v>42</v>
      </c>
      <c r="O21" s="61"/>
      <c r="P21" s="62"/>
      <c r="Q21" s="58"/>
      <c r="R21" s="18">
        <f t="shared" si="4"/>
        <v>0</v>
      </c>
    </row>
    <row r="22" ht="15.75" customHeight="1">
      <c r="A22" s="58" t="s">
        <v>219</v>
      </c>
      <c r="B22" s="59" t="s">
        <v>156</v>
      </c>
      <c r="C22" s="60">
        <v>46037.0</v>
      </c>
      <c r="D22" s="60">
        <v>46037.0</v>
      </c>
      <c r="E22" s="60">
        <v>46038.0</v>
      </c>
      <c r="F22" s="18">
        <f t="shared" ref="F22:G22" si="21">IF(OR(C22="",D22=""),"",D22-C22)</f>
        <v>0</v>
      </c>
      <c r="G22" s="18">
        <f t="shared" si="21"/>
        <v>1</v>
      </c>
      <c r="H22" s="18">
        <f t="shared" si="3"/>
        <v>1</v>
      </c>
      <c r="I22" s="45" t="s">
        <v>198</v>
      </c>
      <c r="J22" s="57" t="str">
        <f>IF(E22="","",IF(AND(E22&gt;=Config!$B$5,E22&lt;=Config!$B$6),"Sí","No"))</f>
        <v>Sí</v>
      </c>
      <c r="K22" s="44"/>
      <c r="L22" s="18">
        <f>IF($A22="","",COUNTIFS('DATA ENVIOS'!$B$4:$B$2000,$A22,'DATA ENVIOS'!$A$4:$A$2000,Config!$B$4))</f>
        <v>23</v>
      </c>
      <c r="M22" s="44" t="s">
        <v>199</v>
      </c>
      <c r="N22" s="58" t="s">
        <v>38</v>
      </c>
      <c r="O22" s="61"/>
      <c r="P22" s="62"/>
      <c r="Q22" s="58"/>
      <c r="R22" s="18">
        <f t="shared" si="4"/>
        <v>0</v>
      </c>
    </row>
    <row r="23" ht="15.75" customHeight="1">
      <c r="A23" s="44" t="s">
        <v>220</v>
      </c>
      <c r="B23" s="45" t="s">
        <v>152</v>
      </c>
      <c r="C23" s="56">
        <v>46028.0</v>
      </c>
      <c r="D23" s="56">
        <v>46029.0</v>
      </c>
      <c r="E23" s="56">
        <v>46030.0</v>
      </c>
      <c r="F23" s="18">
        <f t="shared" ref="F23:G23" si="22">IF(OR(C23="",D23=""),"",D23-C23)</f>
        <v>1</v>
      </c>
      <c r="G23" s="18">
        <f t="shared" si="22"/>
        <v>1</v>
      </c>
      <c r="H23" s="18">
        <f t="shared" si="3"/>
        <v>2</v>
      </c>
      <c r="I23" s="45" t="s">
        <v>198</v>
      </c>
      <c r="J23" s="57" t="str">
        <f>IF(E23="","",IF(AND(E23&gt;=Config!$B$5,E23&lt;=Config!$B$6),"Sí","No"))</f>
        <v>Sí</v>
      </c>
      <c r="K23" s="44"/>
      <c r="L23" s="18">
        <f>IF($A23="","",COUNTIFS('DATA ENVIOS'!$B$4:$B$2000,$A23,'DATA ENVIOS'!$A$4:$A$2000,Config!$B$4))</f>
        <v>1</v>
      </c>
      <c r="M23" s="58" t="s">
        <v>199</v>
      </c>
      <c r="N23" s="44" t="s">
        <v>211</v>
      </c>
      <c r="O23" s="45"/>
      <c r="P23" s="44"/>
      <c r="Q23" s="58"/>
      <c r="R23" s="18">
        <f t="shared" si="4"/>
        <v>0</v>
      </c>
    </row>
    <row r="24" ht="15.75" customHeight="1">
      <c r="A24" s="44" t="s">
        <v>221</v>
      </c>
      <c r="B24" s="45" t="s">
        <v>152</v>
      </c>
      <c r="C24" s="56">
        <v>46036.0</v>
      </c>
      <c r="D24" s="56">
        <v>46037.0</v>
      </c>
      <c r="E24" s="56">
        <v>46038.0</v>
      </c>
      <c r="F24" s="18">
        <f t="shared" ref="F24:G24" si="23">IF(OR(C24="",D24=""),"",D24-C24)</f>
        <v>1</v>
      </c>
      <c r="G24" s="18">
        <f t="shared" si="23"/>
        <v>1</v>
      </c>
      <c r="H24" s="18">
        <f t="shared" si="3"/>
        <v>2</v>
      </c>
      <c r="I24" s="45" t="s">
        <v>198</v>
      </c>
      <c r="J24" s="57" t="str">
        <f>IF(E24="","",IF(AND(E24&gt;=Config!$B$5,E24&lt;=Config!$B$6),"Sí","No"))</f>
        <v>Sí</v>
      </c>
      <c r="K24" s="44"/>
      <c r="L24" s="18">
        <f>IF($A24="","",COUNTIFS('DATA ENVIOS'!$B$4:$B$2000,$A24,'DATA ENVIOS'!$A$4:$A$2000,Config!$B$4))</f>
        <v>3</v>
      </c>
      <c r="M24" s="58" t="s">
        <v>199</v>
      </c>
      <c r="N24" s="44" t="s">
        <v>34</v>
      </c>
      <c r="O24" s="45"/>
      <c r="P24" s="44"/>
      <c r="Q24" s="58"/>
      <c r="R24" s="18">
        <f t="shared" si="4"/>
        <v>0</v>
      </c>
    </row>
    <row r="25" ht="15.75" customHeight="1">
      <c r="A25" s="44" t="s">
        <v>222</v>
      </c>
      <c r="B25" s="45" t="s">
        <v>152</v>
      </c>
      <c r="C25" s="56">
        <v>46028.0</v>
      </c>
      <c r="D25" s="56">
        <v>46029.0</v>
      </c>
      <c r="E25" s="56">
        <v>46030.0</v>
      </c>
      <c r="F25" s="18">
        <f t="shared" ref="F25:G25" si="24">IF(OR(C25="",D25=""),"",D25-C25)</f>
        <v>1</v>
      </c>
      <c r="G25" s="18">
        <f t="shared" si="24"/>
        <v>1</v>
      </c>
      <c r="H25" s="18">
        <f t="shared" si="3"/>
        <v>2</v>
      </c>
      <c r="I25" s="45" t="s">
        <v>198</v>
      </c>
      <c r="J25" s="57" t="str">
        <f>IF(E25="","",IF(AND(E25&gt;=Config!$B$5,E25&lt;=Config!$B$6),"Sí","No"))</f>
        <v>Sí</v>
      </c>
      <c r="K25" s="44"/>
      <c r="L25" s="18">
        <f>IF($A25="","",COUNTIFS('DATA ENVIOS'!$B$4:$B$2000,$A25,'DATA ENVIOS'!$A$4:$A$2000,Config!$B$4))</f>
        <v>4</v>
      </c>
      <c r="M25" s="58" t="s">
        <v>199</v>
      </c>
      <c r="N25" s="44" t="s">
        <v>67</v>
      </c>
      <c r="O25" s="45"/>
      <c r="P25" s="44"/>
      <c r="Q25" s="58"/>
      <c r="R25" s="18">
        <f t="shared" si="4"/>
        <v>0</v>
      </c>
    </row>
    <row r="26" ht="15.75" customHeight="1">
      <c r="A26" s="58" t="s">
        <v>223</v>
      </c>
      <c r="B26" s="59" t="s">
        <v>152</v>
      </c>
      <c r="C26" s="60">
        <v>46037.0</v>
      </c>
      <c r="D26" s="60">
        <v>46038.0</v>
      </c>
      <c r="E26" s="60">
        <v>46039.0</v>
      </c>
      <c r="F26" s="18">
        <f t="shared" ref="F26:G26" si="25">IF(OR(C26="",D26=""),"",D26-C26)</f>
        <v>1</v>
      </c>
      <c r="G26" s="18">
        <f t="shared" si="25"/>
        <v>1</v>
      </c>
      <c r="H26" s="18">
        <f t="shared" si="3"/>
        <v>2</v>
      </c>
      <c r="I26" s="45" t="s">
        <v>198</v>
      </c>
      <c r="J26" s="57" t="str">
        <f>IF(E26="","",IF(AND(E26&gt;=Config!$B$5,E26&lt;=Config!$B$6),"Sí","No"))</f>
        <v>Sí</v>
      </c>
      <c r="K26" s="44"/>
      <c r="L26" s="18">
        <f>IF($A26="","",COUNTIFS('DATA ENVIOS'!$B$4:$B$2000,$A26,'DATA ENVIOS'!$A$4:$A$2000,Config!$B$4))</f>
        <v>6</v>
      </c>
      <c r="M26" s="58" t="s">
        <v>199</v>
      </c>
      <c r="N26" s="58" t="s">
        <v>15</v>
      </c>
      <c r="O26" s="61"/>
      <c r="P26" s="62"/>
      <c r="Q26" s="58"/>
      <c r="R26" s="18">
        <f t="shared" si="4"/>
        <v>0</v>
      </c>
    </row>
    <row r="27" ht="15.75" customHeight="1">
      <c r="A27" s="44" t="s">
        <v>224</v>
      </c>
      <c r="B27" s="45" t="s">
        <v>155</v>
      </c>
      <c r="C27" s="63">
        <v>46040.0</v>
      </c>
      <c r="D27" s="63">
        <v>46041.0</v>
      </c>
      <c r="E27" s="63">
        <v>46042.0</v>
      </c>
      <c r="F27" s="18">
        <f t="shared" ref="F27:G27" si="26">IF(OR(C27="",D27=""),"",D27-C27)</f>
        <v>1</v>
      </c>
      <c r="G27" s="18">
        <f t="shared" si="26"/>
        <v>1</v>
      </c>
      <c r="H27" s="18">
        <f t="shared" si="3"/>
        <v>2</v>
      </c>
      <c r="I27" s="45" t="s">
        <v>198</v>
      </c>
      <c r="J27" s="57" t="str">
        <f>IF(E27="","",IF(AND(E27&gt;=Config!$B$5,E27&lt;=Config!$B$6),"Sí","No"))</f>
        <v>Sí</v>
      </c>
      <c r="K27" s="44"/>
      <c r="L27" s="18">
        <f>IF($A27="","",COUNTIFS('DATA ENVIOS'!$B$4:$B$2000,$A27,'DATA ENVIOS'!$A$4:$A$2000,Config!$B$4))</f>
        <v>20</v>
      </c>
      <c r="M27" s="44" t="s">
        <v>199</v>
      </c>
      <c r="N27" s="44" t="s">
        <v>15</v>
      </c>
      <c r="O27" s="45"/>
      <c r="P27" s="44"/>
      <c r="Q27" s="58"/>
      <c r="R27" s="18">
        <f t="shared" si="4"/>
        <v>0</v>
      </c>
    </row>
    <row r="28" ht="15.75" customHeight="1">
      <c r="A28" s="44" t="s">
        <v>225</v>
      </c>
      <c r="B28" s="45" t="s">
        <v>156</v>
      </c>
      <c r="C28" s="56">
        <v>46034.0</v>
      </c>
      <c r="D28" s="56">
        <v>46034.0</v>
      </c>
      <c r="E28" s="56">
        <v>46036.0</v>
      </c>
      <c r="F28" s="18">
        <f t="shared" ref="F28:G28" si="27">IF(OR(C28="",D28=""),"",D28-C28)</f>
        <v>0</v>
      </c>
      <c r="G28" s="18">
        <f t="shared" si="27"/>
        <v>2</v>
      </c>
      <c r="H28" s="18">
        <f t="shared" si="3"/>
        <v>2</v>
      </c>
      <c r="I28" s="45" t="s">
        <v>198</v>
      </c>
      <c r="J28" s="57" t="str">
        <f>IF(E28="","",IF(AND(E28&gt;=Config!$B$5,E28&lt;=Config!$B$6),"Sí","No"))</f>
        <v>Sí</v>
      </c>
      <c r="K28" s="44"/>
      <c r="L28" s="18">
        <f>IF($A28="","",COUNTIFS('DATA ENVIOS'!$B$4:$B$2000,$A28,'DATA ENVIOS'!$A$4:$A$2000,Config!$B$4))</f>
        <v>1</v>
      </c>
      <c r="M28" s="44" t="s">
        <v>199</v>
      </c>
      <c r="N28" s="44" t="s">
        <v>18</v>
      </c>
      <c r="O28" s="45"/>
      <c r="P28" s="44"/>
      <c r="Q28" s="58"/>
      <c r="R28" s="18">
        <f t="shared" si="4"/>
        <v>0</v>
      </c>
    </row>
    <row r="29" ht="15.75" customHeight="1">
      <c r="A29" s="44" t="s">
        <v>226</v>
      </c>
      <c r="B29" s="45" t="s">
        <v>156</v>
      </c>
      <c r="C29" s="56">
        <v>46027.0</v>
      </c>
      <c r="D29" s="56">
        <v>46028.0</v>
      </c>
      <c r="E29" s="56">
        <v>46029.0</v>
      </c>
      <c r="F29" s="18">
        <f t="shared" ref="F29:G29" si="28">IF(OR(C29="",D29=""),"",D29-C29)</f>
        <v>1</v>
      </c>
      <c r="G29" s="18">
        <f t="shared" si="28"/>
        <v>1</v>
      </c>
      <c r="H29" s="18">
        <f t="shared" si="3"/>
        <v>2</v>
      </c>
      <c r="I29" s="45" t="s">
        <v>198</v>
      </c>
      <c r="J29" s="57" t="str">
        <f>IF(E29="","",IF(AND(E29&gt;=Config!$B$5,E29&lt;=Config!$B$6),"Sí","No"))</f>
        <v>Sí</v>
      </c>
      <c r="K29" s="44"/>
      <c r="L29" s="18">
        <f>IF($A29="","",COUNTIFS('DATA ENVIOS'!$B$4:$B$2000,$A29,'DATA ENVIOS'!$A$4:$A$2000,Config!$B$4))</f>
        <v>2</v>
      </c>
      <c r="M29" s="44" t="s">
        <v>199</v>
      </c>
      <c r="N29" s="44" t="s">
        <v>227</v>
      </c>
      <c r="O29" s="45"/>
      <c r="P29" s="44"/>
      <c r="Q29" s="58"/>
      <c r="R29" s="18">
        <f t="shared" si="4"/>
        <v>0</v>
      </c>
    </row>
    <row r="30" ht="15.75" customHeight="1">
      <c r="A30" s="44" t="s">
        <v>228</v>
      </c>
      <c r="B30" s="45" t="s">
        <v>155</v>
      </c>
      <c r="C30" s="63">
        <v>46050.0</v>
      </c>
      <c r="D30" s="63">
        <v>46050.0</v>
      </c>
      <c r="E30" s="63">
        <v>46053.0</v>
      </c>
      <c r="F30" s="18">
        <f t="shared" ref="F30:G30" si="29">IF(OR(C30="",D30=""),"",D30-C30)</f>
        <v>0</v>
      </c>
      <c r="G30" s="18">
        <f t="shared" si="29"/>
        <v>3</v>
      </c>
      <c r="H30" s="18">
        <f t="shared" si="3"/>
        <v>3</v>
      </c>
      <c r="I30" s="45" t="s">
        <v>229</v>
      </c>
      <c r="J30" s="57" t="str">
        <f>IF(E30="","",IF(AND(E30&gt;=Config!$B$5,E30&lt;=Config!$B$6),"Sí","No"))</f>
        <v>Sí</v>
      </c>
      <c r="K30" s="44"/>
      <c r="L30" s="18">
        <f>IF($A30="","",COUNTIFS('DATA ENVIOS'!$B$4:$B$2000,$A30,'DATA ENVIOS'!$A$4:$A$2000,Config!$B$4))</f>
        <v>1</v>
      </c>
      <c r="M30" s="44" t="s">
        <v>199</v>
      </c>
      <c r="N30" s="44" t="s">
        <v>30</v>
      </c>
      <c r="O30" s="45"/>
      <c r="P30" s="44"/>
      <c r="Q30" s="58"/>
      <c r="R30" s="18">
        <f t="shared" si="4"/>
        <v>0</v>
      </c>
    </row>
    <row r="31" ht="15.75" customHeight="1">
      <c r="A31" s="44" t="s">
        <v>230</v>
      </c>
      <c r="B31" s="45" t="s">
        <v>154</v>
      </c>
      <c r="C31" s="63">
        <v>46048.0</v>
      </c>
      <c r="D31" s="63">
        <v>46048.0</v>
      </c>
      <c r="E31" s="63">
        <v>46051.0</v>
      </c>
      <c r="F31" s="18">
        <f t="shared" ref="F31:G31" si="30">IF(OR(C31="",D31=""),"",D31-C31)</f>
        <v>0</v>
      </c>
      <c r="G31" s="18">
        <f t="shared" si="30"/>
        <v>3</v>
      </c>
      <c r="H31" s="18">
        <f t="shared" si="3"/>
        <v>3</v>
      </c>
      <c r="I31" s="45" t="s">
        <v>198</v>
      </c>
      <c r="J31" s="57" t="str">
        <f>IF(E31="","",IF(AND(E31&gt;=Config!$B$5,E31&lt;=Config!$B$6),"Sí","No"))</f>
        <v>Sí</v>
      </c>
      <c r="K31" s="44"/>
      <c r="L31" s="18">
        <f>IF($A31="","",COUNTIFS('DATA ENVIOS'!$B$4:$B$2000,$A31,'DATA ENVIOS'!$A$4:$A$2000,Config!$B$4))</f>
        <v>1</v>
      </c>
      <c r="M31" s="44" t="s">
        <v>199</v>
      </c>
      <c r="N31" s="44" t="s">
        <v>53</v>
      </c>
      <c r="O31" s="45"/>
      <c r="P31" s="44"/>
      <c r="Q31" s="58"/>
      <c r="R31" s="18">
        <f t="shared" si="4"/>
        <v>0</v>
      </c>
    </row>
    <row r="32" ht="15.75" customHeight="1">
      <c r="A32" s="44" t="s">
        <v>231</v>
      </c>
      <c r="B32" s="45" t="s">
        <v>153</v>
      </c>
      <c r="C32" s="56">
        <v>46048.0</v>
      </c>
      <c r="D32" s="56">
        <v>46049.0</v>
      </c>
      <c r="E32" s="56">
        <v>46051.0</v>
      </c>
      <c r="F32" s="18">
        <f t="shared" ref="F32:G32" si="31">IF(OR(C32="",D32=""),"",D32-C32)</f>
        <v>1</v>
      </c>
      <c r="G32" s="18">
        <f t="shared" si="31"/>
        <v>2</v>
      </c>
      <c r="H32" s="18">
        <f t="shared" si="3"/>
        <v>3</v>
      </c>
      <c r="I32" s="45" t="s">
        <v>198</v>
      </c>
      <c r="J32" s="57" t="str">
        <f>IF(E32="","",IF(AND(E32&gt;=Config!$B$5,E32&lt;=Config!$B$6),"Sí","No"))</f>
        <v>Sí</v>
      </c>
      <c r="K32" s="44"/>
      <c r="L32" s="18">
        <f>IF($A32="","",COUNTIFS('DATA ENVIOS'!$B$4:$B$2000,$A32,'DATA ENVIOS'!$A$4:$A$2000,Config!$B$4))</f>
        <v>6</v>
      </c>
      <c r="M32" s="58" t="s">
        <v>199</v>
      </c>
      <c r="N32" s="44" t="s">
        <v>46</v>
      </c>
      <c r="O32" s="45"/>
      <c r="P32" s="44"/>
      <c r="Q32" s="58"/>
      <c r="R32" s="18">
        <f t="shared" si="4"/>
        <v>0</v>
      </c>
    </row>
    <row r="33" ht="15.75" customHeight="1">
      <c r="A33" s="58" t="s">
        <v>232</v>
      </c>
      <c r="B33" s="45" t="s">
        <v>153</v>
      </c>
      <c r="C33" s="60">
        <v>46045.0</v>
      </c>
      <c r="D33" s="60">
        <v>46046.0</v>
      </c>
      <c r="E33" s="60">
        <v>46048.0</v>
      </c>
      <c r="F33" s="18">
        <f t="shared" ref="F33:G33" si="32">IF(OR(C33="",D33=""),"",D33-C33)</f>
        <v>1</v>
      </c>
      <c r="G33" s="18">
        <f t="shared" si="32"/>
        <v>2</v>
      </c>
      <c r="H33" s="18">
        <f t="shared" si="3"/>
        <v>3</v>
      </c>
      <c r="I33" s="45" t="s">
        <v>198</v>
      </c>
      <c r="J33" s="57" t="str">
        <f>IF(E33="","",IF(AND(E33&gt;=Config!$B$5,E33&lt;=Config!$B$6),"Sí","No"))</f>
        <v>Sí</v>
      </c>
      <c r="K33" s="44"/>
      <c r="L33" s="18">
        <f>IF($A33="","",COUNTIFS('DATA ENVIOS'!$B$4:$B$2000,$A33,'DATA ENVIOS'!$A$4:$A$2000,Config!$B$4))</f>
        <v>12</v>
      </c>
      <c r="M33" s="58" t="s">
        <v>199</v>
      </c>
      <c r="N33" s="58" t="s">
        <v>18</v>
      </c>
      <c r="O33" s="61"/>
      <c r="P33" s="62"/>
      <c r="Q33" s="58"/>
      <c r="R33" s="18">
        <f t="shared" si="4"/>
        <v>0</v>
      </c>
    </row>
    <row r="34" ht="15.75" customHeight="1">
      <c r="A34" s="44" t="s">
        <v>233</v>
      </c>
      <c r="B34" s="45" t="s">
        <v>153</v>
      </c>
      <c r="C34" s="56">
        <v>46024.0</v>
      </c>
      <c r="D34" s="56">
        <v>46024.0</v>
      </c>
      <c r="E34" s="56">
        <v>46027.0</v>
      </c>
      <c r="F34" s="18">
        <f t="shared" ref="F34:G34" si="33">IF(OR(C34="",D34=""),"",D34-C34)</f>
        <v>0</v>
      </c>
      <c r="G34" s="18">
        <f t="shared" si="33"/>
        <v>3</v>
      </c>
      <c r="H34" s="18">
        <f t="shared" si="3"/>
        <v>3</v>
      </c>
      <c r="I34" s="45" t="s">
        <v>198</v>
      </c>
      <c r="J34" s="57" t="str">
        <f>IF(E34="","",IF(AND(E34&gt;=Config!$B$5,E34&lt;=Config!$B$6),"Sí","No"))</f>
        <v>Sí</v>
      </c>
      <c r="K34" s="44"/>
      <c r="L34" s="18">
        <f>IF($A34="","",COUNTIFS('DATA ENVIOS'!$B$4:$B$2000,$A34,'DATA ENVIOS'!$A$4:$A$2000,Config!$B$4))</f>
        <v>23</v>
      </c>
      <c r="M34" s="58" t="s">
        <v>199</v>
      </c>
      <c r="N34" s="44" t="s">
        <v>23</v>
      </c>
      <c r="O34" s="45"/>
      <c r="P34" s="44"/>
      <c r="Q34" s="58"/>
      <c r="R34" s="18">
        <f t="shared" si="4"/>
        <v>0</v>
      </c>
    </row>
    <row r="35" ht="15.75" customHeight="1">
      <c r="A35" s="44" t="s">
        <v>234</v>
      </c>
      <c r="B35" s="45" t="s">
        <v>155</v>
      </c>
      <c r="C35" s="56">
        <v>46048.0</v>
      </c>
      <c r="D35" s="56">
        <v>46048.0</v>
      </c>
      <c r="E35" s="56">
        <v>46051.0</v>
      </c>
      <c r="F35" s="18">
        <f t="shared" ref="F35:G35" si="34">IF(OR(C35="",D35=""),"",D35-C35)</f>
        <v>0</v>
      </c>
      <c r="G35" s="18">
        <f t="shared" si="34"/>
        <v>3</v>
      </c>
      <c r="H35" s="18">
        <f t="shared" si="3"/>
        <v>3</v>
      </c>
      <c r="I35" s="45" t="s">
        <v>198</v>
      </c>
      <c r="J35" s="57" t="str">
        <f>IF(E35="","",IF(AND(E35&gt;=Config!$B$5,E35&lt;=Config!$B$6),"Sí","No"))</f>
        <v>Sí</v>
      </c>
      <c r="K35" s="44"/>
      <c r="L35" s="18">
        <f>IF($A35="","",COUNTIFS('DATA ENVIOS'!$B$4:$B$2000,$A35,'DATA ENVIOS'!$A$4:$A$2000,Config!$B$4))</f>
        <v>2</v>
      </c>
      <c r="M35" s="44" t="s">
        <v>199</v>
      </c>
      <c r="N35" s="44" t="s">
        <v>24</v>
      </c>
      <c r="O35" s="45" t="str">
        <f>IF($B35="","",IFERROR(VLOOKUP($B35,'COMISIONES Y LEADS'!$A$14:$C$18,3,FALSE),"-"))</f>
        <v>Apus</v>
      </c>
      <c r="P35" s="44" t="str">
        <f>IF($A35="","",Config!$B$7&amp;"-"&amp;TEXT(ROW()-3,"000"))</f>
        <v>46023-032</v>
      </c>
      <c r="Q35" s="58"/>
      <c r="R35" s="18">
        <f t="shared" si="4"/>
        <v>0</v>
      </c>
    </row>
    <row r="36" ht="15.75" customHeight="1">
      <c r="A36" s="44" t="s">
        <v>235</v>
      </c>
      <c r="B36" s="45" t="s">
        <v>152</v>
      </c>
      <c r="C36" s="63">
        <v>46039.0</v>
      </c>
      <c r="D36" s="63">
        <v>46042.0</v>
      </c>
      <c r="E36" s="63">
        <v>46043.0</v>
      </c>
      <c r="F36" s="18">
        <f t="shared" ref="F36:G36" si="35">IF(OR(C36="",D36=""),"",D36-C36)</f>
        <v>3</v>
      </c>
      <c r="G36" s="18">
        <f t="shared" si="35"/>
        <v>1</v>
      </c>
      <c r="H36" s="18">
        <f t="shared" si="3"/>
        <v>4</v>
      </c>
      <c r="I36" s="45" t="s">
        <v>198</v>
      </c>
      <c r="J36" s="57" t="str">
        <f>IF(E36="","",IF(AND(E36&gt;=Config!$B$5,E36&lt;=Config!$B$6),"Sí","No"))</f>
        <v>Sí</v>
      </c>
      <c r="K36" s="44"/>
      <c r="L36" s="18">
        <f>IF($A36="","",COUNTIFS('DATA ENVIOS'!$B$4:$B$2000,$A36,'DATA ENVIOS'!$A$4:$A$2000,Config!$B$4))</f>
        <v>2</v>
      </c>
      <c r="M36" s="58" t="s">
        <v>199</v>
      </c>
      <c r="N36" s="44" t="s">
        <v>34</v>
      </c>
      <c r="O36" s="45"/>
      <c r="P36" s="44"/>
      <c r="Q36" s="58"/>
      <c r="R36" s="18">
        <f t="shared" si="4"/>
        <v>0</v>
      </c>
    </row>
    <row r="37" ht="15.75" customHeight="1">
      <c r="A37" s="44" t="s">
        <v>236</v>
      </c>
      <c r="B37" s="45" t="s">
        <v>152</v>
      </c>
      <c r="C37" s="56">
        <v>46031.0</v>
      </c>
      <c r="D37" s="56">
        <v>46032.0</v>
      </c>
      <c r="E37" s="56">
        <v>46035.0</v>
      </c>
      <c r="F37" s="18">
        <f t="shared" ref="F37:G37" si="36">IF(OR(C37="",D37=""),"",D37-C37)</f>
        <v>1</v>
      </c>
      <c r="G37" s="18">
        <f t="shared" si="36"/>
        <v>3</v>
      </c>
      <c r="H37" s="18">
        <f t="shared" si="3"/>
        <v>4</v>
      </c>
      <c r="I37" s="45" t="s">
        <v>198</v>
      </c>
      <c r="J37" s="57" t="str">
        <f>IF(E37="","",IF(AND(E37&gt;=Config!$B$5,E37&lt;=Config!$B$6),"Sí","No"))</f>
        <v>Sí</v>
      </c>
      <c r="K37" s="44"/>
      <c r="L37" s="18">
        <f>IF($A37="","",COUNTIFS('DATA ENVIOS'!$B$4:$B$2000,$A37,'DATA ENVIOS'!$A$4:$A$2000,Config!$B$4))</f>
        <v>26</v>
      </c>
      <c r="M37" s="58" t="s">
        <v>199</v>
      </c>
      <c r="N37" s="44" t="s">
        <v>47</v>
      </c>
      <c r="O37" s="45"/>
      <c r="P37" s="44"/>
      <c r="Q37" s="58"/>
      <c r="R37" s="18">
        <f t="shared" si="4"/>
        <v>0</v>
      </c>
    </row>
    <row r="38" ht="15.75" customHeight="1">
      <c r="A38" s="58" t="s">
        <v>237</v>
      </c>
      <c r="B38" s="45" t="s">
        <v>153</v>
      </c>
      <c r="C38" s="60">
        <v>46033.0</v>
      </c>
      <c r="D38" s="60">
        <v>46035.0</v>
      </c>
      <c r="E38" s="60">
        <v>46037.0</v>
      </c>
      <c r="F38" s="18">
        <f t="shared" ref="F38:G38" si="37">IF(OR(C38="",D38=""),"",D38-C38)</f>
        <v>2</v>
      </c>
      <c r="G38" s="18">
        <f t="shared" si="37"/>
        <v>2</v>
      </c>
      <c r="H38" s="18">
        <f t="shared" si="3"/>
        <v>4</v>
      </c>
      <c r="I38" s="45" t="s">
        <v>198</v>
      </c>
      <c r="J38" s="57" t="str">
        <f>IF(E38="","",IF(AND(E38&gt;=Config!$B$5,E38&lt;=Config!$B$6),"Sí","No"))</f>
        <v>Sí</v>
      </c>
      <c r="K38" s="44"/>
      <c r="L38" s="18">
        <f>IF($A38="","",COUNTIFS('DATA ENVIOS'!$B$4:$B$2000,$A38,'DATA ENVIOS'!$A$4:$A$2000,Config!$B$4))</f>
        <v>7</v>
      </c>
      <c r="M38" s="58" t="s">
        <v>199</v>
      </c>
      <c r="N38" s="58" t="s">
        <v>36</v>
      </c>
      <c r="O38" s="61"/>
      <c r="P38" s="62"/>
      <c r="Q38" s="58"/>
      <c r="R38" s="18">
        <f t="shared" si="4"/>
        <v>0</v>
      </c>
    </row>
    <row r="39" ht="30.0" customHeight="1">
      <c r="A39" s="58" t="s">
        <v>238</v>
      </c>
      <c r="B39" s="59" t="s">
        <v>156</v>
      </c>
      <c r="C39" s="60">
        <v>46035.0</v>
      </c>
      <c r="D39" s="56">
        <v>46038.0</v>
      </c>
      <c r="E39" s="56">
        <v>46039.0</v>
      </c>
      <c r="F39" s="18">
        <f t="shared" ref="F39:G39" si="38">IF(OR(C39="",D39=""),"",D39-C39)</f>
        <v>3</v>
      </c>
      <c r="G39" s="18">
        <f t="shared" si="38"/>
        <v>1</v>
      </c>
      <c r="H39" s="18">
        <f t="shared" si="3"/>
        <v>4</v>
      </c>
      <c r="I39" s="45" t="s">
        <v>198</v>
      </c>
      <c r="J39" s="57" t="str">
        <f>IF(E39="","",IF(AND(E39&gt;=Config!$B$5,E39&lt;=Config!$B$6),"Sí","No"))</f>
        <v>Sí</v>
      </c>
      <c r="K39" s="44"/>
      <c r="L39" s="18">
        <f>IF($A39="","",COUNTIFS('DATA ENVIOS'!$B$4:$B$2000,$A39,'DATA ENVIOS'!$A$4:$A$2000,Config!$B$4))</f>
        <v>1</v>
      </c>
      <c r="M39" s="44" t="s">
        <v>199</v>
      </c>
      <c r="N39" s="58" t="s">
        <v>26</v>
      </c>
      <c r="O39" s="61"/>
      <c r="P39" s="62"/>
      <c r="Q39" s="58"/>
      <c r="R39" s="18">
        <f t="shared" si="4"/>
        <v>0</v>
      </c>
    </row>
    <row r="40" ht="15.75" customHeight="1">
      <c r="A40" s="44" t="s">
        <v>239</v>
      </c>
      <c r="B40" s="45" t="s">
        <v>154</v>
      </c>
      <c r="C40" s="63">
        <v>46027.0</v>
      </c>
      <c r="D40" s="63">
        <v>46028.0</v>
      </c>
      <c r="E40" s="63">
        <v>46032.0</v>
      </c>
      <c r="F40" s="18">
        <f t="shared" ref="F40:G40" si="39">IF(OR(C40="",D40=""),"",D40-C40)</f>
        <v>1</v>
      </c>
      <c r="G40" s="18">
        <f t="shared" si="39"/>
        <v>4</v>
      </c>
      <c r="H40" s="18">
        <f t="shared" si="3"/>
        <v>5</v>
      </c>
      <c r="I40" s="45" t="s">
        <v>229</v>
      </c>
      <c r="J40" s="57" t="str">
        <f>IF(E40="","",IF(AND(E40&gt;=Config!$B$5,E40&lt;=Config!$B$6),"Sí","No"))</f>
        <v>Sí</v>
      </c>
      <c r="K40" s="44"/>
      <c r="L40" s="18">
        <f>IF($A40="","",COUNTIFS('DATA ENVIOS'!$B$4:$B$2000,$A40,'DATA ENVIOS'!$A$4:$A$2000,Config!$B$4))</f>
        <v>293</v>
      </c>
      <c r="M40" s="44" t="s">
        <v>199</v>
      </c>
      <c r="N40" s="44" t="s">
        <v>26</v>
      </c>
      <c r="O40" s="45"/>
      <c r="P40" s="44"/>
      <c r="Q40" s="58">
        <v>19.0</v>
      </c>
      <c r="R40" s="18">
        <f t="shared" si="4"/>
        <v>38</v>
      </c>
    </row>
    <row r="41" ht="15.75" customHeight="1">
      <c r="A41" s="44" t="s">
        <v>240</v>
      </c>
      <c r="B41" s="45" t="s">
        <v>153</v>
      </c>
      <c r="C41" s="56">
        <v>46024.0</v>
      </c>
      <c r="D41" s="56">
        <v>46028.0</v>
      </c>
      <c r="E41" s="56">
        <v>46029.0</v>
      </c>
      <c r="F41" s="18">
        <f t="shared" ref="F41:G41" si="40">IF(OR(C41="",D41=""),"",D41-C41)</f>
        <v>4</v>
      </c>
      <c r="G41" s="18">
        <f t="shared" si="40"/>
        <v>1</v>
      </c>
      <c r="H41" s="18">
        <f t="shared" si="3"/>
        <v>5</v>
      </c>
      <c r="I41" s="45" t="s">
        <v>198</v>
      </c>
      <c r="J41" s="57" t="str">
        <f>IF(E41="","",IF(AND(E41&gt;=Config!$B$5,E41&lt;=Config!$B$6),"Sí","No"))</f>
        <v>Sí</v>
      </c>
      <c r="K41" s="44"/>
      <c r="L41" s="18">
        <f>IF($A41="","",COUNTIFS('DATA ENVIOS'!$B$4:$B$2000,$A41,'DATA ENVIOS'!$A$4:$A$2000,Config!$B$4))</f>
        <v>1</v>
      </c>
      <c r="M41" s="58" t="s">
        <v>199</v>
      </c>
      <c r="N41" s="44" t="s">
        <v>61</v>
      </c>
      <c r="O41" s="45"/>
      <c r="P41" s="44"/>
      <c r="Q41" s="58"/>
      <c r="R41" s="18">
        <f t="shared" si="4"/>
        <v>0</v>
      </c>
    </row>
    <row r="42" ht="15.75" customHeight="1">
      <c r="A42" s="44" t="s">
        <v>241</v>
      </c>
      <c r="B42" s="45" t="s">
        <v>153</v>
      </c>
      <c r="C42" s="56">
        <v>46044.0</v>
      </c>
      <c r="D42" s="56">
        <v>46046.0</v>
      </c>
      <c r="E42" s="56">
        <v>46049.0</v>
      </c>
      <c r="F42" s="18">
        <f t="shared" ref="F42:G42" si="41">IF(OR(C42="",D42=""),"",D42-C42)</f>
        <v>2</v>
      </c>
      <c r="G42" s="18">
        <f t="shared" si="41"/>
        <v>3</v>
      </c>
      <c r="H42" s="18">
        <f t="shared" si="3"/>
        <v>5</v>
      </c>
      <c r="I42" s="45" t="s">
        <v>229</v>
      </c>
      <c r="J42" s="57" t="str">
        <f>IF(E42="","",IF(AND(E42&gt;=Config!$B$5,E42&lt;=Config!$B$6),"Sí","No"))</f>
        <v>Sí</v>
      </c>
      <c r="K42" s="44"/>
      <c r="L42" s="18">
        <f>IF($A42="","",COUNTIFS('DATA ENVIOS'!$B$4:$B$2000,$A42,'DATA ENVIOS'!$A$4:$A$2000,Config!$B$4))</f>
        <v>11</v>
      </c>
      <c r="M42" s="58" t="s">
        <v>199</v>
      </c>
      <c r="N42" s="44" t="s">
        <v>18</v>
      </c>
      <c r="O42" s="45"/>
      <c r="P42" s="44"/>
      <c r="Q42" s="58">
        <v>2.0</v>
      </c>
      <c r="R42" s="18">
        <f t="shared" si="4"/>
        <v>4</v>
      </c>
    </row>
    <row r="43" ht="15.75" customHeight="1">
      <c r="A43" s="58" t="s">
        <v>242</v>
      </c>
      <c r="B43" s="59" t="s">
        <v>156</v>
      </c>
      <c r="C43" s="60">
        <v>46031.0</v>
      </c>
      <c r="D43" s="60">
        <v>46031.0</v>
      </c>
      <c r="E43" s="56">
        <v>46036.0</v>
      </c>
      <c r="F43" s="18">
        <f t="shared" ref="F43:G43" si="42">IF(OR(C43="",D43=""),"",D43-C43)</f>
        <v>0</v>
      </c>
      <c r="G43" s="18">
        <f t="shared" si="42"/>
        <v>5</v>
      </c>
      <c r="H43" s="18">
        <f t="shared" si="3"/>
        <v>5</v>
      </c>
      <c r="I43" s="45" t="s">
        <v>198</v>
      </c>
      <c r="J43" s="57" t="str">
        <f>IF(E43="","",IF(AND(E43&gt;=Config!$B$5,E43&lt;=Config!$B$6),"Sí","No"))</f>
        <v>Sí</v>
      </c>
      <c r="K43" s="44"/>
      <c r="L43" s="18">
        <f>IF($A43="","",COUNTIFS('DATA ENVIOS'!$B$4:$B$2000,$A43,'DATA ENVIOS'!$A$4:$A$2000,Config!$B$4))</f>
        <v>2</v>
      </c>
      <c r="M43" s="44" t="s">
        <v>199</v>
      </c>
      <c r="N43" s="58" t="s">
        <v>243</v>
      </c>
      <c r="O43" s="61"/>
      <c r="P43" s="62"/>
      <c r="Q43" s="58"/>
      <c r="R43" s="18">
        <f t="shared" si="4"/>
        <v>0</v>
      </c>
    </row>
    <row r="44" ht="15.75" customHeight="1">
      <c r="A44" s="44" t="s">
        <v>244</v>
      </c>
      <c r="B44" s="45" t="s">
        <v>155</v>
      </c>
      <c r="C44" s="56">
        <v>46038.0</v>
      </c>
      <c r="D44" s="56">
        <v>46039.0</v>
      </c>
      <c r="E44" s="56">
        <v>46043.0</v>
      </c>
      <c r="F44" s="18">
        <f t="shared" ref="F44:G44" si="43">IF(OR(C44="",D44=""),"",D44-C44)</f>
        <v>1</v>
      </c>
      <c r="G44" s="18">
        <f t="shared" si="43"/>
        <v>4</v>
      </c>
      <c r="H44" s="18">
        <f t="shared" si="3"/>
        <v>5</v>
      </c>
      <c r="I44" s="45" t="s">
        <v>198</v>
      </c>
      <c r="J44" s="57" t="str">
        <f>IF(E44="","",IF(AND(E44&gt;=Config!$B$5,E44&lt;=Config!$B$6),"Sí","No"))</f>
        <v>Sí</v>
      </c>
      <c r="K44" s="44"/>
      <c r="L44" s="18">
        <f>IF($A44="","",COUNTIFS('DATA ENVIOS'!$B$4:$B$2000,$A44,'DATA ENVIOS'!$A$4:$A$2000,Config!$B$4))</f>
        <v>1</v>
      </c>
      <c r="M44" s="44" t="s">
        <v>199</v>
      </c>
      <c r="N44" s="44" t="s">
        <v>21</v>
      </c>
      <c r="O44" s="45" t="str">
        <f>IF($B44="","",IFERROR(VLOOKUP($B44,'COMISIONES Y LEADS'!$A$14:$C$18,3,FALSE),"-"))</f>
        <v>Apus</v>
      </c>
      <c r="P44" s="44" t="str">
        <f>IF($A44="","",Config!$B$7&amp;"-"&amp;TEXT(ROW()-3,"000"))</f>
        <v>46023-041</v>
      </c>
      <c r="Q44" s="58"/>
      <c r="R44" s="18">
        <f t="shared" si="4"/>
        <v>0</v>
      </c>
    </row>
    <row r="45" ht="15.75" customHeight="1">
      <c r="A45" s="44" t="s">
        <v>245</v>
      </c>
      <c r="B45" s="45" t="s">
        <v>152</v>
      </c>
      <c r="C45" s="56">
        <v>46029.0</v>
      </c>
      <c r="D45" s="60">
        <v>46035.0</v>
      </c>
      <c r="E45" s="60">
        <v>46037.0</v>
      </c>
      <c r="F45" s="18">
        <f t="shared" ref="F45:G45" si="44">IF(OR(C45="",D45=""),"",D45-C45)</f>
        <v>6</v>
      </c>
      <c r="G45" s="18">
        <f t="shared" si="44"/>
        <v>2</v>
      </c>
      <c r="H45" s="18">
        <f t="shared" si="3"/>
        <v>8</v>
      </c>
      <c r="I45" s="45" t="s">
        <v>198</v>
      </c>
      <c r="J45" s="57" t="str">
        <f>IF(E45="","",IF(AND(E45&gt;=Config!$B$5,E45&lt;=Config!$B$6),"Sí","No"))</f>
        <v>Sí</v>
      </c>
      <c r="K45" s="44"/>
      <c r="L45" s="18">
        <f>IF($A45="","",COUNTIFS('DATA ENVIOS'!$B$4:$B$2000,$A45,'DATA ENVIOS'!$A$4:$A$2000,Config!$B$4))</f>
        <v>2</v>
      </c>
      <c r="M45" s="58" t="s">
        <v>199</v>
      </c>
      <c r="N45" s="44" t="s">
        <v>15</v>
      </c>
      <c r="O45" s="45"/>
      <c r="P45" s="44"/>
      <c r="Q45" s="58"/>
      <c r="R45" s="18">
        <f t="shared" si="4"/>
        <v>0</v>
      </c>
    </row>
    <row r="46" ht="15.75" customHeight="1">
      <c r="A46" s="44" t="s">
        <v>246</v>
      </c>
      <c r="B46" s="45" t="s">
        <v>155</v>
      </c>
      <c r="C46" s="56">
        <v>46020.0</v>
      </c>
      <c r="D46" s="56">
        <v>46021.0</v>
      </c>
      <c r="E46" s="56">
        <v>46028.0</v>
      </c>
      <c r="F46" s="18">
        <f t="shared" ref="F46:G46" si="45">IF(OR(C46="",D46=""),"",D46-C46)</f>
        <v>1</v>
      </c>
      <c r="G46" s="18">
        <f t="shared" si="45"/>
        <v>7</v>
      </c>
      <c r="H46" s="18">
        <f t="shared" si="3"/>
        <v>8</v>
      </c>
      <c r="I46" s="45" t="s">
        <v>229</v>
      </c>
      <c r="J46" s="57" t="str">
        <f>IF(E46="","",IF(AND(E46&gt;=Config!$B$5,E46&lt;=Config!$B$6),"Sí","No"))</f>
        <v>Sí</v>
      </c>
      <c r="K46" s="44"/>
      <c r="L46" s="18">
        <f>IF($A46="","",COUNTIFS('DATA ENVIOS'!$B$4:$B$2000,$A46,'DATA ENVIOS'!$A$4:$A$2000,Config!$B$4))</f>
        <v>84</v>
      </c>
      <c r="M46" s="44" t="s">
        <v>199</v>
      </c>
      <c r="N46" s="44" t="s">
        <v>62</v>
      </c>
      <c r="O46" s="45" t="str">
        <f>IF($B46="","",IFERROR(VLOOKUP($B46,'COMISIONES Y LEADS'!$A$14:$C$18,3,FALSE),"-"))</f>
        <v>Apus</v>
      </c>
      <c r="P46" s="44" t="str">
        <f>IF($A46="","",Config!$B$7&amp;"-"&amp;TEXT(ROW()-3,"000"))</f>
        <v>46023-043</v>
      </c>
      <c r="Q46" s="58">
        <v>11.0</v>
      </c>
      <c r="R46" s="18">
        <f t="shared" si="4"/>
        <v>22</v>
      </c>
    </row>
    <row r="47" ht="30.0" customHeight="1">
      <c r="A47" s="44" t="s">
        <v>247</v>
      </c>
      <c r="B47" s="45" t="s">
        <v>152</v>
      </c>
      <c r="C47" s="56">
        <v>46028.0</v>
      </c>
      <c r="D47" s="56">
        <v>46029.0</v>
      </c>
      <c r="E47" s="60">
        <v>46037.0</v>
      </c>
      <c r="F47" s="18">
        <f t="shared" ref="F47:G47" si="46">IF(OR(C47="",D47=""),"",D47-C47)</f>
        <v>1</v>
      </c>
      <c r="G47" s="18">
        <f t="shared" si="46"/>
        <v>8</v>
      </c>
      <c r="H47" s="18">
        <f t="shared" si="3"/>
        <v>9</v>
      </c>
      <c r="I47" s="45" t="s">
        <v>198</v>
      </c>
      <c r="J47" s="57" t="str">
        <f>IF(E47="","",IF(AND(E47&gt;=Config!$B$5,E47&lt;=Config!$B$6),"Sí","No"))</f>
        <v>Sí</v>
      </c>
      <c r="K47" s="44"/>
      <c r="L47" s="18">
        <f>IF($A47="","",COUNTIFS('DATA ENVIOS'!$B$4:$B$2000,$A47,'DATA ENVIOS'!$A$4:$A$2000,Config!$B$4))</f>
        <v>16</v>
      </c>
      <c r="M47" s="58" t="s">
        <v>199</v>
      </c>
      <c r="N47" s="44" t="s">
        <v>24</v>
      </c>
      <c r="O47" s="45"/>
      <c r="P47" s="44"/>
      <c r="Q47" s="58"/>
      <c r="R47" s="18">
        <f t="shared" si="4"/>
        <v>0</v>
      </c>
    </row>
    <row r="48" ht="15.75" customHeight="1">
      <c r="A48" s="44" t="s">
        <v>248</v>
      </c>
      <c r="B48" s="45" t="s">
        <v>153</v>
      </c>
      <c r="C48" s="56">
        <v>46034.0</v>
      </c>
      <c r="D48" s="60">
        <v>46035.0</v>
      </c>
      <c r="E48" s="60">
        <v>46043.0</v>
      </c>
      <c r="F48" s="18">
        <f t="shared" ref="F48:G48" si="47">IF(OR(C48="",D48=""),"",D48-C48)</f>
        <v>1</v>
      </c>
      <c r="G48" s="18">
        <f t="shared" si="47"/>
        <v>8</v>
      </c>
      <c r="H48" s="18">
        <f t="shared" si="3"/>
        <v>9</v>
      </c>
      <c r="I48" s="45" t="s">
        <v>198</v>
      </c>
      <c r="J48" s="57" t="str">
        <f>IF(E48="","",IF(AND(E48&gt;=Config!$B$5,E48&lt;=Config!$B$6),"Sí","No"))</f>
        <v>Sí</v>
      </c>
      <c r="K48" s="44"/>
      <c r="L48" s="18">
        <f>IF($A48="","",COUNTIFS('DATA ENVIOS'!$B$4:$B$2000,$A48,'DATA ENVIOS'!$A$4:$A$2000,Config!$B$4))</f>
        <v>1</v>
      </c>
      <c r="M48" s="58" t="s">
        <v>199</v>
      </c>
      <c r="N48" s="44" t="s">
        <v>60</v>
      </c>
      <c r="O48" s="45"/>
      <c r="P48" s="44"/>
      <c r="Q48" s="58"/>
      <c r="R48" s="18">
        <f t="shared" si="4"/>
        <v>0</v>
      </c>
    </row>
    <row r="49" ht="15.75" customHeight="1">
      <c r="A49" s="44" t="s">
        <v>249</v>
      </c>
      <c r="B49" s="45" t="s">
        <v>155</v>
      </c>
      <c r="C49" s="56">
        <v>46017.0</v>
      </c>
      <c r="D49" s="56">
        <v>46017.0</v>
      </c>
      <c r="E49" s="56">
        <v>46027.0</v>
      </c>
      <c r="F49" s="18">
        <f t="shared" ref="F49:G49" si="48">IF(OR(C49="",D49=""),"",D49-C49)</f>
        <v>0</v>
      </c>
      <c r="G49" s="18">
        <f t="shared" si="48"/>
        <v>10</v>
      </c>
      <c r="H49" s="18">
        <f t="shared" si="3"/>
        <v>10</v>
      </c>
      <c r="I49" s="45" t="s">
        <v>198</v>
      </c>
      <c r="J49" s="57" t="str">
        <f>IF(E49="","",IF(AND(E49&gt;=Config!$B$5,E49&lt;=Config!$B$6),"Sí","No"))</f>
        <v>Sí</v>
      </c>
      <c r="K49" s="44"/>
      <c r="L49" s="18">
        <f>IF($A49="","",COUNTIFS('DATA ENVIOS'!$B$4:$B$2000,$A49,'DATA ENVIOS'!$A$4:$A$2000,Config!$B$4))</f>
        <v>1</v>
      </c>
      <c r="M49" s="44" t="s">
        <v>199</v>
      </c>
      <c r="N49" s="44" t="s">
        <v>26</v>
      </c>
      <c r="O49" s="45" t="str">
        <f>IF($B49="","",IFERROR(VLOOKUP($B49,'COMISIONES Y LEADS'!$A$14:$C$18,3,FALSE),"-"))</f>
        <v>Apus</v>
      </c>
      <c r="P49" s="44" t="str">
        <f>IF($A49="","",Config!$B$7&amp;"-"&amp;TEXT(ROW()-3,"000"))</f>
        <v>46023-046</v>
      </c>
      <c r="Q49" s="58"/>
      <c r="R49" s="18">
        <f t="shared" si="4"/>
        <v>0</v>
      </c>
    </row>
    <row r="50" ht="15.75" customHeight="1">
      <c r="A50" s="44" t="s">
        <v>250</v>
      </c>
      <c r="B50" s="45" t="s">
        <v>155</v>
      </c>
      <c r="C50" s="56">
        <v>46020.0</v>
      </c>
      <c r="D50" s="56">
        <v>46030.0</v>
      </c>
      <c r="E50" s="56">
        <v>46031.0</v>
      </c>
      <c r="F50" s="18">
        <f t="shared" ref="F50:G50" si="49">IF(OR(C50="",D50=""),"",D50-C50)</f>
        <v>10</v>
      </c>
      <c r="G50" s="18">
        <f t="shared" si="49"/>
        <v>1</v>
      </c>
      <c r="H50" s="18">
        <f t="shared" si="3"/>
        <v>11</v>
      </c>
      <c r="I50" s="45" t="s">
        <v>198</v>
      </c>
      <c r="J50" s="57" t="str">
        <f>IF(E50="","",IF(AND(E50&gt;=Config!$B$5,E50&lt;=Config!$B$6),"Sí","No"))</f>
        <v>Sí</v>
      </c>
      <c r="K50" s="44"/>
      <c r="L50" s="18">
        <f>IF($A50="","",COUNTIFS('DATA ENVIOS'!$B$4:$B$2000,$A50,'DATA ENVIOS'!$A$4:$A$2000,Config!$B$4))</f>
        <v>1</v>
      </c>
      <c r="M50" s="44" t="s">
        <v>199</v>
      </c>
      <c r="N50" s="44" t="s">
        <v>66</v>
      </c>
      <c r="O50" s="45" t="str">
        <f>IF($B50="","",IFERROR(VLOOKUP($B50,'COMISIONES Y LEADS'!$A$14:$C$18,3,FALSE),"-"))</f>
        <v>Apus</v>
      </c>
      <c r="P50" s="44" t="str">
        <f>IF($A50="","",Config!$B$7&amp;"-"&amp;TEXT(ROW()-3,"000"))</f>
        <v>46023-047</v>
      </c>
      <c r="Q50" s="58"/>
      <c r="R50" s="18">
        <f t="shared" si="4"/>
        <v>0</v>
      </c>
    </row>
    <row r="51" ht="15.75" customHeight="1">
      <c r="A51" s="58" t="s">
        <v>251</v>
      </c>
      <c r="B51" s="59" t="s">
        <v>156</v>
      </c>
      <c r="C51" s="60">
        <v>46035.0</v>
      </c>
      <c r="D51" s="60">
        <v>46045.0</v>
      </c>
      <c r="E51" s="60">
        <v>46047.0</v>
      </c>
      <c r="F51" s="18">
        <f t="shared" ref="F51:G51" si="50">IF(OR(C51="",D51=""),"",D51-C51)</f>
        <v>10</v>
      </c>
      <c r="G51" s="18">
        <f t="shared" si="50"/>
        <v>2</v>
      </c>
      <c r="H51" s="18">
        <f t="shared" si="3"/>
        <v>12</v>
      </c>
      <c r="I51" s="45" t="s">
        <v>198</v>
      </c>
      <c r="J51" s="57" t="str">
        <f>IF(E51="","",IF(AND(E51&gt;=Config!$B$5,E51&lt;=Config!$B$6),"Sí","No"))</f>
        <v>Sí</v>
      </c>
      <c r="K51" s="44"/>
      <c r="L51" s="18">
        <f>IF($A51="","",COUNTIFS('DATA ENVIOS'!$B$4:$B$2000,$A51,'DATA ENVIOS'!$A$4:$A$2000,Config!$B$4))</f>
        <v>5</v>
      </c>
      <c r="M51" s="44" t="s">
        <v>199</v>
      </c>
      <c r="N51" s="58" t="s">
        <v>44</v>
      </c>
      <c r="O51" s="61"/>
      <c r="P51" s="62"/>
      <c r="Q51" s="58"/>
      <c r="R51" s="18">
        <f t="shared" si="4"/>
        <v>0</v>
      </c>
    </row>
    <row r="52" ht="15.75" customHeight="1">
      <c r="A52" s="44" t="s">
        <v>252</v>
      </c>
      <c r="B52" s="59" t="s">
        <v>156</v>
      </c>
      <c r="C52" s="60">
        <v>46016.0</v>
      </c>
      <c r="D52" s="60">
        <v>46017.0</v>
      </c>
      <c r="E52" s="60">
        <v>46029.0</v>
      </c>
      <c r="F52" s="18">
        <f t="shared" ref="F52:G52" si="51">IF(OR(C52="",D52=""),"",D52-C52)</f>
        <v>1</v>
      </c>
      <c r="G52" s="18">
        <f t="shared" si="51"/>
        <v>12</v>
      </c>
      <c r="H52" s="18">
        <f t="shared" si="3"/>
        <v>13</v>
      </c>
      <c r="I52" s="45" t="s">
        <v>198</v>
      </c>
      <c r="J52" s="57" t="str">
        <f>IF(E52="","",IF(AND(E52&gt;=Config!$B$5,E52&lt;=Config!$B$6),"Sí","No"))</f>
        <v>Sí</v>
      </c>
      <c r="K52" s="44"/>
      <c r="L52" s="18">
        <f>IF($A52="","",COUNTIFS('DATA ENVIOS'!$B$4:$B$2000,$A52,'DATA ENVIOS'!$A$4:$A$2000,Config!$B$4))</f>
        <v>14</v>
      </c>
      <c r="M52" s="44" t="s">
        <v>199</v>
      </c>
      <c r="N52" s="44" t="s">
        <v>49</v>
      </c>
      <c r="O52" s="45"/>
      <c r="P52" s="44"/>
      <c r="Q52" s="58"/>
      <c r="R52" s="18">
        <f t="shared" si="4"/>
        <v>0</v>
      </c>
    </row>
    <row r="53" ht="15.75" customHeight="1">
      <c r="A53" s="44" t="s">
        <v>253</v>
      </c>
      <c r="B53" s="45" t="s">
        <v>154</v>
      </c>
      <c r="C53" s="56">
        <v>46020.0</v>
      </c>
      <c r="D53" s="56">
        <v>46029.0</v>
      </c>
      <c r="E53" s="56">
        <v>46034.0</v>
      </c>
      <c r="F53" s="18">
        <f t="shared" ref="F53:G53" si="52">IF(OR(C53="",D53=""),"",D53-C53)</f>
        <v>9</v>
      </c>
      <c r="G53" s="18">
        <f t="shared" si="52"/>
        <v>5</v>
      </c>
      <c r="H53" s="18">
        <f t="shared" si="3"/>
        <v>14</v>
      </c>
      <c r="I53" s="45" t="s">
        <v>198</v>
      </c>
      <c r="J53" s="57" t="str">
        <f>IF(E53="","",IF(AND(E53&gt;=Config!$B$5,E53&lt;=Config!$B$6),"Sí","No"))</f>
        <v>Sí</v>
      </c>
      <c r="K53" s="44"/>
      <c r="L53" s="18">
        <f>IF($A53="","",COUNTIFS('DATA ENVIOS'!$B$4:$B$2000,$A53,'DATA ENVIOS'!$A$4:$A$2000,Config!$B$4))</f>
        <v>7</v>
      </c>
      <c r="M53" s="44" t="s">
        <v>199</v>
      </c>
      <c r="N53" s="44" t="s">
        <v>32</v>
      </c>
      <c r="O53" s="45" t="str">
        <f>IF($B53="","",IFERROR(VLOOKUP($B53,'COMISIONES Y LEADS'!$A$14:$C$18,3,FALSE),"-"))</f>
        <v>Pacha Mama</v>
      </c>
      <c r="P53" s="44" t="str">
        <f>IF($A53="","",Config!$B$7&amp;"-"&amp;TEXT(ROW()-3,"000"))</f>
        <v>46023-050</v>
      </c>
      <c r="Q53" s="58"/>
      <c r="R53" s="18">
        <f t="shared" si="4"/>
        <v>0</v>
      </c>
    </row>
    <row r="54" ht="15.75" customHeight="1">
      <c r="A54" s="44" t="s">
        <v>254</v>
      </c>
      <c r="B54" s="45" t="s">
        <v>155</v>
      </c>
      <c r="C54" s="63">
        <v>46037.0</v>
      </c>
      <c r="D54" s="63">
        <v>46037.0</v>
      </c>
      <c r="E54" s="63">
        <v>46052.0</v>
      </c>
      <c r="F54" s="18">
        <f t="shared" ref="F54:G54" si="53">IF(OR(C54="",D54=""),"",D54-C54)</f>
        <v>0</v>
      </c>
      <c r="G54" s="18">
        <f t="shared" si="53"/>
        <v>15</v>
      </c>
      <c r="H54" s="18">
        <f t="shared" si="3"/>
        <v>15</v>
      </c>
      <c r="I54" s="45" t="s">
        <v>198</v>
      </c>
      <c r="J54" s="57" t="str">
        <f>IF(E54="","",IF(AND(E54&gt;=Config!$B$5,E54&lt;=Config!$B$6),"Sí","No"))</f>
        <v>Sí</v>
      </c>
      <c r="K54" s="64"/>
      <c r="L54" s="18">
        <f>IF($A54="","",COUNTIFS('DATA ENVIOS'!$B$4:$B$2000,$A54,'DATA ENVIOS'!$A$4:$A$2000,Config!$B$4))</f>
        <v>1</v>
      </c>
      <c r="M54" s="44" t="s">
        <v>199</v>
      </c>
      <c r="N54" s="44" t="s">
        <v>24</v>
      </c>
      <c r="O54" s="45"/>
      <c r="P54" s="44"/>
      <c r="Q54" s="58"/>
      <c r="R54" s="18">
        <f t="shared" si="4"/>
        <v>0</v>
      </c>
    </row>
    <row r="55" ht="15.75" customHeight="1">
      <c r="A55" s="44" t="s">
        <v>255</v>
      </c>
      <c r="B55" s="45" t="s">
        <v>153</v>
      </c>
      <c r="C55" s="56">
        <v>46036.0</v>
      </c>
      <c r="D55" s="56">
        <v>46036.0</v>
      </c>
      <c r="E55" s="56">
        <v>46051.0</v>
      </c>
      <c r="F55" s="18">
        <f t="shared" ref="F55:G55" si="54">IF(OR(C55="",D55=""),"",D55-C55)</f>
        <v>0</v>
      </c>
      <c r="G55" s="18">
        <f t="shared" si="54"/>
        <v>15</v>
      </c>
      <c r="H55" s="18">
        <f t="shared" si="3"/>
        <v>15</v>
      </c>
      <c r="I55" s="45" t="s">
        <v>198</v>
      </c>
      <c r="J55" s="57" t="str">
        <f>IF(E55="","",IF(AND(E55&gt;=Config!$B$5,E55&lt;=Config!$B$6),"Sí","No"))</f>
        <v>Sí</v>
      </c>
      <c r="K55" s="44"/>
      <c r="L55" s="18">
        <f>IF($A55="","",COUNTIFS('DATA ENVIOS'!$B$4:$B$2000,$A55,'DATA ENVIOS'!$A$4:$A$2000,Config!$B$4))</f>
        <v>7</v>
      </c>
      <c r="M55" s="58" t="s">
        <v>199</v>
      </c>
      <c r="N55" s="44" t="s">
        <v>34</v>
      </c>
      <c r="O55" s="45"/>
      <c r="P55" s="44"/>
      <c r="Q55" s="58"/>
      <c r="R55" s="18">
        <f t="shared" si="4"/>
        <v>0</v>
      </c>
    </row>
    <row r="56" ht="15.75" customHeight="1">
      <c r="A56" s="44" t="s">
        <v>256</v>
      </c>
      <c r="B56" s="45" t="s">
        <v>156</v>
      </c>
      <c r="C56" s="56">
        <v>46034.0</v>
      </c>
      <c r="D56" s="63">
        <v>46051.0</v>
      </c>
      <c r="E56" s="63">
        <v>46052.0</v>
      </c>
      <c r="F56" s="18">
        <f t="shared" ref="F56:G56" si="55">IF(OR(C56="",D56=""),"",D56-C56)</f>
        <v>17</v>
      </c>
      <c r="G56" s="18">
        <f t="shared" si="55"/>
        <v>1</v>
      </c>
      <c r="H56" s="18">
        <f t="shared" si="3"/>
        <v>18</v>
      </c>
      <c r="I56" s="45" t="s">
        <v>198</v>
      </c>
      <c r="J56" s="57" t="str">
        <f>IF(E56="","",IF(AND(E56&gt;=Config!$B$5,E56&lt;=Config!$B$6),"Sí","No"))</f>
        <v>Sí</v>
      </c>
      <c r="K56" s="44"/>
      <c r="L56" s="18">
        <f>IF($A56="","",COUNTIFS('DATA ENVIOS'!$B$4:$B$2000,$A56,'DATA ENVIOS'!$A$4:$A$2000,Config!$B$4))</f>
        <v>2</v>
      </c>
      <c r="M56" s="44" t="s">
        <v>199</v>
      </c>
      <c r="N56" s="44" t="s">
        <v>18</v>
      </c>
      <c r="O56" s="45"/>
      <c r="P56" s="44"/>
      <c r="Q56" s="58"/>
      <c r="R56" s="18">
        <f t="shared" si="4"/>
        <v>0</v>
      </c>
    </row>
    <row r="57" ht="15.75" customHeight="1">
      <c r="A57" s="44" t="s">
        <v>257</v>
      </c>
      <c r="B57" s="45" t="s">
        <v>152</v>
      </c>
      <c r="C57" s="56">
        <v>46029.0</v>
      </c>
      <c r="D57" s="56">
        <v>46029.0</v>
      </c>
      <c r="E57" s="56">
        <v>46048.0</v>
      </c>
      <c r="F57" s="18">
        <f t="shared" ref="F57:G57" si="56">IF(OR(C57="",D57=""),"",D57-C57)</f>
        <v>0</v>
      </c>
      <c r="G57" s="18">
        <f t="shared" si="56"/>
        <v>19</v>
      </c>
      <c r="H57" s="18">
        <f t="shared" si="3"/>
        <v>19</v>
      </c>
      <c r="I57" s="45" t="s">
        <v>198</v>
      </c>
      <c r="J57" s="57" t="str">
        <f>IF(E57="","",IF(AND(E57&gt;=Config!$B$5,E57&lt;=Config!$B$6),"Sí","No"))</f>
        <v>Sí</v>
      </c>
      <c r="K57" s="44"/>
      <c r="L57" s="18">
        <f>IF($A57="","",COUNTIFS('DATA ENVIOS'!$B$4:$B$2000,$A57,'DATA ENVIOS'!$A$4:$A$2000,Config!$B$4))</f>
        <v>10</v>
      </c>
      <c r="M57" s="58" t="s">
        <v>199</v>
      </c>
      <c r="N57" s="44" t="s">
        <v>18</v>
      </c>
      <c r="O57" s="45"/>
      <c r="P57" s="44"/>
      <c r="Q57" s="58"/>
      <c r="R57" s="18">
        <f t="shared" si="4"/>
        <v>0</v>
      </c>
    </row>
    <row r="58" ht="15.75" customHeight="1">
      <c r="A58" s="58" t="s">
        <v>258</v>
      </c>
      <c r="B58" s="59" t="s">
        <v>156</v>
      </c>
      <c r="C58" s="60">
        <v>46010.0</v>
      </c>
      <c r="D58" s="60">
        <v>46030.0</v>
      </c>
      <c r="E58" s="60">
        <v>46031.0</v>
      </c>
      <c r="F58" s="18">
        <f t="shared" ref="F58:G58" si="57">IF(OR(C58="",D58=""),"",D58-C58)</f>
        <v>20</v>
      </c>
      <c r="G58" s="18">
        <f t="shared" si="57"/>
        <v>1</v>
      </c>
      <c r="H58" s="18">
        <f t="shared" si="3"/>
        <v>21</v>
      </c>
      <c r="I58" s="59" t="s">
        <v>198</v>
      </c>
      <c r="J58" s="57" t="str">
        <f>IF(E58="","",IF(AND(E58&gt;=Config!$B$5,E58&lt;=Config!$B$6),"Sí","No"))</f>
        <v>Sí</v>
      </c>
      <c r="K58" s="44"/>
      <c r="L58" s="18">
        <f>IF($A58="","",COUNTIFS('DATA ENVIOS'!$B$4:$B$2000,$A58,'DATA ENVIOS'!$A$4:$A$2000,Config!$B$4))</f>
        <v>8</v>
      </c>
      <c r="M58" s="58" t="s">
        <v>199</v>
      </c>
      <c r="N58" s="58" t="s">
        <v>57</v>
      </c>
      <c r="O58" s="61"/>
      <c r="P58" s="62"/>
      <c r="Q58" s="58"/>
      <c r="R58" s="18">
        <f t="shared" si="4"/>
        <v>0</v>
      </c>
    </row>
    <row r="59" ht="15.75" customHeight="1">
      <c r="A59" s="44" t="s">
        <v>259</v>
      </c>
      <c r="B59" s="45" t="s">
        <v>153</v>
      </c>
      <c r="C59" s="56">
        <v>46021.0</v>
      </c>
      <c r="D59" s="56">
        <v>46024.0</v>
      </c>
      <c r="E59" s="56">
        <v>46042.0</v>
      </c>
      <c r="F59" s="18">
        <f t="shared" ref="F59:G59" si="58">IF(OR(C59="",D59=""),"",D59-C59)</f>
        <v>3</v>
      </c>
      <c r="G59" s="18">
        <f t="shared" si="58"/>
        <v>18</v>
      </c>
      <c r="H59" s="18">
        <f t="shared" si="3"/>
        <v>21</v>
      </c>
      <c r="I59" s="45" t="s">
        <v>229</v>
      </c>
      <c r="J59" s="57" t="str">
        <f>IF(E59="","",IF(AND(E59&gt;=Config!$B$5,E59&lt;=Config!$B$6),"Sí","No"))</f>
        <v>Sí</v>
      </c>
      <c r="K59" s="44"/>
      <c r="L59" s="18">
        <f>IF($A59="","",COUNTIFS('DATA ENVIOS'!$B$4:$B$2000,$A59,'DATA ENVIOS'!$A$4:$A$2000,Config!$B$4))</f>
        <v>16</v>
      </c>
      <c r="M59" s="44" t="s">
        <v>199</v>
      </c>
      <c r="N59" s="44" t="s">
        <v>15</v>
      </c>
      <c r="O59" s="45" t="str">
        <f>IF($B59="","",IFERROR(VLOOKUP($B59,'COMISIONES Y LEADS'!$A$14:$C$18,3,FALSE),"-"))</f>
        <v>Apus</v>
      </c>
      <c r="P59" s="44" t="str">
        <f>IF($A59="","",Config!$B$7&amp;"-"&amp;TEXT(ROW()-3,"000"))</f>
        <v>46023-056</v>
      </c>
      <c r="Q59" s="58">
        <v>2.0</v>
      </c>
      <c r="R59" s="18">
        <f t="shared" si="4"/>
        <v>4</v>
      </c>
    </row>
    <row r="60" ht="15.75" customHeight="1">
      <c r="A60" s="44" t="s">
        <v>260</v>
      </c>
      <c r="B60" s="45" t="s">
        <v>152</v>
      </c>
      <c r="C60" s="56">
        <v>46002.0</v>
      </c>
      <c r="D60" s="56">
        <v>46002.0</v>
      </c>
      <c r="E60" s="56">
        <v>46025.0</v>
      </c>
      <c r="F60" s="18">
        <f t="shared" ref="F60:G60" si="59">IF(OR(C60="",D60=""),"",D60-C60)</f>
        <v>0</v>
      </c>
      <c r="G60" s="18">
        <f t="shared" si="59"/>
        <v>23</v>
      </c>
      <c r="H60" s="18">
        <f t="shared" si="3"/>
        <v>23</v>
      </c>
      <c r="I60" s="45" t="s">
        <v>198</v>
      </c>
      <c r="J60" s="57" t="str">
        <f>IF(E60="","",IF(AND(E60&gt;=Config!$B$5,E60&lt;=Config!$B$6),"Sí","No"))</f>
        <v>Sí</v>
      </c>
      <c r="K60" s="44"/>
      <c r="L60" s="18">
        <f>IF($A60="","",COUNTIFS('DATA ENVIOS'!$B$4:$B$2000,$A60,'DATA ENVIOS'!$A$4:$A$2000,Config!$B$4))</f>
        <v>3</v>
      </c>
      <c r="M60" s="44" t="s">
        <v>199</v>
      </c>
      <c r="N60" s="44" t="s">
        <v>26</v>
      </c>
      <c r="O60" s="45"/>
      <c r="P60" s="44"/>
      <c r="Q60" s="58"/>
      <c r="R60" s="18">
        <f t="shared" si="4"/>
        <v>0</v>
      </c>
    </row>
    <row r="61" ht="15.75" customHeight="1">
      <c r="A61" s="44" t="s">
        <v>261</v>
      </c>
      <c r="B61" s="45" t="s">
        <v>152</v>
      </c>
      <c r="C61" s="56">
        <v>46013.0</v>
      </c>
      <c r="D61" s="60">
        <v>46035.0</v>
      </c>
      <c r="E61" s="60">
        <v>46037.0</v>
      </c>
      <c r="F61" s="18">
        <f t="shared" ref="F61:G61" si="60">IF(OR(C61="",D61=""),"",D61-C61)</f>
        <v>22</v>
      </c>
      <c r="G61" s="18">
        <f t="shared" si="60"/>
        <v>2</v>
      </c>
      <c r="H61" s="18">
        <f t="shared" si="3"/>
        <v>24</v>
      </c>
      <c r="I61" s="45" t="s">
        <v>198</v>
      </c>
      <c r="J61" s="57" t="str">
        <f>IF(E61="","",IF(AND(E61&gt;=Config!$B$5,E61&lt;=Config!$B$6),"Sí","No"))</f>
        <v>Sí</v>
      </c>
      <c r="K61" s="44"/>
      <c r="L61" s="18">
        <f>IF($A61="","",COUNTIFS('DATA ENVIOS'!$B$4:$B$2000,$A61,'DATA ENVIOS'!$A$4:$A$2000,Config!$B$4))</f>
        <v>2</v>
      </c>
      <c r="M61" s="44" t="s">
        <v>199</v>
      </c>
      <c r="N61" s="44" t="s">
        <v>40</v>
      </c>
      <c r="O61" s="45"/>
      <c r="P61" s="44"/>
      <c r="Q61" s="58"/>
      <c r="R61" s="18">
        <f t="shared" si="4"/>
        <v>0</v>
      </c>
    </row>
    <row r="62" ht="15.75" customHeight="1">
      <c r="A62" s="44" t="s">
        <v>262</v>
      </c>
      <c r="B62" s="45" t="s">
        <v>155</v>
      </c>
      <c r="C62" s="63">
        <v>46007.0</v>
      </c>
      <c r="D62" s="63">
        <v>46007.0</v>
      </c>
      <c r="E62" s="60">
        <v>46031.0</v>
      </c>
      <c r="F62" s="18">
        <f t="shared" ref="F62:G62" si="61">IF(OR(C62="",D62=""),"",D62-C62)</f>
        <v>0</v>
      </c>
      <c r="G62" s="18">
        <f t="shared" si="61"/>
        <v>24</v>
      </c>
      <c r="H62" s="18">
        <f t="shared" si="3"/>
        <v>24</v>
      </c>
      <c r="I62" s="45" t="s">
        <v>198</v>
      </c>
      <c r="J62" s="57" t="str">
        <f>IF(E62="","",IF(AND(E62&gt;=Config!$B$5,E62&lt;=Config!$B$6),"Sí","No"))</f>
        <v>Sí</v>
      </c>
      <c r="K62" s="44"/>
      <c r="L62" s="18">
        <f>IF($A62="","",COUNTIFS('DATA ENVIOS'!$B$4:$B$2000,$A62,'DATA ENVIOS'!$A$4:$A$2000,Config!$B$4))</f>
        <v>2</v>
      </c>
      <c r="M62" s="44" t="s">
        <v>199</v>
      </c>
      <c r="N62" s="44" t="s">
        <v>65</v>
      </c>
      <c r="O62" s="45"/>
      <c r="P62" s="44"/>
      <c r="Q62" s="58"/>
      <c r="R62" s="18">
        <f t="shared" si="4"/>
        <v>0</v>
      </c>
    </row>
    <row r="63" ht="15.75" customHeight="1">
      <c r="A63" s="44" t="s">
        <v>263</v>
      </c>
      <c r="B63" s="45" t="s">
        <v>155</v>
      </c>
      <c r="C63" s="63">
        <v>46008.0</v>
      </c>
      <c r="D63" s="63">
        <v>46008.0</v>
      </c>
      <c r="E63" s="56">
        <v>46034.0</v>
      </c>
      <c r="F63" s="18">
        <f t="shared" ref="F63:G63" si="62">IF(OR(C63="",D63=""),"",D63-C63)</f>
        <v>0</v>
      </c>
      <c r="G63" s="18">
        <f t="shared" si="62"/>
        <v>26</v>
      </c>
      <c r="H63" s="18">
        <f t="shared" si="3"/>
        <v>26</v>
      </c>
      <c r="I63" s="45" t="s">
        <v>198</v>
      </c>
      <c r="J63" s="57" t="str">
        <f>IF(E63="","",IF(AND(E63&gt;=Config!$B$5,E63&lt;=Config!$B$6),"Sí","No"))</f>
        <v>Sí</v>
      </c>
      <c r="K63" s="44"/>
      <c r="L63" s="18">
        <f>IF($A63="","",COUNTIFS('DATA ENVIOS'!$B$4:$B$2000,$A63,'DATA ENVIOS'!$A$4:$A$2000,Config!$B$4))</f>
        <v>17</v>
      </c>
      <c r="M63" s="44" t="s">
        <v>199</v>
      </c>
      <c r="N63" s="44" t="s">
        <v>30</v>
      </c>
      <c r="O63" s="45"/>
      <c r="P63" s="44"/>
      <c r="Q63" s="58"/>
      <c r="R63" s="18">
        <f t="shared" si="4"/>
        <v>0</v>
      </c>
    </row>
    <row r="64" ht="15.75" customHeight="1">
      <c r="A64" s="44" t="s">
        <v>264</v>
      </c>
      <c r="B64" s="45" t="s">
        <v>155</v>
      </c>
      <c r="C64" s="56">
        <v>46003.0</v>
      </c>
      <c r="D64" s="56">
        <v>46003.0</v>
      </c>
      <c r="E64" s="60">
        <v>46029.0</v>
      </c>
      <c r="F64" s="18">
        <f t="shared" ref="F64:G64" si="63">IF(OR(C64="",D64=""),"",D64-C64)</f>
        <v>0</v>
      </c>
      <c r="G64" s="18">
        <f t="shared" si="63"/>
        <v>26</v>
      </c>
      <c r="H64" s="18">
        <f t="shared" si="3"/>
        <v>26</v>
      </c>
      <c r="I64" s="45" t="s">
        <v>198</v>
      </c>
      <c r="J64" s="57" t="str">
        <f>IF(E64="","",IF(AND(E64&gt;=Config!$B$5,E64&lt;=Config!$B$6),"Sí","No"))</f>
        <v>Sí</v>
      </c>
      <c r="K64" s="44"/>
      <c r="L64" s="18">
        <f>IF($A64="","",COUNTIFS('DATA ENVIOS'!$B$4:$B$2000,$A64,'DATA ENVIOS'!$A$4:$A$2000,Config!$B$4))</f>
        <v>4</v>
      </c>
      <c r="M64" s="44" t="s">
        <v>199</v>
      </c>
      <c r="N64" s="44" t="s">
        <v>265</v>
      </c>
      <c r="O64" s="45"/>
      <c r="P64" s="44"/>
      <c r="Q64" s="58"/>
      <c r="R64" s="18">
        <f t="shared" si="4"/>
        <v>0</v>
      </c>
    </row>
    <row r="65" ht="15.75" customHeight="1">
      <c r="A65" s="44" t="s">
        <v>266</v>
      </c>
      <c r="B65" s="45" t="s">
        <v>155</v>
      </c>
      <c r="C65" s="63">
        <v>46009.0</v>
      </c>
      <c r="D65" s="63">
        <v>46037.0</v>
      </c>
      <c r="E65" s="63">
        <v>46038.0</v>
      </c>
      <c r="F65" s="18">
        <f t="shared" ref="F65:G65" si="64">IF(OR(C65="",D65=""),"",D65-C65)</f>
        <v>28</v>
      </c>
      <c r="G65" s="18">
        <f t="shared" si="64"/>
        <v>1</v>
      </c>
      <c r="H65" s="18">
        <f t="shared" si="3"/>
        <v>29</v>
      </c>
      <c r="I65" s="45" t="s">
        <v>198</v>
      </c>
      <c r="J65" s="57" t="str">
        <f>IF(E65="","",IF(AND(E65&gt;=Config!$B$5,E65&lt;=Config!$B$6),"Sí","No"))</f>
        <v>Sí</v>
      </c>
      <c r="K65" s="44"/>
      <c r="L65" s="18">
        <f>IF($A65="","",COUNTIFS('DATA ENVIOS'!$B$4:$B$2000,$A65,'DATA ENVIOS'!$A$4:$A$2000,Config!$B$4))</f>
        <v>9</v>
      </c>
      <c r="M65" s="44" t="s">
        <v>199</v>
      </c>
      <c r="N65" s="44" t="s">
        <v>23</v>
      </c>
      <c r="O65" s="45"/>
      <c r="P65" s="44"/>
      <c r="Q65" s="58"/>
      <c r="R65" s="18">
        <f t="shared" si="4"/>
        <v>0</v>
      </c>
    </row>
    <row r="66" ht="15.75" customHeight="1">
      <c r="A66" s="44" t="s">
        <v>267</v>
      </c>
      <c r="B66" s="45" t="s">
        <v>153</v>
      </c>
      <c r="C66" s="56">
        <v>45993.0</v>
      </c>
      <c r="D66" s="56">
        <v>45993.0</v>
      </c>
      <c r="E66" s="56">
        <v>46027.0</v>
      </c>
      <c r="F66" s="18">
        <f t="shared" ref="F66:G66" si="65">IF(OR(C66="",D66=""),"",D66-C66)</f>
        <v>0</v>
      </c>
      <c r="G66" s="18">
        <f t="shared" si="65"/>
        <v>34</v>
      </c>
      <c r="H66" s="18">
        <f t="shared" si="3"/>
        <v>34</v>
      </c>
      <c r="I66" s="45" t="s">
        <v>198</v>
      </c>
      <c r="J66" s="57" t="str">
        <f>IF(E66="","",IF(AND(E66&gt;=Config!$B$5,E66&lt;=Config!$B$6),"Sí","No"))</f>
        <v>Sí</v>
      </c>
      <c r="K66" s="44"/>
      <c r="L66" s="18">
        <f>IF($A66="","",COUNTIFS('DATA ENVIOS'!$B$4:$B$2000,$A66,'DATA ENVIOS'!$A$4:$A$2000,Config!$B$4))</f>
        <v>5</v>
      </c>
      <c r="M66" s="44" t="s">
        <v>199</v>
      </c>
      <c r="N66" s="44" t="s">
        <v>63</v>
      </c>
      <c r="O66" s="45"/>
      <c r="P66" s="44"/>
      <c r="Q66" s="58"/>
      <c r="R66" s="18">
        <f t="shared" si="4"/>
        <v>0</v>
      </c>
    </row>
    <row r="67" ht="15.75" customHeight="1">
      <c r="A67" s="44" t="s">
        <v>268</v>
      </c>
      <c r="B67" s="45" t="s">
        <v>156</v>
      </c>
      <c r="C67" s="56">
        <v>45992.0</v>
      </c>
      <c r="D67" s="56">
        <v>45992.0</v>
      </c>
      <c r="E67" s="56">
        <v>46028.0</v>
      </c>
      <c r="F67" s="18">
        <f t="shared" ref="F67:G67" si="66">IF(OR(C67="",D67=""),"",D67-C67)</f>
        <v>0</v>
      </c>
      <c r="G67" s="18">
        <f t="shared" si="66"/>
        <v>36</v>
      </c>
      <c r="H67" s="18">
        <f t="shared" si="3"/>
        <v>36</v>
      </c>
      <c r="I67" s="45" t="s">
        <v>198</v>
      </c>
      <c r="J67" s="57" t="str">
        <f>IF(E67="","",IF(AND(E67&gt;=Config!$B$5,E67&lt;=Config!$B$6),"Sí","No"))</f>
        <v>Sí</v>
      </c>
      <c r="K67" s="44"/>
      <c r="L67" s="18">
        <f>IF($A67="","",COUNTIFS('DATA ENVIOS'!$B$4:$B$2000,$A67,'DATA ENVIOS'!$A$4:$A$2000,Config!$B$4))</f>
        <v>3</v>
      </c>
      <c r="M67" s="44" t="s">
        <v>199</v>
      </c>
      <c r="N67" s="44" t="s">
        <v>24</v>
      </c>
      <c r="O67" s="45"/>
      <c r="P67" s="44"/>
      <c r="Q67" s="58"/>
      <c r="R67" s="18">
        <f t="shared" si="4"/>
        <v>0</v>
      </c>
    </row>
    <row r="68" ht="15.75" customHeight="1">
      <c r="A68" s="44" t="s">
        <v>269</v>
      </c>
      <c r="B68" s="45" t="s">
        <v>154</v>
      </c>
      <c r="C68" s="56">
        <v>45992.0</v>
      </c>
      <c r="D68" s="56">
        <v>45992.0</v>
      </c>
      <c r="E68" s="56">
        <v>46030.0</v>
      </c>
      <c r="F68" s="18">
        <f t="shared" ref="F68:G68" si="67">IF(OR(C68="",D68=""),"",D68-C68)</f>
        <v>0</v>
      </c>
      <c r="G68" s="18">
        <f t="shared" si="67"/>
        <v>38</v>
      </c>
      <c r="H68" s="18">
        <f t="shared" si="3"/>
        <v>38</v>
      </c>
      <c r="I68" s="45" t="s">
        <v>198</v>
      </c>
      <c r="J68" s="57" t="str">
        <f>IF(E68="","",IF(AND(E68&gt;=Config!$B$5,E68&lt;=Config!$B$6),"Sí","No"))</f>
        <v>Sí</v>
      </c>
      <c r="K68" s="44"/>
      <c r="L68" s="18">
        <f>IF($A68="","",COUNTIFS('DATA ENVIOS'!$B$4:$B$2000,$A68,'DATA ENVIOS'!$A$4:$A$2000,Config!$B$4))</f>
        <v>2</v>
      </c>
      <c r="M68" s="44" t="s">
        <v>199</v>
      </c>
      <c r="N68" s="44" t="s">
        <v>18</v>
      </c>
      <c r="O68" s="45"/>
      <c r="P68" s="44"/>
      <c r="Q68" s="58"/>
      <c r="R68" s="18">
        <f t="shared" si="4"/>
        <v>0</v>
      </c>
    </row>
    <row r="69" ht="15.75" customHeight="1">
      <c r="A69" s="44" t="s">
        <v>270</v>
      </c>
      <c r="B69" s="45" t="s">
        <v>153</v>
      </c>
      <c r="C69" s="56">
        <v>45998.0</v>
      </c>
      <c r="D69" s="56">
        <v>46000.0</v>
      </c>
      <c r="E69" s="56">
        <v>46041.0</v>
      </c>
      <c r="F69" s="18">
        <f t="shared" ref="F69:G69" si="68">IF(OR(C69="",D69=""),"",D69-C69)</f>
        <v>2</v>
      </c>
      <c r="G69" s="18">
        <f t="shared" si="68"/>
        <v>41</v>
      </c>
      <c r="H69" s="18">
        <f t="shared" si="3"/>
        <v>43</v>
      </c>
      <c r="I69" s="45" t="s">
        <v>198</v>
      </c>
      <c r="J69" s="57" t="str">
        <f>IF(E69="","",IF(AND(E69&gt;=Config!$B$5,E69&lt;=Config!$B$6),"Sí","No"))</f>
        <v>Sí</v>
      </c>
      <c r="K69" s="44"/>
      <c r="L69" s="18">
        <f>IF($A69="","",COUNTIFS('DATA ENVIOS'!$B$4:$B$2000,$A69,'DATA ENVIOS'!$A$4:$A$2000,Config!$B$4))</f>
        <v>16</v>
      </c>
      <c r="M69" s="44" t="s">
        <v>199</v>
      </c>
      <c r="N69" s="44" t="s">
        <v>68</v>
      </c>
      <c r="O69" s="45"/>
      <c r="P69" s="44"/>
      <c r="Q69" s="58"/>
      <c r="R69" s="18">
        <f t="shared" si="4"/>
        <v>0</v>
      </c>
    </row>
    <row r="70" ht="15.75" customHeight="1">
      <c r="A70" s="44" t="s">
        <v>271</v>
      </c>
      <c r="B70" s="45" t="s">
        <v>154</v>
      </c>
      <c r="C70" s="56">
        <v>45992.0</v>
      </c>
      <c r="D70" s="56">
        <v>46035.0</v>
      </c>
      <c r="E70" s="56">
        <v>46037.0</v>
      </c>
      <c r="F70" s="18">
        <f t="shared" ref="F70:G70" si="69">IF(OR(C70="",D70=""),"",D70-C70)</f>
        <v>43</v>
      </c>
      <c r="G70" s="18">
        <f t="shared" si="69"/>
        <v>2</v>
      </c>
      <c r="H70" s="18">
        <f t="shared" si="3"/>
        <v>45</v>
      </c>
      <c r="I70" s="45" t="s">
        <v>229</v>
      </c>
      <c r="J70" s="57" t="str">
        <f>IF(E70="","",IF(AND(E70&gt;=Config!$B$5,E70&lt;=Config!$B$6),"Sí","No"))</f>
        <v>Sí</v>
      </c>
      <c r="K70" s="44"/>
      <c r="L70" s="18">
        <f>IF($A70="","",COUNTIFS('DATA ENVIOS'!$B$4:$B$2000,$A70,'DATA ENVIOS'!$A$4:$A$2000,Config!$B$4))</f>
        <v>82</v>
      </c>
      <c r="M70" s="44" t="s">
        <v>199</v>
      </c>
      <c r="N70" s="44" t="s">
        <v>49</v>
      </c>
      <c r="O70" s="45"/>
      <c r="P70" s="44"/>
      <c r="Q70" s="58">
        <v>22.0</v>
      </c>
      <c r="R70" s="18">
        <f t="shared" si="4"/>
        <v>44</v>
      </c>
    </row>
    <row r="71" ht="15.75" customHeight="1">
      <c r="A71" s="44" t="s">
        <v>272</v>
      </c>
      <c r="B71" s="45" t="s">
        <v>156</v>
      </c>
      <c r="C71" s="56">
        <v>45974.0</v>
      </c>
      <c r="D71" s="56">
        <v>46028.0</v>
      </c>
      <c r="E71" s="56">
        <v>46029.0</v>
      </c>
      <c r="F71" s="18">
        <f t="shared" ref="F71:G71" si="70">IF(OR(C71="",D71=""),"",D71-C71)</f>
        <v>54</v>
      </c>
      <c r="G71" s="18">
        <f t="shared" si="70"/>
        <v>1</v>
      </c>
      <c r="H71" s="18">
        <f t="shared" si="3"/>
        <v>55</v>
      </c>
      <c r="I71" s="45" t="s">
        <v>198</v>
      </c>
      <c r="J71" s="57" t="str">
        <f>IF(E71="","",IF(AND(E71&gt;=Config!$B$5,E71&lt;=Config!$B$6),"Sí","No"))</f>
        <v>Sí</v>
      </c>
      <c r="K71" s="44"/>
      <c r="L71" s="18">
        <f>IF($A71="","",COUNTIFS('DATA ENVIOS'!$B$4:$B$2000,$A71,'DATA ENVIOS'!$A$4:$A$2000,Config!$B$4))</f>
        <v>13</v>
      </c>
      <c r="M71" s="44" t="s">
        <v>199</v>
      </c>
      <c r="N71" s="44" t="s">
        <v>32</v>
      </c>
      <c r="O71" s="45" t="str">
        <f>IF($B71="","",IFERROR(VLOOKUP($B71,'COMISIONES Y LEADS'!$A$14:$C$18,3,FALSE),"-"))</f>
        <v>Apus</v>
      </c>
      <c r="P71" s="44" t="str">
        <f>IF($A71="","",Config!$B$7&amp;"-"&amp;TEXT(ROW()-3,"000"))</f>
        <v>46023-068</v>
      </c>
      <c r="Q71" s="58"/>
      <c r="R71" s="18">
        <f t="shared" si="4"/>
        <v>0</v>
      </c>
    </row>
    <row r="72" ht="15.75" customHeight="1">
      <c r="A72" s="44" t="s">
        <v>273</v>
      </c>
      <c r="B72" s="45" t="s">
        <v>153</v>
      </c>
      <c r="C72" s="56">
        <v>45990.0</v>
      </c>
      <c r="D72" s="56">
        <v>45994.0</v>
      </c>
      <c r="E72" s="56">
        <v>46053.0</v>
      </c>
      <c r="F72" s="18">
        <f t="shared" ref="F72:G72" si="71">IF(OR(C72="",D72=""),"",D72-C72)</f>
        <v>4</v>
      </c>
      <c r="G72" s="18">
        <f t="shared" si="71"/>
        <v>59</v>
      </c>
      <c r="H72" s="18">
        <f t="shared" si="3"/>
        <v>63</v>
      </c>
      <c r="I72" s="45" t="s">
        <v>198</v>
      </c>
      <c r="J72" s="57" t="str">
        <f>IF(E72="","",IF(AND(E72&gt;=Config!$B$5,E72&lt;=Config!$B$6),"Sí","No"))</f>
        <v>Sí</v>
      </c>
      <c r="K72" s="44"/>
      <c r="L72" s="18">
        <f>IF($A72="","",COUNTIFS('DATA ENVIOS'!$B$4:$B$2000,$A72,'DATA ENVIOS'!$A$4:$A$2000,Config!$B$4))</f>
        <v>1</v>
      </c>
      <c r="M72" s="44" t="s">
        <v>199</v>
      </c>
      <c r="N72" s="44" t="s">
        <v>211</v>
      </c>
      <c r="O72" s="45"/>
      <c r="P72" s="44"/>
      <c r="Q72" s="58"/>
      <c r="R72" s="18">
        <f t="shared" si="4"/>
        <v>0</v>
      </c>
    </row>
    <row r="73" ht="15.75" customHeight="1">
      <c r="A73" s="44" t="s">
        <v>274</v>
      </c>
      <c r="B73" s="45" t="s">
        <v>152</v>
      </c>
      <c r="C73" s="56">
        <v>45969.0</v>
      </c>
      <c r="D73" s="56">
        <v>45971.0</v>
      </c>
      <c r="E73" s="56">
        <v>46033.0</v>
      </c>
      <c r="F73" s="18">
        <f t="shared" ref="F73:G73" si="72">IF(OR(C73="",D73=""),"",D73-C73)</f>
        <v>2</v>
      </c>
      <c r="G73" s="18">
        <f t="shared" si="72"/>
        <v>62</v>
      </c>
      <c r="H73" s="18">
        <f t="shared" si="3"/>
        <v>64</v>
      </c>
      <c r="I73" s="45" t="s">
        <v>198</v>
      </c>
      <c r="J73" s="57" t="str">
        <f>IF(E73="","",IF(AND(E73&gt;=Config!$B$5,E73&lt;=Config!$B$6),"Sí","No"))</f>
        <v>Sí</v>
      </c>
      <c r="K73" s="44"/>
      <c r="L73" s="18">
        <f>IF($A73="","",COUNTIFS('DATA ENVIOS'!$B$4:$B$2000,$A73,'DATA ENVIOS'!$A$4:$A$2000,Config!$B$4))</f>
        <v>12</v>
      </c>
      <c r="M73" s="44" t="s">
        <v>199</v>
      </c>
      <c r="N73" s="44" t="s">
        <v>55</v>
      </c>
      <c r="O73" s="45" t="str">
        <f>IF($B73="","",IFERROR(VLOOKUP($B73,'COMISIONES Y LEADS'!$A$14:$C$18,3,FALSE),"-"))</f>
        <v>Apus</v>
      </c>
      <c r="P73" s="44" t="str">
        <f>IF($A73="","",Config!$B$7&amp;"-"&amp;TEXT(ROW()-3,"000"))</f>
        <v>46023-070</v>
      </c>
      <c r="Q73" s="58"/>
      <c r="R73" s="18">
        <f t="shared" si="4"/>
        <v>0</v>
      </c>
    </row>
    <row r="74" ht="15.75" customHeight="1">
      <c r="A74" s="44" t="s">
        <v>275</v>
      </c>
      <c r="B74" s="45" t="s">
        <v>154</v>
      </c>
      <c r="C74" s="56">
        <v>45972.0</v>
      </c>
      <c r="D74" s="56">
        <v>46041.0</v>
      </c>
      <c r="E74" s="56">
        <v>46042.0</v>
      </c>
      <c r="F74" s="18">
        <f t="shared" ref="F74:G74" si="73">IF(OR(C74="",D74=""),"",D74-C74)</f>
        <v>69</v>
      </c>
      <c r="G74" s="18">
        <f t="shared" si="73"/>
        <v>1</v>
      </c>
      <c r="H74" s="18">
        <f t="shared" si="3"/>
        <v>70</v>
      </c>
      <c r="I74" s="45" t="s">
        <v>198</v>
      </c>
      <c r="J74" s="57" t="str">
        <f>IF(E74="","",IF(AND(E74&gt;=Config!$B$5,E74&lt;=Config!$B$6),"Sí","No"))</f>
        <v>Sí</v>
      </c>
      <c r="K74" s="44"/>
      <c r="L74" s="18">
        <f>IF($A74="","",COUNTIFS('DATA ENVIOS'!$B$4:$B$2000,$A74,'DATA ENVIOS'!$A$4:$A$2000,Config!$B$4))</f>
        <v>2</v>
      </c>
      <c r="M74" s="44" t="s">
        <v>199</v>
      </c>
      <c r="N74" s="44" t="s">
        <v>47</v>
      </c>
      <c r="O74" s="45" t="str">
        <f>IF($B74="","",IFERROR(VLOOKUP($B74,'COMISIONES Y LEADS'!$A$14:$C$18,3,FALSE),"-"))</f>
        <v>Pacha Mama</v>
      </c>
      <c r="P74" s="44" t="str">
        <f>IF($A74="","",Config!$B$7&amp;"-"&amp;TEXT(ROW()-3,"000"))</f>
        <v>46023-071</v>
      </c>
      <c r="Q74" s="58"/>
      <c r="R74" s="18">
        <f t="shared" si="4"/>
        <v>0</v>
      </c>
    </row>
    <row r="75" ht="15.75" customHeight="1">
      <c r="A75" s="44" t="s">
        <v>276</v>
      </c>
      <c r="B75" s="45" t="s">
        <v>156</v>
      </c>
      <c r="C75" s="56">
        <v>45972.0</v>
      </c>
      <c r="D75" s="56">
        <v>45975.0</v>
      </c>
      <c r="E75" s="56">
        <v>46049.0</v>
      </c>
      <c r="F75" s="18">
        <f t="shared" ref="F75:G75" si="74">IF(OR(C75="",D75=""),"",D75-C75)</f>
        <v>3</v>
      </c>
      <c r="G75" s="18">
        <f t="shared" si="74"/>
        <v>74</v>
      </c>
      <c r="H75" s="18">
        <f t="shared" si="3"/>
        <v>77</v>
      </c>
      <c r="I75" s="45" t="s">
        <v>198</v>
      </c>
      <c r="J75" s="57" t="str">
        <f>IF(E75="","",IF(AND(E75&gt;=Config!$B$5,E75&lt;=Config!$B$6),"Sí","No"))</f>
        <v>Sí</v>
      </c>
      <c r="K75" s="44"/>
      <c r="L75" s="18">
        <f>IF($A75="","",COUNTIFS('DATA ENVIOS'!$B$4:$B$2000,$A75,'DATA ENVIOS'!$A$4:$A$2000,Config!$B$4))</f>
        <v>31</v>
      </c>
      <c r="M75" s="44" t="s">
        <v>199</v>
      </c>
      <c r="N75" s="44" t="s">
        <v>15</v>
      </c>
      <c r="O75" s="45" t="str">
        <f>IF($B75="","",IFERROR(VLOOKUP($B75,'COMISIONES Y LEADS'!$A$14:$C$18,3,FALSE),"-"))</f>
        <v>Apus</v>
      </c>
      <c r="P75" s="44" t="str">
        <f>IF($A75="","",Config!$B$7&amp;"-"&amp;TEXT(ROW()-3,"000"))</f>
        <v>46023-072</v>
      </c>
      <c r="Q75" s="58"/>
      <c r="R75" s="18">
        <f t="shared" si="4"/>
        <v>0</v>
      </c>
    </row>
    <row r="76" ht="15.75" customHeight="1">
      <c r="A76" s="44" t="s">
        <v>277</v>
      </c>
      <c r="B76" s="45" t="s">
        <v>155</v>
      </c>
      <c r="C76" s="56">
        <v>45972.0</v>
      </c>
      <c r="D76" s="56">
        <v>46052.0</v>
      </c>
      <c r="E76" s="56">
        <v>46053.0</v>
      </c>
      <c r="F76" s="18">
        <f t="shared" ref="F76:G76" si="75">IF(OR(C76="",D76=""),"",D76-C76)</f>
        <v>80</v>
      </c>
      <c r="G76" s="18">
        <f t="shared" si="75"/>
        <v>1</v>
      </c>
      <c r="H76" s="18">
        <f t="shared" si="3"/>
        <v>81</v>
      </c>
      <c r="I76" s="45" t="s">
        <v>198</v>
      </c>
      <c r="J76" s="57" t="str">
        <f>IF(E76="","",IF(AND(E76&gt;=Config!$B$5,E76&lt;=Config!$B$6),"Sí","No"))</f>
        <v>Sí</v>
      </c>
      <c r="K76" s="44"/>
      <c r="L76" s="18">
        <f>IF($A76="","",COUNTIFS('DATA ENVIOS'!$B$4:$B$2000,$A76,'DATA ENVIOS'!$A$4:$A$2000,Config!$B$4))</f>
        <v>1</v>
      </c>
      <c r="M76" s="44" t="s">
        <v>199</v>
      </c>
      <c r="N76" s="44" t="s">
        <v>23</v>
      </c>
      <c r="O76" s="45" t="str">
        <f>IF($B76="","",IFERROR(VLOOKUP($B76,'COMISIONES Y LEADS'!$A$14:$C$18,3,FALSE),"-"))</f>
        <v>Apus</v>
      </c>
      <c r="P76" s="44" t="str">
        <f>IF($A76="","",Config!$B$7&amp;"-"&amp;TEXT(ROW()-3,"000"))</f>
        <v>46023-073</v>
      </c>
      <c r="Q76" s="58"/>
      <c r="R76" s="18">
        <f t="shared" si="4"/>
        <v>0</v>
      </c>
    </row>
    <row r="77" ht="15.75" customHeight="1">
      <c r="A77" s="44" t="s">
        <v>278</v>
      </c>
      <c r="B77" s="45" t="s">
        <v>155</v>
      </c>
      <c r="C77" s="56">
        <v>45964.0</v>
      </c>
      <c r="D77" s="56">
        <v>45964.0</v>
      </c>
      <c r="E77" s="56">
        <v>46052.0</v>
      </c>
      <c r="F77" s="18">
        <f t="shared" ref="F77:G77" si="76">IF(OR(C77="",D77=""),"",D77-C77)</f>
        <v>0</v>
      </c>
      <c r="G77" s="18">
        <f t="shared" si="76"/>
        <v>88</v>
      </c>
      <c r="H77" s="18">
        <f t="shared" si="3"/>
        <v>88</v>
      </c>
      <c r="I77" s="45" t="s">
        <v>198</v>
      </c>
      <c r="J77" s="57" t="str">
        <f>IF(E77="","",IF(AND(E77&gt;=Config!$B$5,E77&lt;=Config!$B$6),"Sí","No"))</f>
        <v>Sí</v>
      </c>
      <c r="K77" s="44"/>
      <c r="L77" s="18">
        <f>IF($A77="","",COUNTIFS('DATA ENVIOS'!$B$4:$B$2000,$A77,'DATA ENVIOS'!$A$4:$A$2000,Config!$B$4))</f>
        <v>1</v>
      </c>
      <c r="M77" s="44" t="s">
        <v>199</v>
      </c>
      <c r="N77" s="44" t="s">
        <v>40</v>
      </c>
      <c r="O77" s="45" t="str">
        <f>IF($B77="","",IFERROR(VLOOKUP($B77,'COMISIONES Y LEADS'!$A$14:$C$18,3,FALSE),"-"))</f>
        <v>Apus</v>
      </c>
      <c r="P77" s="44" t="str">
        <f>IF($A77="","",Config!$B$7&amp;"-"&amp;TEXT(ROW()-3,"000"))</f>
        <v>46023-074</v>
      </c>
      <c r="Q77" s="58"/>
      <c r="R77" s="18">
        <f t="shared" si="4"/>
        <v>0</v>
      </c>
    </row>
    <row r="78" ht="15.75" customHeight="1">
      <c r="A78" s="44" t="s">
        <v>279</v>
      </c>
      <c r="B78" s="45" t="s">
        <v>155</v>
      </c>
      <c r="C78" s="56">
        <v>46025.0</v>
      </c>
      <c r="D78" s="56">
        <v>46025.0</v>
      </c>
      <c r="E78" s="56">
        <v>46030.0</v>
      </c>
      <c r="F78" s="18">
        <f t="shared" ref="F78:G78" si="77">IF(OR(C78="",D78=""),"",D78-C78)</f>
        <v>0</v>
      </c>
      <c r="G78" s="18">
        <f t="shared" si="77"/>
        <v>5</v>
      </c>
      <c r="H78" s="18">
        <f t="shared" si="3"/>
        <v>5</v>
      </c>
      <c r="I78" s="45" t="s">
        <v>198</v>
      </c>
      <c r="J78" s="57" t="str">
        <f>IF(E78="","",IF(AND(E78&gt;=Config!$B$5,E78&lt;=Config!$B$6),"Sí","No"))</f>
        <v>Sí</v>
      </c>
      <c r="K78" s="44"/>
      <c r="L78" s="18">
        <f>IF($A78="","",COUNTIFS('DATA ENVIOS'!$B$4:$B$2000,$A78,'DATA ENVIOS'!$A$4:$A$2000,Config!$B$4))</f>
        <v>2</v>
      </c>
      <c r="M78" s="44" t="s">
        <v>199</v>
      </c>
      <c r="N78" s="44" t="s">
        <v>32</v>
      </c>
      <c r="O78" s="45" t="str">
        <f>IF($B78="","",IFERROR(VLOOKUP($B78,'COMISIONES Y LEADS'!$A$14:$C$18,3,FALSE),"-"))</f>
        <v>Apus</v>
      </c>
      <c r="P78" s="44" t="str">
        <f>IF($A78="","",Config!$B$7&amp;"-"&amp;TEXT(ROW()-3,"000"))</f>
        <v>46023-075</v>
      </c>
      <c r="Q78" s="44"/>
      <c r="R78" s="18">
        <f t="shared" si="4"/>
        <v>0</v>
      </c>
    </row>
    <row r="79" ht="15.75" customHeight="1">
      <c r="A79" s="44"/>
      <c r="B79" s="45"/>
      <c r="C79" s="56"/>
      <c r="D79" s="56"/>
      <c r="E79" s="56"/>
      <c r="F79" s="18" t="str">
        <f t="shared" ref="F79:G79" si="78">IF(OR(C79="",D79=""),"",D79-C79)</f>
        <v/>
      </c>
      <c r="G79" s="18" t="str">
        <f t="shared" si="78"/>
        <v/>
      </c>
      <c r="H79" s="18" t="str">
        <f t="shared" si="3"/>
        <v/>
      </c>
      <c r="I79" s="45"/>
      <c r="J79" s="57"/>
      <c r="K79" s="44"/>
      <c r="L79" s="18"/>
      <c r="M79" s="44"/>
      <c r="N79" s="44"/>
      <c r="O79" s="45"/>
      <c r="P79" s="44"/>
      <c r="Q79" s="44"/>
      <c r="R79" s="18"/>
    </row>
    <row r="80" ht="15.75" customHeight="1">
      <c r="A80" s="44"/>
      <c r="B80" s="45"/>
      <c r="C80" s="56"/>
      <c r="D80" s="56"/>
      <c r="E80" s="56"/>
      <c r="F80" s="18" t="str">
        <f t="shared" ref="F80:G80" si="79">IF(OR(C80="",D80=""),"",D80-C80)</f>
        <v/>
      </c>
      <c r="G80" s="18" t="str">
        <f t="shared" si="79"/>
        <v/>
      </c>
      <c r="H80" s="18" t="str">
        <f t="shared" si="3"/>
        <v/>
      </c>
      <c r="I80" s="45"/>
      <c r="J80" s="57"/>
      <c r="K80" s="44"/>
      <c r="L80" s="18"/>
      <c r="M80" s="44"/>
      <c r="N80" s="44"/>
      <c r="O80" s="45"/>
      <c r="P80" s="44"/>
      <c r="Q80" s="44"/>
      <c r="R80" s="18"/>
    </row>
    <row r="81" ht="15.75" customHeight="1">
      <c r="A81" s="44"/>
      <c r="B81" s="45"/>
      <c r="C81" s="56"/>
      <c r="D81" s="56"/>
      <c r="E81" s="56"/>
      <c r="F81" s="18" t="str">
        <f t="shared" ref="F81:G81" si="80">IF(OR(C81="",D81=""),"",D81-C81)</f>
        <v/>
      </c>
      <c r="G81" s="18" t="str">
        <f t="shared" si="80"/>
        <v/>
      </c>
      <c r="H81" s="18" t="str">
        <f t="shared" si="3"/>
        <v/>
      </c>
      <c r="I81" s="45"/>
      <c r="J81" s="57"/>
      <c r="K81" s="44"/>
      <c r="L81" s="18"/>
      <c r="M81" s="44"/>
      <c r="N81" s="44"/>
      <c r="O81" s="45"/>
      <c r="P81" s="44"/>
      <c r="Q81" s="44"/>
      <c r="R81" s="18"/>
    </row>
    <row r="82" ht="15.75" customHeight="1">
      <c r="A82" s="44"/>
      <c r="B82" s="45"/>
      <c r="C82" s="56"/>
      <c r="D82" s="56"/>
      <c r="E82" s="56"/>
      <c r="F82" s="18" t="str">
        <f t="shared" ref="F82:G82" si="81">IF(OR(C82="",D82=""),"",D82-C82)</f>
        <v/>
      </c>
      <c r="G82" s="18" t="str">
        <f t="shared" si="81"/>
        <v/>
      </c>
      <c r="H82" s="18" t="str">
        <f t="shared" si="3"/>
        <v/>
      </c>
      <c r="I82" s="45"/>
      <c r="J82" s="57"/>
      <c r="K82" s="44"/>
      <c r="L82" s="18"/>
      <c r="M82" s="44"/>
      <c r="N82" s="44"/>
      <c r="O82" s="45"/>
      <c r="P82" s="44"/>
      <c r="Q82" s="44"/>
      <c r="R82" s="18"/>
    </row>
    <row r="83" ht="15.75" customHeight="1">
      <c r="A83" s="44"/>
      <c r="B83" s="45"/>
      <c r="C83" s="56"/>
      <c r="D83" s="56"/>
      <c r="E83" s="56"/>
      <c r="F83" s="18" t="str">
        <f t="shared" ref="F83:G83" si="82">IF(OR(C83="",D83=""),"",D83-C83)</f>
        <v/>
      </c>
      <c r="G83" s="18" t="str">
        <f t="shared" si="82"/>
        <v/>
      </c>
      <c r="H83" s="18" t="str">
        <f t="shared" si="3"/>
        <v/>
      </c>
      <c r="I83" s="45"/>
      <c r="J83" s="57"/>
      <c r="K83" s="44"/>
      <c r="L83" s="18"/>
      <c r="M83" s="44"/>
      <c r="N83" s="44"/>
      <c r="O83" s="45"/>
      <c r="P83" s="44"/>
      <c r="Q83" s="44"/>
      <c r="R83" s="18"/>
    </row>
    <row r="84" ht="15.75" customHeight="1">
      <c r="A84" s="44"/>
      <c r="B84" s="45"/>
      <c r="C84" s="56"/>
      <c r="D84" s="56"/>
      <c r="E84" s="56"/>
      <c r="F84" s="18" t="str">
        <f t="shared" ref="F84:G84" si="83">IF(OR(C84="",D84=""),"",D84-C84)</f>
        <v/>
      </c>
      <c r="G84" s="18" t="str">
        <f t="shared" si="83"/>
        <v/>
      </c>
      <c r="H84" s="18" t="str">
        <f t="shared" si="3"/>
        <v/>
      </c>
      <c r="I84" s="45"/>
      <c r="J84" s="57"/>
      <c r="K84" s="44"/>
      <c r="L84" s="18"/>
      <c r="M84" s="44"/>
      <c r="N84" s="44"/>
      <c r="O84" s="45"/>
      <c r="P84" s="44"/>
      <c r="Q84" s="44"/>
      <c r="R84" s="18"/>
    </row>
    <row r="85" ht="15.75" customHeight="1">
      <c r="A85" s="44"/>
      <c r="B85" s="45"/>
      <c r="C85" s="56"/>
      <c r="D85" s="56"/>
      <c r="E85" s="56"/>
      <c r="F85" s="18" t="str">
        <f t="shared" ref="F85:G85" si="84">IF(OR(C85="",D85=""),"",D85-C85)</f>
        <v/>
      </c>
      <c r="G85" s="18" t="str">
        <f t="shared" si="84"/>
        <v/>
      </c>
      <c r="H85" s="18" t="str">
        <f t="shared" si="3"/>
        <v/>
      </c>
      <c r="I85" s="45"/>
      <c r="J85" s="57"/>
      <c r="K85" s="44"/>
      <c r="L85" s="18"/>
      <c r="M85" s="44"/>
      <c r="N85" s="44"/>
      <c r="O85" s="45"/>
      <c r="P85" s="44"/>
      <c r="Q85" s="44"/>
      <c r="R85" s="18"/>
    </row>
    <row r="86" ht="15.75" customHeight="1">
      <c r="A86" s="44"/>
      <c r="B86" s="45"/>
      <c r="C86" s="56"/>
      <c r="D86" s="56"/>
      <c r="E86" s="56"/>
      <c r="F86" s="18" t="str">
        <f t="shared" ref="F86:G86" si="85">IF(OR(C86="",D86=""),"",D86-C86)</f>
        <v/>
      </c>
      <c r="G86" s="18" t="str">
        <f t="shared" si="85"/>
        <v/>
      </c>
      <c r="H86" s="18" t="str">
        <f t="shared" si="3"/>
        <v/>
      </c>
      <c r="I86" s="45"/>
      <c r="J86" s="57"/>
      <c r="K86" s="44"/>
      <c r="L86" s="18"/>
      <c r="M86" s="44"/>
      <c r="N86" s="44"/>
      <c r="O86" s="45"/>
      <c r="P86" s="44"/>
      <c r="Q86" s="44"/>
      <c r="R86" s="18"/>
    </row>
    <row r="87" ht="15.75" customHeight="1">
      <c r="A87" s="44"/>
      <c r="B87" s="45"/>
      <c r="C87" s="56"/>
      <c r="D87" s="56"/>
      <c r="E87" s="56"/>
      <c r="F87" s="18" t="str">
        <f t="shared" ref="F87:G87" si="86">IF(OR(C87="",D87=""),"",D87-C87)</f>
        <v/>
      </c>
      <c r="G87" s="18" t="str">
        <f t="shared" si="86"/>
        <v/>
      </c>
      <c r="H87" s="18" t="str">
        <f t="shared" si="3"/>
        <v/>
      </c>
      <c r="I87" s="45"/>
      <c r="J87" s="57"/>
      <c r="K87" s="44"/>
      <c r="L87" s="18"/>
      <c r="M87" s="44"/>
      <c r="N87" s="44"/>
      <c r="O87" s="45"/>
      <c r="P87" s="44"/>
      <c r="Q87" s="44"/>
      <c r="R87" s="18"/>
    </row>
    <row r="88" ht="15.75" customHeight="1">
      <c r="A88" s="44"/>
      <c r="B88" s="45"/>
      <c r="C88" s="56"/>
      <c r="D88" s="56"/>
      <c r="E88" s="56"/>
      <c r="F88" s="18" t="str">
        <f t="shared" ref="F88:G88" si="87">IF(OR(C88="",D88=""),"",D88-C88)</f>
        <v/>
      </c>
      <c r="G88" s="18" t="str">
        <f t="shared" si="87"/>
        <v/>
      </c>
      <c r="H88" s="18" t="str">
        <f t="shared" si="3"/>
        <v/>
      </c>
      <c r="I88" s="45"/>
      <c r="J88" s="57"/>
      <c r="K88" s="44"/>
      <c r="L88" s="18"/>
      <c r="M88" s="44"/>
      <c r="N88" s="44"/>
      <c r="O88" s="45"/>
      <c r="P88" s="44"/>
      <c r="Q88" s="44"/>
      <c r="R88" s="18"/>
    </row>
    <row r="89" ht="15.75" customHeight="1">
      <c r="A89" s="44"/>
      <c r="B89" s="45"/>
      <c r="C89" s="56"/>
      <c r="D89" s="56"/>
      <c r="E89" s="56"/>
      <c r="F89" s="18" t="str">
        <f t="shared" ref="F89:G89" si="88">IF(OR(C89="",D89=""),"",D89-C89)</f>
        <v/>
      </c>
      <c r="G89" s="18" t="str">
        <f t="shared" si="88"/>
        <v/>
      </c>
      <c r="H89" s="18" t="str">
        <f t="shared" si="3"/>
        <v/>
      </c>
      <c r="I89" s="45"/>
      <c r="J89" s="57"/>
      <c r="K89" s="44"/>
      <c r="L89" s="18"/>
      <c r="M89" s="44"/>
      <c r="N89" s="44"/>
      <c r="O89" s="45"/>
      <c r="P89" s="44"/>
      <c r="Q89" s="44"/>
      <c r="R89" s="18"/>
    </row>
    <row r="90" ht="15.75" customHeight="1">
      <c r="A90" s="44"/>
      <c r="B90" s="45"/>
      <c r="C90" s="56"/>
      <c r="D90" s="56"/>
      <c r="E90" s="56"/>
      <c r="F90" s="18" t="str">
        <f t="shared" ref="F90:G90" si="89">IF(OR(C90="",D90=""),"",D90-C90)</f>
        <v/>
      </c>
      <c r="G90" s="18" t="str">
        <f t="shared" si="89"/>
        <v/>
      </c>
      <c r="H90" s="18" t="str">
        <f t="shared" si="3"/>
        <v/>
      </c>
      <c r="I90" s="45"/>
      <c r="J90" s="57"/>
      <c r="K90" s="44"/>
      <c r="L90" s="18"/>
      <c r="M90" s="44"/>
      <c r="N90" s="44"/>
      <c r="O90" s="45"/>
      <c r="P90" s="44"/>
      <c r="Q90" s="44"/>
      <c r="R90" s="18"/>
    </row>
    <row r="91" ht="15.75" customHeight="1">
      <c r="A91" s="44"/>
      <c r="B91" s="45"/>
      <c r="C91" s="56"/>
      <c r="D91" s="56"/>
      <c r="E91" s="56"/>
      <c r="F91" s="18" t="str">
        <f t="shared" ref="F91:G91" si="90">IF(OR(C91="",D91=""),"",D91-C91)</f>
        <v/>
      </c>
      <c r="G91" s="18" t="str">
        <f t="shared" si="90"/>
        <v/>
      </c>
      <c r="H91" s="18" t="str">
        <f t="shared" si="3"/>
        <v/>
      </c>
      <c r="I91" s="45"/>
      <c r="J91" s="57"/>
      <c r="K91" s="44"/>
      <c r="L91" s="18"/>
      <c r="M91" s="44"/>
      <c r="N91" s="44"/>
      <c r="O91" s="45"/>
      <c r="P91" s="44"/>
      <c r="Q91" s="44"/>
      <c r="R91" s="18"/>
    </row>
    <row r="92" ht="15.75" customHeight="1">
      <c r="A92" s="44"/>
      <c r="B92" s="45"/>
      <c r="C92" s="56"/>
      <c r="D92" s="56"/>
      <c r="E92" s="56"/>
      <c r="F92" s="18" t="str">
        <f t="shared" ref="F92:G92" si="91">IF(OR(C92="",D92=""),"",D92-C92)</f>
        <v/>
      </c>
      <c r="G92" s="18" t="str">
        <f t="shared" si="91"/>
        <v/>
      </c>
      <c r="H92" s="18" t="str">
        <f t="shared" si="3"/>
        <v/>
      </c>
      <c r="I92" s="45"/>
      <c r="J92" s="57"/>
      <c r="K92" s="44"/>
      <c r="L92" s="18"/>
      <c r="M92" s="44"/>
      <c r="N92" s="44"/>
      <c r="O92" s="45"/>
      <c r="P92" s="44"/>
      <c r="Q92" s="44"/>
      <c r="R92" s="18"/>
    </row>
    <row r="93" ht="15.75" customHeight="1">
      <c r="A93" s="44"/>
      <c r="B93" s="45"/>
      <c r="C93" s="56"/>
      <c r="D93" s="56"/>
      <c r="E93" s="56"/>
      <c r="F93" s="18" t="str">
        <f t="shared" ref="F93:G93" si="92">IF(OR(C93="",D93=""),"",D93-C93)</f>
        <v/>
      </c>
      <c r="G93" s="18" t="str">
        <f t="shared" si="92"/>
        <v/>
      </c>
      <c r="H93" s="18" t="str">
        <f t="shared" si="3"/>
        <v/>
      </c>
      <c r="I93" s="45"/>
      <c r="J93" s="57"/>
      <c r="K93" s="44"/>
      <c r="L93" s="18"/>
      <c r="M93" s="44"/>
      <c r="N93" s="44"/>
      <c r="O93" s="45"/>
      <c r="P93" s="44"/>
      <c r="Q93" s="44"/>
      <c r="R93" s="18"/>
    </row>
    <row r="94" ht="15.75" customHeight="1">
      <c r="A94" s="44"/>
      <c r="B94" s="45"/>
      <c r="C94" s="56"/>
      <c r="D94" s="56"/>
      <c r="E94" s="56"/>
      <c r="F94" s="18" t="str">
        <f t="shared" ref="F94:G94" si="93">IF(OR(C94="",D94=""),"",D94-C94)</f>
        <v/>
      </c>
      <c r="G94" s="18" t="str">
        <f t="shared" si="93"/>
        <v/>
      </c>
      <c r="H94" s="18" t="str">
        <f t="shared" si="3"/>
        <v/>
      </c>
      <c r="I94" s="45"/>
      <c r="J94" s="57"/>
      <c r="K94" s="44"/>
      <c r="L94" s="18"/>
      <c r="M94" s="44"/>
      <c r="N94" s="44"/>
      <c r="O94" s="45"/>
      <c r="P94" s="44"/>
      <c r="Q94" s="44"/>
      <c r="R94" s="18"/>
    </row>
    <row r="95" ht="15.75" customHeight="1">
      <c r="A95" s="44"/>
      <c r="B95" s="45"/>
      <c r="C95" s="56"/>
      <c r="D95" s="56"/>
      <c r="E95" s="56"/>
      <c r="F95" s="18" t="str">
        <f t="shared" ref="F95:G95" si="94">IF(OR(C95="",D95=""),"",D95-C95)</f>
        <v/>
      </c>
      <c r="G95" s="18" t="str">
        <f t="shared" si="94"/>
        <v/>
      </c>
      <c r="H95" s="18" t="str">
        <f t="shared" si="3"/>
        <v/>
      </c>
      <c r="I95" s="45"/>
      <c r="J95" s="57"/>
      <c r="K95" s="44"/>
      <c r="L95" s="18"/>
      <c r="M95" s="44"/>
      <c r="N95" s="44"/>
      <c r="O95" s="45"/>
      <c r="P95" s="44"/>
      <c r="Q95" s="44"/>
      <c r="R95" s="18"/>
    </row>
    <row r="96" ht="15.75" customHeight="1">
      <c r="A96" s="44"/>
      <c r="B96" s="45"/>
      <c r="C96" s="56"/>
      <c r="D96" s="56"/>
      <c r="E96" s="56"/>
      <c r="F96" s="18" t="str">
        <f t="shared" ref="F96:G96" si="95">IF(OR(C96="",D96=""),"",D96-C96)</f>
        <v/>
      </c>
      <c r="G96" s="18" t="str">
        <f t="shared" si="95"/>
        <v/>
      </c>
      <c r="H96" s="18" t="str">
        <f t="shared" si="3"/>
        <v/>
      </c>
      <c r="I96" s="45"/>
      <c r="J96" s="57"/>
      <c r="K96" s="44"/>
      <c r="L96" s="18"/>
      <c r="M96" s="44"/>
      <c r="N96" s="44"/>
      <c r="O96" s="45"/>
      <c r="P96" s="44"/>
      <c r="Q96" s="44"/>
      <c r="R96" s="18"/>
    </row>
    <row r="97" ht="15.75" customHeight="1">
      <c r="A97" s="44"/>
      <c r="B97" s="45"/>
      <c r="C97" s="56"/>
      <c r="D97" s="56"/>
      <c r="E97" s="56"/>
      <c r="F97" s="18" t="str">
        <f t="shared" ref="F97:G97" si="96">IF(OR(C97="",D97=""),"",D97-C97)</f>
        <v/>
      </c>
      <c r="G97" s="18" t="str">
        <f t="shared" si="96"/>
        <v/>
      </c>
      <c r="H97" s="18" t="str">
        <f t="shared" si="3"/>
        <v/>
      </c>
      <c r="I97" s="45"/>
      <c r="J97" s="57"/>
      <c r="K97" s="44"/>
      <c r="L97" s="18"/>
      <c r="M97" s="44"/>
      <c r="N97" s="44"/>
      <c r="O97" s="45"/>
      <c r="P97" s="44"/>
      <c r="Q97" s="44"/>
      <c r="R97" s="18"/>
    </row>
    <row r="98" ht="15.75" customHeight="1">
      <c r="A98" s="44"/>
      <c r="B98" s="45"/>
      <c r="C98" s="56"/>
      <c r="D98" s="56"/>
      <c r="E98" s="56"/>
      <c r="F98" s="18" t="str">
        <f t="shared" ref="F98:G98" si="97">IF(OR(C98="",D98=""),"",D98-C98)</f>
        <v/>
      </c>
      <c r="G98" s="18" t="str">
        <f t="shared" si="97"/>
        <v/>
      </c>
      <c r="H98" s="18" t="str">
        <f t="shared" si="3"/>
        <v/>
      </c>
      <c r="I98" s="45"/>
      <c r="J98" s="57"/>
      <c r="K98" s="44"/>
      <c r="L98" s="18"/>
      <c r="M98" s="44"/>
      <c r="N98" s="44"/>
      <c r="O98" s="45"/>
      <c r="P98" s="44"/>
      <c r="Q98" s="44"/>
      <c r="R98" s="18"/>
    </row>
    <row r="99" ht="15.75" customHeight="1">
      <c r="A99" s="44"/>
      <c r="B99" s="45"/>
      <c r="C99" s="56"/>
      <c r="D99" s="56"/>
      <c r="E99" s="56"/>
      <c r="F99" s="18" t="str">
        <f t="shared" ref="F99:G99" si="98">IF(OR(C99="",D99=""),"",D99-C99)</f>
        <v/>
      </c>
      <c r="G99" s="18" t="str">
        <f t="shared" si="98"/>
        <v/>
      </c>
      <c r="H99" s="18" t="str">
        <f t="shared" si="3"/>
        <v/>
      </c>
      <c r="I99" s="45"/>
      <c r="J99" s="57"/>
      <c r="K99" s="44"/>
      <c r="L99" s="18"/>
      <c r="M99" s="44"/>
      <c r="N99" s="44"/>
      <c r="O99" s="45"/>
      <c r="P99" s="44"/>
      <c r="Q99" s="44"/>
      <c r="R99" s="18"/>
    </row>
    <row r="100" ht="15.75" customHeight="1">
      <c r="A100" s="44"/>
      <c r="B100" s="45"/>
      <c r="C100" s="56"/>
      <c r="D100" s="56"/>
      <c r="E100" s="56"/>
      <c r="F100" s="18" t="str">
        <f t="shared" ref="F100:G100" si="99">IF(OR(C100="",D100=""),"",D100-C100)</f>
        <v/>
      </c>
      <c r="G100" s="18" t="str">
        <f t="shared" si="99"/>
        <v/>
      </c>
      <c r="H100" s="18" t="str">
        <f t="shared" si="3"/>
        <v/>
      </c>
      <c r="I100" s="45"/>
      <c r="J100" s="57"/>
      <c r="K100" s="44"/>
      <c r="L100" s="18"/>
      <c r="M100" s="44"/>
      <c r="N100" s="44"/>
      <c r="O100" s="45"/>
      <c r="P100" s="44"/>
      <c r="Q100" s="44"/>
      <c r="R100" s="18"/>
    </row>
    <row r="101" ht="15.75" customHeight="1">
      <c r="A101" s="44"/>
      <c r="B101" s="45"/>
      <c r="C101" s="56"/>
      <c r="D101" s="56"/>
      <c r="E101" s="56"/>
      <c r="F101" s="18" t="str">
        <f t="shared" ref="F101:G101" si="100">IF(OR(C101="",D101=""),"",D101-C101)</f>
        <v/>
      </c>
      <c r="G101" s="18" t="str">
        <f t="shared" si="100"/>
        <v/>
      </c>
      <c r="H101" s="18" t="str">
        <f t="shared" si="3"/>
        <v/>
      </c>
      <c r="I101" s="45"/>
      <c r="J101" s="57"/>
      <c r="K101" s="44"/>
      <c r="L101" s="18"/>
      <c r="M101" s="44"/>
      <c r="N101" s="44"/>
      <c r="O101" s="45"/>
      <c r="P101" s="44"/>
      <c r="Q101" s="44"/>
      <c r="R101" s="18"/>
    </row>
    <row r="102" ht="15.75" customHeight="1">
      <c r="A102" s="44"/>
      <c r="B102" s="45"/>
      <c r="C102" s="56"/>
      <c r="D102" s="56"/>
      <c r="E102" s="56"/>
      <c r="F102" s="18" t="str">
        <f t="shared" ref="F102:G102" si="101">IF(OR(C102="",D102=""),"",D102-C102)</f>
        <v/>
      </c>
      <c r="G102" s="18" t="str">
        <f t="shared" si="101"/>
        <v/>
      </c>
      <c r="H102" s="18" t="str">
        <f t="shared" si="3"/>
        <v/>
      </c>
      <c r="I102" s="45"/>
      <c r="J102" s="57"/>
      <c r="K102" s="44"/>
      <c r="L102" s="18"/>
      <c r="M102" s="44"/>
      <c r="N102" s="44"/>
      <c r="O102" s="45"/>
      <c r="P102" s="44"/>
      <c r="Q102" s="44"/>
      <c r="R102" s="18"/>
    </row>
    <row r="103" ht="15.75" customHeight="1">
      <c r="A103" s="44"/>
      <c r="B103" s="45"/>
      <c r="C103" s="56"/>
      <c r="D103" s="56"/>
      <c r="E103" s="56"/>
      <c r="F103" s="18" t="str">
        <f t="shared" ref="F103:G103" si="102">IF(OR(C103="",D103=""),"",D103-C103)</f>
        <v/>
      </c>
      <c r="G103" s="18" t="str">
        <f t="shared" si="102"/>
        <v/>
      </c>
      <c r="H103" s="18" t="str">
        <f t="shared" si="3"/>
        <v/>
      </c>
      <c r="I103" s="45"/>
      <c r="J103" s="57"/>
      <c r="K103" s="44"/>
      <c r="L103" s="18"/>
      <c r="M103" s="44"/>
      <c r="N103" s="44"/>
      <c r="O103" s="45"/>
      <c r="P103" s="44"/>
      <c r="Q103" s="44"/>
      <c r="R103" s="18"/>
    </row>
    <row r="104" ht="15.75" customHeight="1">
      <c r="A104" s="44"/>
      <c r="B104" s="45"/>
      <c r="C104" s="56"/>
      <c r="D104" s="56"/>
      <c r="E104" s="56"/>
      <c r="F104" s="18" t="str">
        <f t="shared" ref="F104:G104" si="103">IF(OR(C104="",D104=""),"",D104-C104)</f>
        <v/>
      </c>
      <c r="G104" s="18" t="str">
        <f t="shared" si="103"/>
        <v/>
      </c>
      <c r="H104" s="18" t="str">
        <f t="shared" si="3"/>
        <v/>
      </c>
      <c r="I104" s="45"/>
      <c r="J104" s="57"/>
      <c r="K104" s="44"/>
      <c r="L104" s="18"/>
      <c r="M104" s="44"/>
      <c r="N104" s="44"/>
      <c r="O104" s="45"/>
      <c r="P104" s="44"/>
      <c r="Q104" s="44"/>
      <c r="R104" s="18"/>
    </row>
    <row r="105" ht="15.75" customHeight="1">
      <c r="A105" s="44"/>
      <c r="B105" s="45"/>
      <c r="C105" s="56"/>
      <c r="D105" s="56"/>
      <c r="E105" s="56"/>
      <c r="F105" s="18" t="str">
        <f t="shared" ref="F105:G105" si="104">IF(OR(C105="",D105=""),"",D105-C105)</f>
        <v/>
      </c>
      <c r="G105" s="18" t="str">
        <f t="shared" si="104"/>
        <v/>
      </c>
      <c r="H105" s="18" t="str">
        <f t="shared" si="3"/>
        <v/>
      </c>
      <c r="I105" s="45"/>
      <c r="J105" s="57"/>
      <c r="K105" s="44"/>
      <c r="L105" s="18"/>
      <c r="M105" s="44"/>
      <c r="N105" s="44"/>
      <c r="O105" s="45"/>
      <c r="P105" s="44"/>
      <c r="Q105" s="44"/>
      <c r="R105" s="18"/>
    </row>
    <row r="106" ht="15.75" customHeight="1">
      <c r="A106" s="44"/>
      <c r="B106" s="45"/>
      <c r="C106" s="56"/>
      <c r="D106" s="56"/>
      <c r="E106" s="56"/>
      <c r="F106" s="18" t="str">
        <f t="shared" ref="F106:G106" si="105">IF(OR(C106="",D106=""),"",D106-C106)</f>
        <v/>
      </c>
      <c r="G106" s="18" t="str">
        <f t="shared" si="105"/>
        <v/>
      </c>
      <c r="H106" s="18" t="str">
        <f t="shared" si="3"/>
        <v/>
      </c>
      <c r="I106" s="45"/>
      <c r="J106" s="57"/>
      <c r="K106" s="44"/>
      <c r="L106" s="18"/>
      <c r="M106" s="44"/>
      <c r="N106" s="44"/>
      <c r="O106" s="45"/>
      <c r="P106" s="44"/>
      <c r="Q106" s="44"/>
      <c r="R106" s="18"/>
    </row>
    <row r="107" ht="15.75" customHeight="1">
      <c r="A107" s="44"/>
      <c r="B107" s="45"/>
      <c r="C107" s="56"/>
      <c r="D107" s="56"/>
      <c r="E107" s="56"/>
      <c r="F107" s="18" t="str">
        <f t="shared" ref="F107:G107" si="106">IF(OR(C107="",D107=""),"",D107-C107)</f>
        <v/>
      </c>
      <c r="G107" s="18" t="str">
        <f t="shared" si="106"/>
        <v/>
      </c>
      <c r="H107" s="18" t="str">
        <f t="shared" si="3"/>
        <v/>
      </c>
      <c r="I107" s="45"/>
      <c r="J107" s="57"/>
      <c r="K107" s="44"/>
      <c r="L107" s="18"/>
      <c r="M107" s="44"/>
      <c r="N107" s="44"/>
      <c r="O107" s="45"/>
      <c r="P107" s="44"/>
      <c r="Q107" s="44"/>
      <c r="R107" s="18"/>
    </row>
    <row r="108" ht="15.75" customHeight="1">
      <c r="A108" s="44"/>
      <c r="B108" s="45"/>
      <c r="C108" s="56"/>
      <c r="D108" s="56"/>
      <c r="E108" s="56"/>
      <c r="F108" s="18" t="str">
        <f t="shared" ref="F108:G108" si="107">IF(OR(C108="",D108=""),"",D108-C108)</f>
        <v/>
      </c>
      <c r="G108" s="18" t="str">
        <f t="shared" si="107"/>
        <v/>
      </c>
      <c r="H108" s="18" t="str">
        <f t="shared" si="3"/>
        <v/>
      </c>
      <c r="I108" s="45"/>
      <c r="J108" s="57"/>
      <c r="K108" s="44"/>
      <c r="L108" s="18"/>
      <c r="M108" s="44"/>
      <c r="N108" s="44"/>
      <c r="O108" s="45"/>
      <c r="P108" s="44"/>
      <c r="Q108" s="44"/>
      <c r="R108" s="18"/>
    </row>
    <row r="109" ht="15.75" customHeight="1">
      <c r="A109" s="44"/>
      <c r="B109" s="45"/>
      <c r="C109" s="56"/>
      <c r="D109" s="56"/>
      <c r="E109" s="56"/>
      <c r="F109" s="18" t="str">
        <f t="shared" ref="F109:G109" si="108">IF(OR(C109="",D109=""),"",D109-C109)</f>
        <v/>
      </c>
      <c r="G109" s="18" t="str">
        <f t="shared" si="108"/>
        <v/>
      </c>
      <c r="H109" s="18" t="str">
        <f t="shared" si="3"/>
        <v/>
      </c>
      <c r="I109" s="45"/>
      <c r="J109" s="57"/>
      <c r="K109" s="44"/>
      <c r="L109" s="18"/>
      <c r="M109" s="44"/>
      <c r="N109" s="44"/>
      <c r="O109" s="45"/>
      <c r="P109" s="44"/>
      <c r="Q109" s="44"/>
      <c r="R109" s="18"/>
    </row>
    <row r="110" ht="15.75" customHeight="1">
      <c r="A110" s="44"/>
      <c r="B110" s="45"/>
      <c r="C110" s="56"/>
      <c r="D110" s="56"/>
      <c r="E110" s="56"/>
      <c r="F110" s="18" t="str">
        <f t="shared" ref="F110:G110" si="109">IF(OR(C110="",D110=""),"",D110-C110)</f>
        <v/>
      </c>
      <c r="G110" s="18" t="str">
        <f t="shared" si="109"/>
        <v/>
      </c>
      <c r="H110" s="18" t="str">
        <f t="shared" si="3"/>
        <v/>
      </c>
      <c r="I110" s="45"/>
      <c r="J110" s="57"/>
      <c r="K110" s="44"/>
      <c r="L110" s="18"/>
      <c r="M110" s="44"/>
      <c r="N110" s="44"/>
      <c r="O110" s="45"/>
      <c r="P110" s="44"/>
      <c r="Q110" s="44"/>
      <c r="R110" s="18"/>
    </row>
    <row r="111" ht="15.75" customHeight="1">
      <c r="A111" s="44"/>
      <c r="B111" s="45"/>
      <c r="C111" s="56"/>
      <c r="D111" s="56"/>
      <c r="E111" s="56"/>
      <c r="F111" s="18" t="str">
        <f t="shared" ref="F111:G111" si="110">IF(OR(C111="",D111=""),"",D111-C111)</f>
        <v/>
      </c>
      <c r="G111" s="18" t="str">
        <f t="shared" si="110"/>
        <v/>
      </c>
      <c r="H111" s="18" t="str">
        <f t="shared" si="3"/>
        <v/>
      </c>
      <c r="I111" s="45"/>
      <c r="J111" s="57"/>
      <c r="K111" s="44"/>
      <c r="L111" s="18"/>
      <c r="M111" s="44"/>
      <c r="N111" s="44"/>
      <c r="O111" s="45"/>
      <c r="P111" s="44"/>
      <c r="Q111" s="44"/>
      <c r="R111" s="18"/>
    </row>
    <row r="112" ht="15.75" customHeight="1">
      <c r="A112" s="44"/>
      <c r="B112" s="45"/>
      <c r="C112" s="56"/>
      <c r="D112" s="56"/>
      <c r="E112" s="56"/>
      <c r="F112" s="18" t="str">
        <f t="shared" ref="F112:G112" si="111">IF(OR(C112="",D112=""),"",D112-C112)</f>
        <v/>
      </c>
      <c r="G112" s="18" t="str">
        <f t="shared" si="111"/>
        <v/>
      </c>
      <c r="H112" s="18" t="str">
        <f t="shared" si="3"/>
        <v/>
      </c>
      <c r="I112" s="45"/>
      <c r="J112" s="57"/>
      <c r="K112" s="44"/>
      <c r="L112" s="18"/>
      <c r="M112" s="44"/>
      <c r="N112" s="44"/>
      <c r="O112" s="45"/>
      <c r="P112" s="44"/>
      <c r="Q112" s="44"/>
      <c r="R112" s="18"/>
    </row>
    <row r="113" ht="15.75" customHeight="1">
      <c r="A113" s="44"/>
      <c r="B113" s="45"/>
      <c r="C113" s="56"/>
      <c r="D113" s="56"/>
      <c r="E113" s="56"/>
      <c r="F113" s="18" t="str">
        <f t="shared" ref="F113:G113" si="112">IF(OR(C113="",D113=""),"",D113-C113)</f>
        <v/>
      </c>
      <c r="G113" s="18" t="str">
        <f t="shared" si="112"/>
        <v/>
      </c>
      <c r="H113" s="18" t="str">
        <f t="shared" si="3"/>
        <v/>
      </c>
      <c r="I113" s="45"/>
      <c r="J113" s="57"/>
      <c r="K113" s="44"/>
      <c r="L113" s="18"/>
      <c r="M113" s="44"/>
      <c r="N113" s="44"/>
      <c r="O113" s="45"/>
      <c r="P113" s="44"/>
      <c r="Q113" s="44"/>
      <c r="R113" s="18"/>
    </row>
    <row r="114" ht="15.75" customHeight="1">
      <c r="A114" s="44"/>
      <c r="B114" s="45"/>
      <c r="C114" s="56"/>
      <c r="D114" s="56"/>
      <c r="E114" s="56"/>
      <c r="F114" s="18" t="str">
        <f t="shared" ref="F114:G114" si="113">IF(OR(C114="",D114=""),"",D114-C114)</f>
        <v/>
      </c>
      <c r="G114" s="18" t="str">
        <f t="shared" si="113"/>
        <v/>
      </c>
      <c r="H114" s="18" t="str">
        <f t="shared" si="3"/>
        <v/>
      </c>
      <c r="I114" s="45"/>
      <c r="J114" s="57"/>
      <c r="K114" s="44"/>
      <c r="L114" s="18"/>
      <c r="M114" s="44"/>
      <c r="N114" s="44"/>
      <c r="O114" s="45"/>
      <c r="P114" s="44"/>
      <c r="Q114" s="44"/>
      <c r="R114" s="18"/>
    </row>
    <row r="115" ht="15.75" customHeight="1">
      <c r="A115" s="44"/>
      <c r="B115" s="45"/>
      <c r="C115" s="56"/>
      <c r="D115" s="56"/>
      <c r="E115" s="56"/>
      <c r="F115" s="18" t="str">
        <f t="shared" ref="F115:G115" si="114">IF(OR(C115="",D115=""),"",D115-C115)</f>
        <v/>
      </c>
      <c r="G115" s="18" t="str">
        <f t="shared" si="114"/>
        <v/>
      </c>
      <c r="H115" s="18" t="str">
        <f t="shared" si="3"/>
        <v/>
      </c>
      <c r="I115" s="45"/>
      <c r="J115" s="57"/>
      <c r="K115" s="44"/>
      <c r="L115" s="18"/>
      <c r="M115" s="44"/>
      <c r="N115" s="44"/>
      <c r="O115" s="45"/>
      <c r="P115" s="44"/>
      <c r="Q115" s="44"/>
      <c r="R115" s="18"/>
    </row>
    <row r="116" ht="15.75" customHeight="1">
      <c r="A116" s="44"/>
      <c r="B116" s="45"/>
      <c r="C116" s="56"/>
      <c r="D116" s="56"/>
      <c r="E116" s="56"/>
      <c r="F116" s="18" t="str">
        <f t="shared" ref="F116:G116" si="115">IF(OR(C116="",D116=""),"",D116-C116)</f>
        <v/>
      </c>
      <c r="G116" s="18" t="str">
        <f t="shared" si="115"/>
        <v/>
      </c>
      <c r="H116" s="18" t="str">
        <f t="shared" si="3"/>
        <v/>
      </c>
      <c r="I116" s="45"/>
      <c r="J116" s="57"/>
      <c r="K116" s="44"/>
      <c r="L116" s="18"/>
      <c r="M116" s="44"/>
      <c r="N116" s="44"/>
      <c r="O116" s="45"/>
      <c r="P116" s="44"/>
      <c r="Q116" s="44"/>
      <c r="R116" s="18"/>
    </row>
    <row r="117" ht="15.75" customHeight="1">
      <c r="A117" s="44"/>
      <c r="B117" s="45"/>
      <c r="C117" s="56"/>
      <c r="D117" s="56"/>
      <c r="E117" s="56"/>
      <c r="F117" s="18" t="str">
        <f t="shared" ref="F117:G117" si="116">IF(OR(C117="",D117=""),"",D117-C117)</f>
        <v/>
      </c>
      <c r="G117" s="18" t="str">
        <f t="shared" si="116"/>
        <v/>
      </c>
      <c r="H117" s="18" t="str">
        <f t="shared" si="3"/>
        <v/>
      </c>
      <c r="I117" s="45"/>
      <c r="J117" s="57"/>
      <c r="K117" s="44"/>
      <c r="L117" s="18"/>
      <c r="M117" s="44"/>
      <c r="N117" s="44"/>
      <c r="O117" s="45"/>
      <c r="P117" s="44"/>
      <c r="Q117" s="44"/>
      <c r="R117" s="18"/>
    </row>
    <row r="118" ht="15.75" customHeight="1">
      <c r="A118" s="44"/>
      <c r="B118" s="45"/>
      <c r="C118" s="56"/>
      <c r="D118" s="56"/>
      <c r="E118" s="56"/>
      <c r="F118" s="18" t="str">
        <f t="shared" ref="F118:G118" si="117">IF(OR(C118="",D118=""),"",D118-C118)</f>
        <v/>
      </c>
      <c r="G118" s="18" t="str">
        <f t="shared" si="117"/>
        <v/>
      </c>
      <c r="H118" s="18" t="str">
        <f t="shared" si="3"/>
        <v/>
      </c>
      <c r="I118" s="45"/>
      <c r="J118" s="57"/>
      <c r="K118" s="44"/>
      <c r="L118" s="18"/>
      <c r="M118" s="44"/>
      <c r="N118" s="44"/>
      <c r="O118" s="45"/>
      <c r="P118" s="44"/>
      <c r="Q118" s="44"/>
      <c r="R118" s="18"/>
    </row>
    <row r="119" ht="15.75" customHeight="1">
      <c r="A119" s="44"/>
      <c r="B119" s="45"/>
      <c r="C119" s="56"/>
      <c r="D119" s="56"/>
      <c r="E119" s="56"/>
      <c r="F119" s="18" t="str">
        <f t="shared" ref="F119:G119" si="118">IF(OR(C119="",D119=""),"",D119-C119)</f>
        <v/>
      </c>
      <c r="G119" s="18" t="str">
        <f t="shared" si="118"/>
        <v/>
      </c>
      <c r="H119" s="18" t="str">
        <f t="shared" si="3"/>
        <v/>
      </c>
      <c r="I119" s="45"/>
      <c r="J119" s="57"/>
      <c r="K119" s="44"/>
      <c r="L119" s="18"/>
      <c r="M119" s="44"/>
      <c r="N119" s="44"/>
      <c r="O119" s="45"/>
      <c r="P119" s="44"/>
      <c r="Q119" s="44"/>
      <c r="R119" s="18"/>
    </row>
    <row r="120" ht="15.75" customHeight="1">
      <c r="A120" s="44"/>
      <c r="B120" s="45"/>
      <c r="C120" s="56"/>
      <c r="D120" s="56"/>
      <c r="E120" s="56"/>
      <c r="F120" s="18" t="str">
        <f t="shared" ref="F120:G120" si="119">IF(OR(C120="",D120=""),"",D120-C120)</f>
        <v/>
      </c>
      <c r="G120" s="18" t="str">
        <f t="shared" si="119"/>
        <v/>
      </c>
      <c r="H120" s="18" t="str">
        <f t="shared" si="3"/>
        <v/>
      </c>
      <c r="I120" s="45"/>
      <c r="J120" s="57"/>
      <c r="K120" s="44"/>
      <c r="L120" s="18"/>
      <c r="M120" s="44"/>
      <c r="N120" s="44"/>
      <c r="O120" s="45"/>
      <c r="P120" s="44"/>
      <c r="Q120" s="44"/>
      <c r="R120" s="18"/>
    </row>
    <row r="121" ht="15.75" customHeight="1">
      <c r="A121" s="44"/>
      <c r="B121" s="45"/>
      <c r="C121" s="56"/>
      <c r="D121" s="56"/>
      <c r="E121" s="56"/>
      <c r="F121" s="18" t="str">
        <f t="shared" ref="F121:G121" si="120">IF(OR(C121="",D121=""),"",D121-C121)</f>
        <v/>
      </c>
      <c r="G121" s="18" t="str">
        <f t="shared" si="120"/>
        <v/>
      </c>
      <c r="H121" s="18" t="str">
        <f t="shared" si="3"/>
        <v/>
      </c>
      <c r="I121" s="45"/>
      <c r="J121" s="57"/>
      <c r="K121" s="44"/>
      <c r="L121" s="18"/>
      <c r="M121" s="44"/>
      <c r="N121" s="44"/>
      <c r="O121" s="45"/>
      <c r="P121" s="44"/>
      <c r="Q121" s="44"/>
      <c r="R121" s="18"/>
    </row>
    <row r="122" ht="15.75" customHeight="1">
      <c r="A122" s="44"/>
      <c r="B122" s="45"/>
      <c r="C122" s="56"/>
      <c r="D122" s="56"/>
      <c r="E122" s="56"/>
      <c r="F122" s="18" t="str">
        <f t="shared" ref="F122:G122" si="121">IF(OR(C122="",D122=""),"",D122-C122)</f>
        <v/>
      </c>
      <c r="G122" s="18" t="str">
        <f t="shared" si="121"/>
        <v/>
      </c>
      <c r="H122" s="18" t="str">
        <f t="shared" si="3"/>
        <v/>
      </c>
      <c r="I122" s="45"/>
      <c r="J122" s="57"/>
      <c r="K122" s="44"/>
      <c r="L122" s="18"/>
      <c r="M122" s="44"/>
      <c r="N122" s="44"/>
      <c r="O122" s="45"/>
      <c r="P122" s="44"/>
      <c r="Q122" s="44"/>
      <c r="R122" s="18"/>
    </row>
    <row r="123" ht="15.75" customHeight="1">
      <c r="A123" s="44"/>
      <c r="B123" s="45"/>
      <c r="C123" s="56"/>
      <c r="D123" s="56"/>
      <c r="E123" s="56"/>
      <c r="F123" s="18" t="str">
        <f t="shared" ref="F123:G123" si="122">IF(OR(C123="",D123=""),"",D123-C123)</f>
        <v/>
      </c>
      <c r="G123" s="18" t="str">
        <f t="shared" si="122"/>
        <v/>
      </c>
      <c r="H123" s="18" t="str">
        <f t="shared" si="3"/>
        <v/>
      </c>
      <c r="I123" s="45"/>
      <c r="J123" s="57"/>
      <c r="K123" s="44"/>
      <c r="L123" s="18"/>
      <c r="M123" s="44"/>
      <c r="N123" s="44"/>
      <c r="O123" s="45"/>
      <c r="P123" s="44"/>
      <c r="Q123" s="44"/>
      <c r="R123" s="18"/>
    </row>
    <row r="124" ht="15.75" customHeight="1">
      <c r="A124" s="44"/>
      <c r="B124" s="45"/>
      <c r="C124" s="56"/>
      <c r="D124" s="56"/>
      <c r="E124" s="56"/>
      <c r="F124" s="18" t="str">
        <f t="shared" ref="F124:G124" si="123">IF(OR(C124="",D124=""),"",D124-C124)</f>
        <v/>
      </c>
      <c r="G124" s="18" t="str">
        <f t="shared" si="123"/>
        <v/>
      </c>
      <c r="H124" s="18" t="str">
        <f t="shared" si="3"/>
        <v/>
      </c>
      <c r="I124" s="45"/>
      <c r="J124" s="57"/>
      <c r="K124" s="44"/>
      <c r="L124" s="18"/>
      <c r="M124" s="44"/>
      <c r="N124" s="44"/>
      <c r="O124" s="45"/>
      <c r="P124" s="44"/>
      <c r="Q124" s="44"/>
      <c r="R124" s="18"/>
    </row>
    <row r="125" ht="15.75" customHeight="1">
      <c r="A125" s="44"/>
      <c r="B125" s="45"/>
      <c r="C125" s="56"/>
      <c r="D125" s="56"/>
      <c r="E125" s="56"/>
      <c r="F125" s="18" t="str">
        <f t="shared" ref="F125:G125" si="124">IF(OR(C125="",D125=""),"",D125-C125)</f>
        <v/>
      </c>
      <c r="G125" s="18" t="str">
        <f t="shared" si="124"/>
        <v/>
      </c>
      <c r="H125" s="18" t="str">
        <f t="shared" si="3"/>
        <v/>
      </c>
      <c r="I125" s="45"/>
      <c r="J125" s="57"/>
      <c r="K125" s="44"/>
      <c r="L125" s="18"/>
      <c r="M125" s="44"/>
      <c r="N125" s="44"/>
      <c r="O125" s="45"/>
      <c r="P125" s="44"/>
      <c r="Q125" s="44"/>
      <c r="R125" s="18"/>
    </row>
    <row r="126" ht="15.75" customHeight="1">
      <c r="A126" s="44"/>
      <c r="B126" s="45"/>
      <c r="C126" s="56"/>
      <c r="D126" s="56"/>
      <c r="E126" s="56"/>
      <c r="F126" s="18" t="str">
        <f t="shared" ref="F126:G126" si="125">IF(OR(C126="",D126=""),"",D126-C126)</f>
        <v/>
      </c>
      <c r="G126" s="18" t="str">
        <f t="shared" si="125"/>
        <v/>
      </c>
      <c r="H126" s="18" t="str">
        <f t="shared" si="3"/>
        <v/>
      </c>
      <c r="I126" s="45"/>
      <c r="J126" s="57"/>
      <c r="K126" s="44"/>
      <c r="L126" s="18"/>
      <c r="M126" s="44"/>
      <c r="N126" s="44"/>
      <c r="O126" s="45"/>
      <c r="P126" s="44"/>
      <c r="Q126" s="44"/>
      <c r="R126" s="18"/>
    </row>
    <row r="127" ht="15.75" customHeight="1">
      <c r="A127" s="44"/>
      <c r="B127" s="45"/>
      <c r="C127" s="56"/>
      <c r="D127" s="56"/>
      <c r="E127" s="56"/>
      <c r="F127" s="18" t="str">
        <f t="shared" ref="F127:G127" si="126">IF(OR(C127="",D127=""),"",D127-C127)</f>
        <v/>
      </c>
      <c r="G127" s="18" t="str">
        <f t="shared" si="126"/>
        <v/>
      </c>
      <c r="H127" s="18" t="str">
        <f t="shared" si="3"/>
        <v/>
      </c>
      <c r="I127" s="45"/>
      <c r="J127" s="57"/>
      <c r="K127" s="44"/>
      <c r="L127" s="18"/>
      <c r="M127" s="44"/>
      <c r="N127" s="44"/>
      <c r="O127" s="45"/>
      <c r="P127" s="44"/>
      <c r="Q127" s="44"/>
      <c r="R127" s="18"/>
    </row>
    <row r="128" ht="15.75" customHeight="1">
      <c r="A128" s="44"/>
      <c r="B128" s="45"/>
      <c r="C128" s="56"/>
      <c r="D128" s="56"/>
      <c r="E128" s="56"/>
      <c r="F128" s="18" t="str">
        <f t="shared" ref="F128:G128" si="127">IF(OR(C128="",D128=""),"",D128-C128)</f>
        <v/>
      </c>
      <c r="G128" s="18" t="str">
        <f t="shared" si="127"/>
        <v/>
      </c>
      <c r="H128" s="18" t="str">
        <f t="shared" si="3"/>
        <v/>
      </c>
      <c r="I128" s="45"/>
      <c r="J128" s="57"/>
      <c r="K128" s="44"/>
      <c r="L128" s="18"/>
      <c r="M128" s="44"/>
      <c r="N128" s="44"/>
      <c r="O128" s="45"/>
      <c r="P128" s="44"/>
      <c r="Q128" s="44"/>
      <c r="R128" s="18"/>
    </row>
    <row r="129" ht="15.75" customHeight="1">
      <c r="A129" s="44"/>
      <c r="B129" s="45"/>
      <c r="C129" s="56"/>
      <c r="D129" s="56"/>
      <c r="E129" s="56"/>
      <c r="F129" s="18" t="str">
        <f t="shared" ref="F129:G129" si="128">IF(OR(C129="",D129=""),"",D129-C129)</f>
        <v/>
      </c>
      <c r="G129" s="18" t="str">
        <f t="shared" si="128"/>
        <v/>
      </c>
      <c r="H129" s="18" t="str">
        <f t="shared" si="3"/>
        <v/>
      </c>
      <c r="I129" s="45"/>
      <c r="J129" s="57"/>
      <c r="K129" s="44"/>
      <c r="L129" s="18"/>
      <c r="M129" s="44"/>
      <c r="N129" s="44"/>
      <c r="O129" s="45"/>
      <c r="P129" s="44"/>
      <c r="Q129" s="44"/>
      <c r="R129" s="18"/>
    </row>
    <row r="130" ht="15.75" customHeight="1">
      <c r="A130" s="44"/>
      <c r="B130" s="45"/>
      <c r="C130" s="56"/>
      <c r="D130" s="56"/>
      <c r="E130" s="56"/>
      <c r="F130" s="18" t="str">
        <f t="shared" ref="F130:G130" si="129">IF(OR(C130="",D130=""),"",D130-C130)</f>
        <v/>
      </c>
      <c r="G130" s="18" t="str">
        <f t="shared" si="129"/>
        <v/>
      </c>
      <c r="H130" s="18" t="str">
        <f t="shared" si="3"/>
        <v/>
      </c>
      <c r="I130" s="45"/>
      <c r="J130" s="57"/>
      <c r="K130" s="44"/>
      <c r="L130" s="18"/>
      <c r="M130" s="44"/>
      <c r="N130" s="44"/>
      <c r="O130" s="45"/>
      <c r="P130" s="44"/>
      <c r="Q130" s="44"/>
      <c r="R130" s="18"/>
    </row>
    <row r="131" ht="15.75" customHeight="1">
      <c r="A131" s="44"/>
      <c r="B131" s="45"/>
      <c r="C131" s="56"/>
      <c r="D131" s="56"/>
      <c r="E131" s="56"/>
      <c r="F131" s="18" t="str">
        <f t="shared" ref="F131:G131" si="130">IF(OR(C131="",D131=""),"",D131-C131)</f>
        <v/>
      </c>
      <c r="G131" s="18" t="str">
        <f t="shared" si="130"/>
        <v/>
      </c>
      <c r="H131" s="18" t="str">
        <f t="shared" si="3"/>
        <v/>
      </c>
      <c r="I131" s="45"/>
      <c r="J131" s="57"/>
      <c r="K131" s="44"/>
      <c r="L131" s="18"/>
      <c r="M131" s="44"/>
      <c r="N131" s="44"/>
      <c r="O131" s="45"/>
      <c r="P131" s="44"/>
      <c r="Q131" s="44"/>
      <c r="R131" s="18"/>
    </row>
    <row r="132" ht="15.75" customHeight="1">
      <c r="A132" s="44"/>
      <c r="B132" s="45"/>
      <c r="C132" s="56"/>
      <c r="D132" s="56"/>
      <c r="E132" s="56"/>
      <c r="F132" s="18" t="str">
        <f t="shared" ref="F132:G132" si="131">IF(OR(C132="",D132=""),"",D132-C132)</f>
        <v/>
      </c>
      <c r="G132" s="18" t="str">
        <f t="shared" si="131"/>
        <v/>
      </c>
      <c r="H132" s="18" t="str">
        <f t="shared" si="3"/>
        <v/>
      </c>
      <c r="I132" s="45"/>
      <c r="J132" s="57"/>
      <c r="K132" s="44"/>
      <c r="L132" s="18"/>
      <c r="M132" s="44"/>
      <c r="N132" s="44"/>
      <c r="O132" s="45"/>
      <c r="P132" s="44"/>
      <c r="Q132" s="44"/>
      <c r="R132" s="18"/>
    </row>
    <row r="133" ht="15.75" customHeight="1">
      <c r="A133" s="44"/>
      <c r="B133" s="45"/>
      <c r="C133" s="56"/>
      <c r="D133" s="56"/>
      <c r="E133" s="56"/>
      <c r="F133" s="18" t="str">
        <f t="shared" ref="F133:G133" si="132">IF(OR(C133="",D133=""),"",D133-C133)</f>
        <v/>
      </c>
      <c r="G133" s="18" t="str">
        <f t="shared" si="132"/>
        <v/>
      </c>
      <c r="H133" s="18" t="str">
        <f t="shared" si="3"/>
        <v/>
      </c>
      <c r="I133" s="45"/>
      <c r="J133" s="57"/>
      <c r="K133" s="44"/>
      <c r="L133" s="18"/>
      <c r="M133" s="44"/>
      <c r="N133" s="44"/>
      <c r="O133" s="45"/>
      <c r="P133" s="44"/>
      <c r="Q133" s="44"/>
      <c r="R133" s="18"/>
    </row>
    <row r="134" ht="15.75" customHeight="1">
      <c r="A134" s="44"/>
      <c r="B134" s="45"/>
      <c r="C134" s="56"/>
      <c r="D134" s="56"/>
      <c r="E134" s="56"/>
      <c r="F134" s="18" t="str">
        <f t="shared" ref="F134:G134" si="133">IF(OR(C134="",D134=""),"",D134-C134)</f>
        <v/>
      </c>
      <c r="G134" s="18" t="str">
        <f t="shared" si="133"/>
        <v/>
      </c>
      <c r="H134" s="18" t="str">
        <f t="shared" si="3"/>
        <v/>
      </c>
      <c r="I134" s="45"/>
      <c r="J134" s="57"/>
      <c r="K134" s="44"/>
      <c r="L134" s="18"/>
      <c r="M134" s="44"/>
      <c r="N134" s="44"/>
      <c r="O134" s="45"/>
      <c r="P134" s="44"/>
      <c r="Q134" s="44"/>
      <c r="R134" s="18"/>
    </row>
    <row r="135" ht="15.75" customHeight="1">
      <c r="A135" s="44"/>
      <c r="B135" s="45"/>
      <c r="C135" s="56"/>
      <c r="D135" s="56"/>
      <c r="E135" s="56"/>
      <c r="F135" s="18" t="str">
        <f t="shared" ref="F135:G135" si="134">IF(OR(C135="",D135=""),"",D135-C135)</f>
        <v/>
      </c>
      <c r="G135" s="18" t="str">
        <f t="shared" si="134"/>
        <v/>
      </c>
      <c r="H135" s="18" t="str">
        <f t="shared" si="3"/>
        <v/>
      </c>
      <c r="I135" s="45"/>
      <c r="J135" s="57"/>
      <c r="K135" s="44"/>
      <c r="L135" s="18"/>
      <c r="M135" s="44"/>
      <c r="N135" s="44"/>
      <c r="O135" s="45"/>
      <c r="P135" s="44"/>
      <c r="Q135" s="44"/>
      <c r="R135" s="18"/>
    </row>
    <row r="136" ht="15.75" customHeight="1">
      <c r="A136" s="44"/>
      <c r="B136" s="45"/>
      <c r="C136" s="56"/>
      <c r="D136" s="56"/>
      <c r="E136" s="56"/>
      <c r="F136" s="18" t="str">
        <f t="shared" ref="F136:G136" si="135">IF(OR(C136="",D136=""),"",D136-C136)</f>
        <v/>
      </c>
      <c r="G136" s="18" t="str">
        <f t="shared" si="135"/>
        <v/>
      </c>
      <c r="H136" s="18" t="str">
        <f t="shared" si="3"/>
        <v/>
      </c>
      <c r="I136" s="45"/>
      <c r="J136" s="57"/>
      <c r="K136" s="44"/>
      <c r="L136" s="18"/>
      <c r="M136" s="44"/>
      <c r="N136" s="44"/>
      <c r="O136" s="45"/>
      <c r="P136" s="44"/>
      <c r="Q136" s="44"/>
      <c r="R136" s="18"/>
    </row>
    <row r="137" ht="15.75" customHeight="1">
      <c r="A137" s="44"/>
      <c r="B137" s="45"/>
      <c r="C137" s="56"/>
      <c r="D137" s="56"/>
      <c r="E137" s="56"/>
      <c r="F137" s="18" t="str">
        <f t="shared" ref="F137:G137" si="136">IF(OR(C137="",D137=""),"",D137-C137)</f>
        <v/>
      </c>
      <c r="G137" s="18" t="str">
        <f t="shared" si="136"/>
        <v/>
      </c>
      <c r="H137" s="18" t="str">
        <f t="shared" si="3"/>
        <v/>
      </c>
      <c r="I137" s="45"/>
      <c r="J137" s="57"/>
      <c r="K137" s="44"/>
      <c r="L137" s="18"/>
      <c r="M137" s="44"/>
      <c r="N137" s="44"/>
      <c r="O137" s="45"/>
      <c r="P137" s="44"/>
      <c r="Q137" s="44"/>
      <c r="R137" s="18"/>
    </row>
    <row r="138" ht="15.75" customHeight="1">
      <c r="A138" s="44"/>
      <c r="B138" s="45"/>
      <c r="C138" s="56"/>
      <c r="D138" s="56"/>
      <c r="E138" s="56"/>
      <c r="F138" s="18" t="str">
        <f t="shared" ref="F138:G138" si="137">IF(OR(C138="",D138=""),"",D138-C138)</f>
        <v/>
      </c>
      <c r="G138" s="18" t="str">
        <f t="shared" si="137"/>
        <v/>
      </c>
      <c r="H138" s="18" t="str">
        <f t="shared" si="3"/>
        <v/>
      </c>
      <c r="I138" s="45"/>
      <c r="J138" s="57"/>
      <c r="K138" s="44"/>
      <c r="L138" s="18"/>
      <c r="M138" s="44"/>
      <c r="N138" s="44"/>
      <c r="O138" s="45"/>
      <c r="P138" s="44"/>
      <c r="Q138" s="44"/>
      <c r="R138" s="18"/>
    </row>
    <row r="139" ht="15.75" customHeight="1">
      <c r="A139" s="44"/>
      <c r="B139" s="45"/>
      <c r="C139" s="56"/>
      <c r="D139" s="56"/>
      <c r="E139" s="56"/>
      <c r="F139" s="18" t="str">
        <f t="shared" ref="F139:G139" si="138">IF(OR(C139="",D139=""),"",D139-C139)</f>
        <v/>
      </c>
      <c r="G139" s="18" t="str">
        <f t="shared" si="138"/>
        <v/>
      </c>
      <c r="H139" s="18" t="str">
        <f t="shared" si="3"/>
        <v/>
      </c>
      <c r="I139" s="45"/>
      <c r="J139" s="57"/>
      <c r="K139" s="44"/>
      <c r="L139" s="18"/>
      <c r="M139" s="44"/>
      <c r="N139" s="44"/>
      <c r="O139" s="45"/>
      <c r="P139" s="44"/>
      <c r="Q139" s="44"/>
      <c r="R139" s="18"/>
    </row>
    <row r="140" ht="15.75" customHeight="1">
      <c r="A140" s="44"/>
      <c r="B140" s="45"/>
      <c r="C140" s="56"/>
      <c r="D140" s="56"/>
      <c r="E140" s="56"/>
      <c r="F140" s="18" t="str">
        <f t="shared" ref="F140:G140" si="139">IF(OR(C140="",D140=""),"",D140-C140)</f>
        <v/>
      </c>
      <c r="G140" s="18" t="str">
        <f t="shared" si="139"/>
        <v/>
      </c>
      <c r="H140" s="18" t="str">
        <f t="shared" si="3"/>
        <v/>
      </c>
      <c r="I140" s="45"/>
      <c r="J140" s="57"/>
      <c r="K140" s="44"/>
      <c r="L140" s="18"/>
      <c r="M140" s="44"/>
      <c r="N140" s="44"/>
      <c r="O140" s="45"/>
      <c r="P140" s="44"/>
      <c r="Q140" s="44"/>
      <c r="R140" s="18"/>
    </row>
    <row r="141" ht="15.75" customHeight="1">
      <c r="A141" s="44"/>
      <c r="B141" s="45"/>
      <c r="C141" s="56"/>
      <c r="D141" s="56"/>
      <c r="E141" s="56"/>
      <c r="F141" s="18" t="str">
        <f t="shared" ref="F141:G141" si="140">IF(OR(C141="",D141=""),"",D141-C141)</f>
        <v/>
      </c>
      <c r="G141" s="18" t="str">
        <f t="shared" si="140"/>
        <v/>
      </c>
      <c r="H141" s="18" t="str">
        <f t="shared" si="3"/>
        <v/>
      </c>
      <c r="I141" s="45"/>
      <c r="J141" s="57"/>
      <c r="K141" s="44"/>
      <c r="L141" s="18"/>
      <c r="M141" s="44"/>
      <c r="N141" s="44"/>
      <c r="O141" s="45"/>
      <c r="P141" s="44"/>
      <c r="Q141" s="44"/>
      <c r="R141" s="18"/>
    </row>
    <row r="142" ht="15.75" customHeight="1">
      <c r="A142" s="44"/>
      <c r="B142" s="45"/>
      <c r="C142" s="56"/>
      <c r="D142" s="56"/>
      <c r="E142" s="56"/>
      <c r="F142" s="18" t="str">
        <f t="shared" ref="F142:G142" si="141">IF(OR(C142="",D142=""),"",D142-C142)</f>
        <v/>
      </c>
      <c r="G142" s="18" t="str">
        <f t="shared" si="141"/>
        <v/>
      </c>
      <c r="H142" s="18" t="str">
        <f t="shared" si="3"/>
        <v/>
      </c>
      <c r="I142" s="45"/>
      <c r="J142" s="57"/>
      <c r="K142" s="44"/>
      <c r="L142" s="18"/>
      <c r="M142" s="44"/>
      <c r="N142" s="44"/>
      <c r="O142" s="45"/>
      <c r="P142" s="44"/>
      <c r="Q142" s="44"/>
      <c r="R142" s="18"/>
    </row>
    <row r="143" ht="15.75" customHeight="1">
      <c r="A143" s="44"/>
      <c r="B143" s="45"/>
      <c r="C143" s="56"/>
      <c r="D143" s="56"/>
      <c r="E143" s="56"/>
      <c r="F143" s="18" t="str">
        <f t="shared" ref="F143:G143" si="142">IF(OR(C143="",D143=""),"",D143-C143)</f>
        <v/>
      </c>
      <c r="G143" s="18" t="str">
        <f t="shared" si="142"/>
        <v/>
      </c>
      <c r="H143" s="18" t="str">
        <f t="shared" si="3"/>
        <v/>
      </c>
      <c r="I143" s="45"/>
      <c r="J143" s="57"/>
      <c r="K143" s="44"/>
      <c r="L143" s="18"/>
      <c r="M143" s="44"/>
      <c r="N143" s="44"/>
      <c r="O143" s="45"/>
      <c r="P143" s="44"/>
      <c r="Q143" s="44"/>
      <c r="R143" s="18"/>
    </row>
    <row r="144" ht="15.75" customHeight="1">
      <c r="A144" s="44"/>
      <c r="B144" s="45"/>
      <c r="C144" s="56"/>
      <c r="D144" s="56"/>
      <c r="E144" s="56"/>
      <c r="F144" s="18" t="str">
        <f t="shared" ref="F144:G144" si="143">IF(OR(C144="",D144=""),"",D144-C144)</f>
        <v/>
      </c>
      <c r="G144" s="18" t="str">
        <f t="shared" si="143"/>
        <v/>
      </c>
      <c r="H144" s="18" t="str">
        <f t="shared" si="3"/>
        <v/>
      </c>
      <c r="I144" s="45"/>
      <c r="J144" s="57"/>
      <c r="K144" s="44"/>
      <c r="L144" s="18"/>
      <c r="M144" s="44"/>
      <c r="N144" s="44"/>
      <c r="O144" s="45"/>
      <c r="P144" s="44"/>
      <c r="Q144" s="44"/>
      <c r="R144" s="18"/>
    </row>
    <row r="145" ht="15.75" customHeight="1">
      <c r="A145" s="44"/>
      <c r="B145" s="45"/>
      <c r="C145" s="56"/>
      <c r="D145" s="56"/>
      <c r="E145" s="56"/>
      <c r="F145" s="18" t="str">
        <f t="shared" ref="F145:G145" si="144">IF(OR(C145="",D145=""),"",D145-C145)</f>
        <v/>
      </c>
      <c r="G145" s="18" t="str">
        <f t="shared" si="144"/>
        <v/>
      </c>
      <c r="H145" s="18" t="str">
        <f t="shared" si="3"/>
        <v/>
      </c>
      <c r="I145" s="45"/>
      <c r="J145" s="57"/>
      <c r="K145" s="44"/>
      <c r="L145" s="18"/>
      <c r="M145" s="44"/>
      <c r="N145" s="44"/>
      <c r="O145" s="45"/>
      <c r="P145" s="44"/>
      <c r="Q145" s="44"/>
      <c r="R145" s="18"/>
    </row>
    <row r="146" ht="15.75" customHeight="1">
      <c r="A146" s="44"/>
      <c r="B146" s="45"/>
      <c r="C146" s="56"/>
      <c r="D146" s="56"/>
      <c r="E146" s="56"/>
      <c r="F146" s="18" t="str">
        <f t="shared" ref="F146:G146" si="145">IF(OR(C146="",D146=""),"",D146-C146)</f>
        <v/>
      </c>
      <c r="G146" s="18" t="str">
        <f t="shared" si="145"/>
        <v/>
      </c>
      <c r="H146" s="18" t="str">
        <f t="shared" si="3"/>
        <v/>
      </c>
      <c r="I146" s="45"/>
      <c r="J146" s="57"/>
      <c r="K146" s="44"/>
      <c r="L146" s="18"/>
      <c r="M146" s="44"/>
      <c r="N146" s="44"/>
      <c r="O146" s="45"/>
      <c r="P146" s="44"/>
      <c r="Q146" s="44"/>
      <c r="R146" s="18"/>
    </row>
    <row r="147" ht="15.75" customHeight="1">
      <c r="A147" s="44"/>
      <c r="B147" s="45"/>
      <c r="C147" s="56"/>
      <c r="D147" s="56"/>
      <c r="E147" s="56"/>
      <c r="F147" s="18" t="str">
        <f t="shared" ref="F147:G147" si="146">IF(OR(C147="",D147=""),"",D147-C147)</f>
        <v/>
      </c>
      <c r="G147" s="18" t="str">
        <f t="shared" si="146"/>
        <v/>
      </c>
      <c r="H147" s="18" t="str">
        <f t="shared" si="3"/>
        <v/>
      </c>
      <c r="I147" s="45"/>
      <c r="J147" s="57"/>
      <c r="K147" s="44"/>
      <c r="L147" s="18"/>
      <c r="M147" s="44"/>
      <c r="N147" s="44"/>
      <c r="O147" s="45"/>
      <c r="P147" s="44"/>
      <c r="Q147" s="44"/>
      <c r="R147" s="18"/>
    </row>
    <row r="148" ht="15.75" customHeight="1">
      <c r="A148" s="44"/>
      <c r="B148" s="45"/>
      <c r="C148" s="56"/>
      <c r="D148" s="56"/>
      <c r="E148" s="56"/>
      <c r="F148" s="18" t="str">
        <f t="shared" ref="F148:G148" si="147">IF(OR(C148="",D148=""),"",D148-C148)</f>
        <v/>
      </c>
      <c r="G148" s="18" t="str">
        <f t="shared" si="147"/>
        <v/>
      </c>
      <c r="H148" s="18" t="str">
        <f t="shared" si="3"/>
        <v/>
      </c>
      <c r="I148" s="45"/>
      <c r="J148" s="57"/>
      <c r="K148" s="44"/>
      <c r="L148" s="18"/>
      <c r="M148" s="44"/>
      <c r="N148" s="44"/>
      <c r="O148" s="45"/>
      <c r="P148" s="44"/>
      <c r="Q148" s="44"/>
      <c r="R148" s="18"/>
    </row>
    <row r="149" ht="15.75" customHeight="1">
      <c r="A149" s="44"/>
      <c r="B149" s="45"/>
      <c r="C149" s="56"/>
      <c r="D149" s="56"/>
      <c r="E149" s="56"/>
      <c r="F149" s="18" t="str">
        <f t="shared" ref="F149:G149" si="148">IF(OR(C149="",D149=""),"",D149-C149)</f>
        <v/>
      </c>
      <c r="G149" s="18" t="str">
        <f t="shared" si="148"/>
        <v/>
      </c>
      <c r="H149" s="18" t="str">
        <f t="shared" si="3"/>
        <v/>
      </c>
      <c r="I149" s="45"/>
      <c r="J149" s="57"/>
      <c r="K149" s="44"/>
      <c r="L149" s="18"/>
      <c r="M149" s="44"/>
      <c r="N149" s="44"/>
      <c r="O149" s="45"/>
      <c r="P149" s="44"/>
      <c r="Q149" s="44"/>
      <c r="R149" s="18"/>
    </row>
    <row r="150" ht="15.75" customHeight="1">
      <c r="A150" s="44"/>
      <c r="B150" s="45"/>
      <c r="C150" s="56"/>
      <c r="D150" s="56"/>
      <c r="E150" s="56"/>
      <c r="F150" s="18" t="str">
        <f t="shared" ref="F150:G150" si="149">IF(OR(C150="",D150=""),"",D150-C150)</f>
        <v/>
      </c>
      <c r="G150" s="18" t="str">
        <f t="shared" si="149"/>
        <v/>
      </c>
      <c r="H150" s="18" t="str">
        <f t="shared" si="3"/>
        <v/>
      </c>
      <c r="I150" s="45"/>
      <c r="J150" s="57"/>
      <c r="K150" s="44"/>
      <c r="L150" s="18"/>
      <c r="M150" s="44"/>
      <c r="N150" s="44"/>
      <c r="O150" s="45"/>
      <c r="P150" s="44"/>
      <c r="Q150" s="44"/>
      <c r="R150" s="18"/>
    </row>
    <row r="151" ht="15.75" customHeight="1">
      <c r="A151" s="44"/>
      <c r="B151" s="45"/>
      <c r="C151" s="56"/>
      <c r="D151" s="56"/>
      <c r="E151" s="56"/>
      <c r="F151" s="18" t="str">
        <f t="shared" ref="F151:G151" si="150">IF(OR(C151="",D151=""),"",D151-C151)</f>
        <v/>
      </c>
      <c r="G151" s="18" t="str">
        <f t="shared" si="150"/>
        <v/>
      </c>
      <c r="H151" s="18" t="str">
        <f t="shared" si="3"/>
        <v/>
      </c>
      <c r="I151" s="45"/>
      <c r="J151" s="57"/>
      <c r="K151" s="44"/>
      <c r="L151" s="18"/>
      <c r="M151" s="44"/>
      <c r="N151" s="44"/>
      <c r="O151" s="45"/>
      <c r="P151" s="44"/>
      <c r="Q151" s="44"/>
      <c r="R151" s="18"/>
    </row>
    <row r="152" ht="15.75" customHeight="1">
      <c r="A152" s="44"/>
      <c r="B152" s="45"/>
      <c r="C152" s="56"/>
      <c r="D152" s="56"/>
      <c r="E152" s="56"/>
      <c r="F152" s="18" t="str">
        <f t="shared" ref="F152:G152" si="151">IF(OR(C152="",D152=""),"",D152-C152)</f>
        <v/>
      </c>
      <c r="G152" s="18" t="str">
        <f t="shared" si="151"/>
        <v/>
      </c>
      <c r="H152" s="18" t="str">
        <f t="shared" si="3"/>
        <v/>
      </c>
      <c r="I152" s="45"/>
      <c r="J152" s="57"/>
      <c r="K152" s="44"/>
      <c r="L152" s="18"/>
      <c r="M152" s="44"/>
      <c r="N152" s="44"/>
      <c r="O152" s="45"/>
      <c r="P152" s="44"/>
      <c r="Q152" s="44"/>
      <c r="R152" s="18"/>
    </row>
    <row r="153" ht="15.75" customHeight="1">
      <c r="A153" s="44"/>
      <c r="B153" s="45"/>
      <c r="C153" s="56"/>
      <c r="D153" s="56"/>
      <c r="E153" s="56"/>
      <c r="F153" s="18" t="str">
        <f t="shared" ref="F153:G153" si="152">IF(OR(C153="",D153=""),"",D153-C153)</f>
        <v/>
      </c>
      <c r="G153" s="18" t="str">
        <f t="shared" si="152"/>
        <v/>
      </c>
      <c r="H153" s="18" t="str">
        <f t="shared" si="3"/>
        <v/>
      </c>
      <c r="I153" s="45"/>
      <c r="J153" s="57"/>
      <c r="K153" s="44"/>
      <c r="L153" s="18"/>
      <c r="M153" s="44"/>
      <c r="N153" s="44"/>
      <c r="O153" s="45"/>
      <c r="P153" s="44"/>
      <c r="Q153" s="44"/>
      <c r="R153" s="18"/>
    </row>
    <row r="154" ht="15.75" customHeight="1">
      <c r="A154" s="44"/>
      <c r="B154" s="45"/>
      <c r="C154" s="56"/>
      <c r="D154" s="56"/>
      <c r="E154" s="56"/>
      <c r="F154" s="18" t="str">
        <f t="shared" ref="F154:G154" si="153">IF(OR(C154="",D154=""),"",D154-C154)</f>
        <v/>
      </c>
      <c r="G154" s="18" t="str">
        <f t="shared" si="153"/>
        <v/>
      </c>
      <c r="H154" s="18" t="str">
        <f t="shared" si="3"/>
        <v/>
      </c>
      <c r="I154" s="45"/>
      <c r="J154" s="57"/>
      <c r="K154" s="44"/>
      <c r="L154" s="18"/>
      <c r="M154" s="44"/>
      <c r="N154" s="44"/>
      <c r="O154" s="45"/>
      <c r="P154" s="44"/>
      <c r="Q154" s="44"/>
      <c r="R154" s="18"/>
    </row>
    <row r="155" ht="15.75" customHeight="1">
      <c r="A155" s="44"/>
      <c r="B155" s="45"/>
      <c r="C155" s="56"/>
      <c r="D155" s="56"/>
      <c r="E155" s="56"/>
      <c r="F155" s="18" t="str">
        <f t="shared" ref="F155:G155" si="154">IF(OR(C155="",D155=""),"",D155-C155)</f>
        <v/>
      </c>
      <c r="G155" s="18" t="str">
        <f t="shared" si="154"/>
        <v/>
      </c>
      <c r="H155" s="18" t="str">
        <f t="shared" si="3"/>
        <v/>
      </c>
      <c r="I155" s="45"/>
      <c r="J155" s="57"/>
      <c r="K155" s="44"/>
      <c r="L155" s="18"/>
      <c r="M155" s="44"/>
      <c r="N155" s="44"/>
      <c r="O155" s="45"/>
      <c r="P155" s="44"/>
      <c r="Q155" s="44"/>
      <c r="R155" s="18"/>
    </row>
    <row r="156" ht="15.75" customHeight="1">
      <c r="A156" s="44"/>
      <c r="B156" s="45"/>
      <c r="C156" s="56"/>
      <c r="D156" s="56"/>
      <c r="E156" s="56"/>
      <c r="F156" s="18" t="str">
        <f t="shared" ref="F156:G156" si="155">IF(OR(C156="",D156=""),"",D156-C156)</f>
        <v/>
      </c>
      <c r="G156" s="18" t="str">
        <f t="shared" si="155"/>
        <v/>
      </c>
      <c r="H156" s="18" t="str">
        <f t="shared" si="3"/>
        <v/>
      </c>
      <c r="I156" s="45"/>
      <c r="J156" s="57"/>
      <c r="K156" s="44"/>
      <c r="L156" s="18"/>
      <c r="M156" s="44"/>
      <c r="N156" s="44"/>
      <c r="O156" s="45"/>
      <c r="P156" s="44"/>
      <c r="Q156" s="44"/>
      <c r="R156" s="18"/>
    </row>
    <row r="157" ht="15.75" customHeight="1">
      <c r="A157" s="44"/>
      <c r="B157" s="45"/>
      <c r="C157" s="56"/>
      <c r="D157" s="56"/>
      <c r="E157" s="56"/>
      <c r="F157" s="18" t="str">
        <f t="shared" ref="F157:G157" si="156">IF(OR(C157="",D157=""),"",D157-C157)</f>
        <v/>
      </c>
      <c r="G157" s="18" t="str">
        <f t="shared" si="156"/>
        <v/>
      </c>
      <c r="H157" s="18" t="str">
        <f t="shared" si="3"/>
        <v/>
      </c>
      <c r="I157" s="45"/>
      <c r="J157" s="57"/>
      <c r="K157" s="44"/>
      <c r="L157" s="18"/>
      <c r="M157" s="44"/>
      <c r="N157" s="44"/>
      <c r="O157" s="45"/>
      <c r="P157" s="44"/>
      <c r="Q157" s="44"/>
      <c r="R157" s="18"/>
    </row>
    <row r="158" ht="15.75" customHeight="1">
      <c r="A158" s="44"/>
      <c r="B158" s="45"/>
      <c r="C158" s="56"/>
      <c r="D158" s="56"/>
      <c r="E158" s="56"/>
      <c r="F158" s="18" t="str">
        <f t="shared" ref="F158:G158" si="157">IF(OR(C158="",D158=""),"",D158-C158)</f>
        <v/>
      </c>
      <c r="G158" s="18" t="str">
        <f t="shared" si="157"/>
        <v/>
      </c>
      <c r="H158" s="18" t="str">
        <f t="shared" si="3"/>
        <v/>
      </c>
      <c r="I158" s="45"/>
      <c r="J158" s="57"/>
      <c r="K158" s="44"/>
      <c r="L158" s="18"/>
      <c r="M158" s="44"/>
      <c r="N158" s="44"/>
      <c r="O158" s="45"/>
      <c r="P158" s="44"/>
      <c r="Q158" s="44"/>
      <c r="R158" s="18"/>
    </row>
    <row r="159" ht="15.75" customHeight="1">
      <c r="A159" s="44"/>
      <c r="B159" s="45"/>
      <c r="C159" s="56"/>
      <c r="D159" s="56"/>
      <c r="E159" s="56"/>
      <c r="F159" s="18" t="str">
        <f t="shared" ref="F159:G159" si="158">IF(OR(C159="",D159=""),"",D159-C159)</f>
        <v/>
      </c>
      <c r="G159" s="18" t="str">
        <f t="shared" si="158"/>
        <v/>
      </c>
      <c r="H159" s="18" t="str">
        <f t="shared" si="3"/>
        <v/>
      </c>
      <c r="I159" s="45"/>
      <c r="J159" s="57"/>
      <c r="K159" s="44"/>
      <c r="L159" s="18"/>
      <c r="M159" s="44"/>
      <c r="N159" s="44"/>
      <c r="O159" s="45"/>
      <c r="P159" s="44"/>
      <c r="Q159" s="44"/>
      <c r="R159" s="18"/>
    </row>
    <row r="160" ht="15.75" customHeight="1">
      <c r="A160" s="44"/>
      <c r="B160" s="45"/>
      <c r="C160" s="56"/>
      <c r="D160" s="56"/>
      <c r="E160" s="56"/>
      <c r="F160" s="18" t="str">
        <f t="shared" ref="F160:G160" si="159">IF(OR(C160="",D160=""),"",D160-C160)</f>
        <v/>
      </c>
      <c r="G160" s="18" t="str">
        <f t="shared" si="159"/>
        <v/>
      </c>
      <c r="H160" s="18" t="str">
        <f t="shared" si="3"/>
        <v/>
      </c>
      <c r="I160" s="45"/>
      <c r="J160" s="57"/>
      <c r="K160" s="44"/>
      <c r="L160" s="18"/>
      <c r="M160" s="44"/>
      <c r="N160" s="44"/>
      <c r="O160" s="45"/>
      <c r="P160" s="44"/>
      <c r="Q160" s="44"/>
      <c r="R160" s="18"/>
    </row>
    <row r="161" ht="15.75" customHeight="1">
      <c r="A161" s="44"/>
      <c r="B161" s="45"/>
      <c r="C161" s="56"/>
      <c r="D161" s="56"/>
      <c r="E161" s="56"/>
      <c r="F161" s="18" t="str">
        <f t="shared" ref="F161:G161" si="160">IF(OR(C161="",D161=""),"",D161-C161)</f>
        <v/>
      </c>
      <c r="G161" s="18" t="str">
        <f t="shared" si="160"/>
        <v/>
      </c>
      <c r="H161" s="18" t="str">
        <f t="shared" si="3"/>
        <v/>
      </c>
      <c r="I161" s="45"/>
      <c r="J161" s="57"/>
      <c r="K161" s="44"/>
      <c r="L161" s="18"/>
      <c r="M161" s="44"/>
      <c r="N161" s="44"/>
      <c r="O161" s="45"/>
      <c r="P161" s="44"/>
      <c r="Q161" s="44"/>
      <c r="R161" s="18"/>
    </row>
    <row r="162" ht="15.75" customHeight="1">
      <c r="A162" s="44"/>
      <c r="B162" s="45"/>
      <c r="C162" s="56"/>
      <c r="D162" s="56"/>
      <c r="E162" s="56"/>
      <c r="F162" s="18" t="str">
        <f t="shared" ref="F162:G162" si="161">IF(OR(C162="",D162=""),"",D162-C162)</f>
        <v/>
      </c>
      <c r="G162" s="18" t="str">
        <f t="shared" si="161"/>
        <v/>
      </c>
      <c r="H162" s="18" t="str">
        <f t="shared" si="3"/>
        <v/>
      </c>
      <c r="I162" s="45"/>
      <c r="J162" s="57"/>
      <c r="K162" s="44"/>
      <c r="L162" s="18"/>
      <c r="M162" s="44"/>
      <c r="N162" s="44"/>
      <c r="O162" s="45"/>
      <c r="P162" s="44"/>
      <c r="Q162" s="44"/>
      <c r="R162" s="18"/>
    </row>
    <row r="163" ht="15.75" customHeight="1">
      <c r="A163" s="44"/>
      <c r="B163" s="45"/>
      <c r="C163" s="56"/>
      <c r="D163" s="56"/>
      <c r="E163" s="56"/>
      <c r="F163" s="18" t="str">
        <f t="shared" ref="F163:G163" si="162">IF(OR(C163="",D163=""),"",D163-C163)</f>
        <v/>
      </c>
      <c r="G163" s="18" t="str">
        <f t="shared" si="162"/>
        <v/>
      </c>
      <c r="H163" s="18" t="str">
        <f t="shared" si="3"/>
        <v/>
      </c>
      <c r="I163" s="45"/>
      <c r="J163" s="57"/>
      <c r="K163" s="44"/>
      <c r="L163" s="18"/>
      <c r="M163" s="44"/>
      <c r="N163" s="44"/>
      <c r="O163" s="45"/>
      <c r="P163" s="44"/>
      <c r="Q163" s="44"/>
      <c r="R163" s="18"/>
    </row>
    <row r="164" ht="15.75" customHeight="1">
      <c r="A164" s="44"/>
      <c r="B164" s="45"/>
      <c r="C164" s="56"/>
      <c r="D164" s="56"/>
      <c r="E164" s="56"/>
      <c r="F164" s="18" t="str">
        <f t="shared" ref="F164:G164" si="163">IF(OR(C164="",D164=""),"",D164-C164)</f>
        <v/>
      </c>
      <c r="G164" s="18" t="str">
        <f t="shared" si="163"/>
        <v/>
      </c>
      <c r="H164" s="18" t="str">
        <f t="shared" si="3"/>
        <v/>
      </c>
      <c r="I164" s="45"/>
      <c r="J164" s="57"/>
      <c r="K164" s="44"/>
      <c r="L164" s="18"/>
      <c r="M164" s="44"/>
      <c r="N164" s="44"/>
      <c r="O164" s="45"/>
      <c r="P164" s="44"/>
      <c r="Q164" s="44"/>
      <c r="R164" s="18"/>
    </row>
    <row r="165" ht="15.75" customHeight="1">
      <c r="A165" s="44"/>
      <c r="B165" s="45"/>
      <c r="C165" s="56"/>
      <c r="D165" s="56"/>
      <c r="E165" s="56"/>
      <c r="F165" s="18" t="str">
        <f t="shared" ref="F165:G165" si="164">IF(OR(C165="",D165=""),"",D165-C165)</f>
        <v/>
      </c>
      <c r="G165" s="18" t="str">
        <f t="shared" si="164"/>
        <v/>
      </c>
      <c r="H165" s="18" t="str">
        <f t="shared" si="3"/>
        <v/>
      </c>
      <c r="I165" s="45"/>
      <c r="J165" s="57"/>
      <c r="K165" s="44"/>
      <c r="L165" s="18"/>
      <c r="M165" s="44"/>
      <c r="N165" s="44"/>
      <c r="O165" s="45"/>
      <c r="P165" s="44"/>
      <c r="Q165" s="44"/>
      <c r="R165" s="18"/>
    </row>
    <row r="166" ht="15.75" customHeight="1">
      <c r="A166" s="44"/>
      <c r="B166" s="45"/>
      <c r="C166" s="56"/>
      <c r="D166" s="56"/>
      <c r="E166" s="56"/>
      <c r="F166" s="18" t="str">
        <f t="shared" ref="F166:G166" si="165">IF(OR(C166="",D166=""),"",D166-C166)</f>
        <v/>
      </c>
      <c r="G166" s="18" t="str">
        <f t="shared" si="165"/>
        <v/>
      </c>
      <c r="H166" s="18" t="str">
        <f t="shared" si="3"/>
        <v/>
      </c>
      <c r="I166" s="45"/>
      <c r="J166" s="57"/>
      <c r="K166" s="44"/>
      <c r="L166" s="18"/>
      <c r="M166" s="44"/>
      <c r="N166" s="44"/>
      <c r="O166" s="45"/>
      <c r="P166" s="44"/>
      <c r="Q166" s="44"/>
      <c r="R166" s="18"/>
    </row>
    <row r="167" ht="15.75" customHeight="1">
      <c r="A167" s="44"/>
      <c r="B167" s="45"/>
      <c r="C167" s="56"/>
      <c r="D167" s="56"/>
      <c r="E167" s="56"/>
      <c r="F167" s="18" t="str">
        <f t="shared" ref="F167:G167" si="166">IF(OR(C167="",D167=""),"",D167-C167)</f>
        <v/>
      </c>
      <c r="G167" s="18" t="str">
        <f t="shared" si="166"/>
        <v/>
      </c>
      <c r="H167" s="18" t="str">
        <f t="shared" si="3"/>
        <v/>
      </c>
      <c r="I167" s="45"/>
      <c r="J167" s="57"/>
      <c r="K167" s="44"/>
      <c r="L167" s="18"/>
      <c r="M167" s="44"/>
      <c r="N167" s="44"/>
      <c r="O167" s="45"/>
      <c r="P167" s="44"/>
      <c r="Q167" s="44"/>
      <c r="R167" s="18"/>
    </row>
    <row r="168" ht="15.75" customHeight="1">
      <c r="A168" s="44"/>
      <c r="B168" s="45"/>
      <c r="C168" s="56"/>
      <c r="D168" s="56"/>
      <c r="E168" s="56"/>
      <c r="F168" s="18" t="str">
        <f t="shared" ref="F168:G168" si="167">IF(OR(C168="",D168=""),"",D168-C168)</f>
        <v/>
      </c>
      <c r="G168" s="18" t="str">
        <f t="shared" si="167"/>
        <v/>
      </c>
      <c r="H168" s="18" t="str">
        <f t="shared" si="3"/>
        <v/>
      </c>
      <c r="I168" s="45"/>
      <c r="J168" s="57"/>
      <c r="K168" s="44"/>
      <c r="L168" s="18"/>
      <c r="M168" s="44"/>
      <c r="N168" s="44"/>
      <c r="O168" s="45"/>
      <c r="P168" s="44"/>
      <c r="Q168" s="44"/>
      <c r="R168" s="18"/>
    </row>
    <row r="169" ht="15.75" customHeight="1">
      <c r="A169" s="44"/>
      <c r="B169" s="45"/>
      <c r="C169" s="56"/>
      <c r="D169" s="56"/>
      <c r="E169" s="56"/>
      <c r="F169" s="18" t="str">
        <f t="shared" ref="F169:G169" si="168">IF(OR(C169="",D169=""),"",D169-C169)</f>
        <v/>
      </c>
      <c r="G169" s="18" t="str">
        <f t="shared" si="168"/>
        <v/>
      </c>
      <c r="H169" s="18" t="str">
        <f t="shared" si="3"/>
        <v/>
      </c>
      <c r="I169" s="45"/>
      <c r="J169" s="57"/>
      <c r="K169" s="44"/>
      <c r="L169" s="18"/>
      <c r="M169" s="44"/>
      <c r="N169" s="44"/>
      <c r="O169" s="45"/>
      <c r="P169" s="44"/>
      <c r="Q169" s="44"/>
      <c r="R169" s="18"/>
    </row>
    <row r="170" ht="15.75" customHeight="1">
      <c r="A170" s="44"/>
      <c r="B170" s="45"/>
      <c r="C170" s="56"/>
      <c r="D170" s="56"/>
      <c r="E170" s="56"/>
      <c r="F170" s="18" t="str">
        <f t="shared" ref="F170:G170" si="169">IF(OR(C170="",D170=""),"",D170-C170)</f>
        <v/>
      </c>
      <c r="G170" s="18" t="str">
        <f t="shared" si="169"/>
        <v/>
      </c>
      <c r="H170" s="18" t="str">
        <f t="shared" si="3"/>
        <v/>
      </c>
      <c r="I170" s="45"/>
      <c r="J170" s="57"/>
      <c r="K170" s="44"/>
      <c r="L170" s="18"/>
      <c r="M170" s="44"/>
      <c r="N170" s="44"/>
      <c r="O170" s="45"/>
      <c r="P170" s="44"/>
      <c r="Q170" s="44"/>
      <c r="R170" s="18"/>
    </row>
    <row r="171" ht="15.75" customHeight="1">
      <c r="A171" s="44"/>
      <c r="B171" s="45"/>
      <c r="C171" s="56"/>
      <c r="D171" s="56"/>
      <c r="E171" s="56"/>
      <c r="F171" s="18" t="str">
        <f t="shared" ref="F171:G171" si="170">IF(OR(C171="",D171=""),"",D171-C171)</f>
        <v/>
      </c>
      <c r="G171" s="18" t="str">
        <f t="shared" si="170"/>
        <v/>
      </c>
      <c r="H171" s="18" t="str">
        <f t="shared" si="3"/>
        <v/>
      </c>
      <c r="I171" s="45"/>
      <c r="J171" s="57"/>
      <c r="K171" s="44"/>
      <c r="L171" s="18"/>
      <c r="M171" s="44"/>
      <c r="N171" s="44"/>
      <c r="O171" s="45"/>
      <c r="P171" s="44"/>
      <c r="Q171" s="44"/>
      <c r="R171" s="18"/>
    </row>
    <row r="172" ht="15.75" customHeight="1">
      <c r="A172" s="44"/>
      <c r="B172" s="45"/>
      <c r="C172" s="56"/>
      <c r="D172" s="56"/>
      <c r="E172" s="56"/>
      <c r="F172" s="18" t="str">
        <f t="shared" ref="F172:G172" si="171">IF(OR(C172="",D172=""),"",D172-C172)</f>
        <v/>
      </c>
      <c r="G172" s="18" t="str">
        <f t="shared" si="171"/>
        <v/>
      </c>
      <c r="H172" s="18" t="str">
        <f t="shared" si="3"/>
        <v/>
      </c>
      <c r="I172" s="45"/>
      <c r="J172" s="57"/>
      <c r="K172" s="44"/>
      <c r="L172" s="18"/>
      <c r="M172" s="44"/>
      <c r="N172" s="44"/>
      <c r="O172" s="45"/>
      <c r="P172" s="44"/>
      <c r="Q172" s="44"/>
      <c r="R172" s="18"/>
    </row>
    <row r="173" ht="15.75" customHeight="1">
      <c r="A173" s="44"/>
      <c r="B173" s="45"/>
      <c r="C173" s="56"/>
      <c r="D173" s="56"/>
      <c r="E173" s="56"/>
      <c r="F173" s="18" t="str">
        <f t="shared" ref="F173:G173" si="172">IF(OR(C173="",D173=""),"",D173-C173)</f>
        <v/>
      </c>
      <c r="G173" s="18" t="str">
        <f t="shared" si="172"/>
        <v/>
      </c>
      <c r="H173" s="18" t="str">
        <f t="shared" si="3"/>
        <v/>
      </c>
      <c r="I173" s="45"/>
      <c r="J173" s="57"/>
      <c r="K173" s="44"/>
      <c r="L173" s="18"/>
      <c r="M173" s="44"/>
      <c r="N173" s="44"/>
      <c r="O173" s="45"/>
      <c r="P173" s="44"/>
      <c r="Q173" s="44"/>
      <c r="R173" s="18"/>
    </row>
    <row r="174" ht="15.75" customHeight="1">
      <c r="A174" s="44"/>
      <c r="B174" s="45"/>
      <c r="C174" s="56"/>
      <c r="D174" s="56"/>
      <c r="E174" s="56"/>
      <c r="F174" s="18" t="str">
        <f t="shared" ref="F174:G174" si="173">IF(OR(C174="",D174=""),"",D174-C174)</f>
        <v/>
      </c>
      <c r="G174" s="18" t="str">
        <f t="shared" si="173"/>
        <v/>
      </c>
      <c r="H174" s="18" t="str">
        <f t="shared" si="3"/>
        <v/>
      </c>
      <c r="I174" s="45"/>
      <c r="J174" s="57"/>
      <c r="K174" s="44"/>
      <c r="L174" s="18"/>
      <c r="M174" s="44"/>
      <c r="N174" s="44"/>
      <c r="O174" s="45"/>
      <c r="P174" s="44"/>
      <c r="Q174" s="44"/>
      <c r="R174" s="18"/>
    </row>
    <row r="175" ht="15.75" customHeight="1">
      <c r="A175" s="44"/>
      <c r="B175" s="45"/>
      <c r="C175" s="56"/>
      <c r="D175" s="56"/>
      <c r="E175" s="56"/>
      <c r="F175" s="18" t="str">
        <f t="shared" ref="F175:G175" si="174">IF(OR(C175="",D175=""),"",D175-C175)</f>
        <v/>
      </c>
      <c r="G175" s="18" t="str">
        <f t="shared" si="174"/>
        <v/>
      </c>
      <c r="H175" s="18" t="str">
        <f t="shared" si="3"/>
        <v/>
      </c>
      <c r="I175" s="45"/>
      <c r="J175" s="57"/>
      <c r="K175" s="44"/>
      <c r="L175" s="18"/>
      <c r="M175" s="44"/>
      <c r="N175" s="44"/>
      <c r="O175" s="45"/>
      <c r="P175" s="44"/>
      <c r="Q175" s="44"/>
      <c r="R175" s="18"/>
    </row>
    <row r="176" ht="15.75" customHeight="1">
      <c r="A176" s="44"/>
      <c r="B176" s="45"/>
      <c r="C176" s="56"/>
      <c r="D176" s="56"/>
      <c r="E176" s="56"/>
      <c r="F176" s="18" t="str">
        <f t="shared" ref="F176:G176" si="175">IF(OR(C176="",D176=""),"",D176-C176)</f>
        <v/>
      </c>
      <c r="G176" s="18" t="str">
        <f t="shared" si="175"/>
        <v/>
      </c>
      <c r="H176" s="18" t="str">
        <f t="shared" si="3"/>
        <v/>
      </c>
      <c r="I176" s="45"/>
      <c r="J176" s="57"/>
      <c r="K176" s="44"/>
      <c r="L176" s="18"/>
      <c r="M176" s="44"/>
      <c r="N176" s="44"/>
      <c r="O176" s="45"/>
      <c r="P176" s="44"/>
      <c r="Q176" s="44"/>
      <c r="R176" s="18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O177" s="3"/>
      <c r="P177" s="3"/>
      <c r="Q177" s="3"/>
      <c r="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O178" s="3"/>
      <c r="P178" s="3"/>
      <c r="Q178" s="3"/>
      <c r="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O179" s="3"/>
      <c r="P179" s="3"/>
      <c r="Q179" s="3"/>
      <c r="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O180" s="3"/>
      <c r="P180" s="3"/>
      <c r="Q180" s="3"/>
      <c r="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O181" s="3"/>
      <c r="P181" s="3"/>
      <c r="Q181" s="3"/>
      <c r="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O182" s="3"/>
      <c r="P182" s="3"/>
      <c r="Q182" s="3"/>
      <c r="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O183" s="3"/>
      <c r="P183" s="3"/>
      <c r="Q183" s="3"/>
      <c r="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O184" s="3"/>
      <c r="P184" s="3"/>
      <c r="Q184" s="3"/>
      <c r="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O185" s="3"/>
      <c r="P185" s="3"/>
      <c r="Q185" s="3"/>
      <c r="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O190" s="3"/>
      <c r="P190" s="3"/>
      <c r="Q190" s="3"/>
      <c r="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O191" s="3"/>
      <c r="P191" s="3"/>
      <c r="Q191" s="3"/>
      <c r="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O192" s="3"/>
      <c r="P192" s="3"/>
      <c r="Q192" s="3"/>
      <c r="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O193" s="3"/>
      <c r="P193" s="3"/>
      <c r="Q193" s="3"/>
      <c r="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O194" s="3"/>
      <c r="P194" s="3"/>
      <c r="Q194" s="3"/>
      <c r="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O195" s="3"/>
      <c r="P195" s="3"/>
      <c r="Q195" s="3"/>
      <c r="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O196" s="3"/>
      <c r="P196" s="3"/>
      <c r="Q196" s="3"/>
      <c r="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O197" s="3"/>
      <c r="P197" s="3"/>
      <c r="Q197" s="3"/>
      <c r="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O198" s="3"/>
      <c r="P198" s="3"/>
      <c r="Q198" s="3"/>
      <c r="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O199" s="3"/>
      <c r="P199" s="3"/>
      <c r="Q199" s="3"/>
      <c r="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O200" s="3"/>
      <c r="P200" s="3"/>
      <c r="Q200" s="3"/>
      <c r="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3"/>
      <c r="P201" s="3"/>
      <c r="Q201" s="3"/>
      <c r="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O202" s="3"/>
      <c r="P202" s="3"/>
      <c r="Q202" s="3"/>
      <c r="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O203" s="3"/>
      <c r="P203" s="3"/>
      <c r="Q203" s="3"/>
      <c r="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O204" s="3"/>
      <c r="P204" s="3"/>
      <c r="Q204" s="3"/>
      <c r="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O205" s="3"/>
      <c r="P205" s="3"/>
      <c r="Q205" s="3"/>
      <c r="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O206" s="3"/>
      <c r="P206" s="3"/>
      <c r="Q206" s="3"/>
      <c r="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O207" s="3"/>
      <c r="P207" s="3"/>
      <c r="Q207" s="3"/>
      <c r="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O208" s="3"/>
      <c r="P208" s="3"/>
      <c r="Q208" s="3"/>
      <c r="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O209" s="3"/>
      <c r="P209" s="3"/>
      <c r="Q209" s="3"/>
      <c r="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O210" s="3"/>
      <c r="P210" s="3"/>
      <c r="Q210" s="3"/>
      <c r="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O211" s="3"/>
      <c r="P211" s="3"/>
      <c r="Q211" s="3"/>
      <c r="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O212" s="3"/>
      <c r="P212" s="3"/>
      <c r="Q212" s="3"/>
      <c r="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O213" s="3"/>
      <c r="P213" s="3"/>
      <c r="Q213" s="3"/>
      <c r="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O214" s="3"/>
      <c r="P214" s="3"/>
      <c r="Q214" s="3"/>
      <c r="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O215" s="3"/>
      <c r="P215" s="3"/>
      <c r="Q215" s="3"/>
      <c r="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O216" s="3"/>
      <c r="P216" s="3"/>
      <c r="Q216" s="3"/>
      <c r="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O217" s="3"/>
      <c r="P217" s="3"/>
      <c r="Q217" s="3"/>
      <c r="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O218" s="3"/>
      <c r="P218" s="3"/>
      <c r="Q218" s="3"/>
      <c r="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O219" s="3"/>
      <c r="P219" s="3"/>
      <c r="Q219" s="3"/>
      <c r="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O220" s="3"/>
      <c r="P220" s="3"/>
      <c r="Q220" s="3"/>
      <c r="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O221" s="3"/>
      <c r="P221" s="3"/>
      <c r="Q221" s="3"/>
      <c r="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O222" s="3"/>
      <c r="P222" s="3"/>
      <c r="Q222" s="3"/>
      <c r="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O223" s="3"/>
      <c r="P223" s="3"/>
      <c r="Q223" s="3"/>
      <c r="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O224" s="3"/>
      <c r="P224" s="3"/>
      <c r="Q224" s="3"/>
      <c r="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O225" s="3"/>
      <c r="P225" s="3"/>
      <c r="Q225" s="3"/>
      <c r="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O226" s="3"/>
      <c r="P226" s="3"/>
      <c r="Q226" s="3"/>
      <c r="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  <c r="P227" s="3"/>
      <c r="Q227" s="3"/>
      <c r="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  <c r="P228" s="3"/>
      <c r="Q228" s="3"/>
      <c r="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  <c r="P229" s="3"/>
      <c r="Q229" s="3"/>
      <c r="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  <c r="P230" s="3"/>
      <c r="Q230" s="3"/>
      <c r="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O231" s="3"/>
      <c r="P231" s="3"/>
      <c r="Q231" s="3"/>
      <c r="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O232" s="3"/>
      <c r="P232" s="3"/>
      <c r="Q232" s="3"/>
      <c r="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O233" s="3"/>
      <c r="P233" s="3"/>
      <c r="Q233" s="3"/>
      <c r="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O234" s="3"/>
      <c r="P234" s="3"/>
      <c r="Q234" s="3"/>
      <c r="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O235" s="3"/>
      <c r="P235" s="3"/>
      <c r="Q235" s="3"/>
      <c r="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O236" s="3"/>
      <c r="P236" s="3"/>
      <c r="Q236" s="3"/>
      <c r="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O237" s="3"/>
      <c r="P237" s="3"/>
      <c r="Q237" s="3"/>
      <c r="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O238" s="3"/>
      <c r="P238" s="3"/>
      <c r="Q238" s="3"/>
      <c r="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O239" s="3"/>
      <c r="P239" s="3"/>
      <c r="Q239" s="3"/>
      <c r="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O240" s="3"/>
      <c r="P240" s="3"/>
      <c r="Q240" s="3"/>
      <c r="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O241" s="3"/>
      <c r="P241" s="3"/>
      <c r="Q241" s="3"/>
      <c r="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O242" s="3"/>
      <c r="P242" s="3"/>
      <c r="Q242" s="3"/>
      <c r="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O243" s="3"/>
      <c r="P243" s="3"/>
      <c r="Q243" s="3"/>
      <c r="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O244" s="3"/>
      <c r="P244" s="3"/>
      <c r="Q244" s="3"/>
      <c r="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O245" s="3"/>
      <c r="P245" s="3"/>
      <c r="Q245" s="3"/>
      <c r="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O246" s="3"/>
      <c r="P246" s="3"/>
      <c r="Q246" s="3"/>
      <c r="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O247" s="3"/>
      <c r="P247" s="3"/>
      <c r="Q247" s="3"/>
      <c r="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O248" s="3"/>
      <c r="P248" s="3"/>
      <c r="Q248" s="3"/>
      <c r="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O249" s="3"/>
      <c r="P249" s="3"/>
      <c r="Q249" s="3"/>
      <c r="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O250" s="3"/>
      <c r="P250" s="3"/>
      <c r="Q250" s="3"/>
      <c r="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O251" s="3"/>
      <c r="P251" s="3"/>
      <c r="Q251" s="3"/>
      <c r="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O252" s="3"/>
      <c r="P252" s="3"/>
      <c r="Q252" s="3"/>
      <c r="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O253" s="3"/>
      <c r="P253" s="3"/>
      <c r="Q253" s="3"/>
      <c r="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O254" s="3"/>
      <c r="P254" s="3"/>
      <c r="Q254" s="3"/>
      <c r="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O255" s="3"/>
      <c r="P255" s="3"/>
      <c r="Q255" s="3"/>
      <c r="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O256" s="3"/>
      <c r="P256" s="3"/>
      <c r="Q256" s="3"/>
      <c r="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O257" s="3"/>
      <c r="P257" s="3"/>
      <c r="Q257" s="3"/>
      <c r="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O258" s="3"/>
      <c r="P258" s="3"/>
      <c r="Q258" s="3"/>
      <c r="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O259" s="3"/>
      <c r="P259" s="3"/>
      <c r="Q259" s="3"/>
      <c r="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O260" s="3"/>
      <c r="P260" s="3"/>
      <c r="Q260" s="3"/>
      <c r="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O261" s="3"/>
      <c r="P261" s="3"/>
      <c r="Q261" s="3"/>
      <c r="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O262" s="3"/>
      <c r="P262" s="3"/>
      <c r="Q262" s="3"/>
      <c r="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O263" s="3"/>
      <c r="P263" s="3"/>
      <c r="Q263" s="3"/>
      <c r="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O264" s="3"/>
      <c r="P264" s="3"/>
      <c r="Q264" s="3"/>
      <c r="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O265" s="3"/>
      <c r="P265" s="3"/>
      <c r="Q265" s="3"/>
      <c r="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O266" s="3"/>
      <c r="P266" s="3"/>
      <c r="Q266" s="3"/>
      <c r="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O267" s="3"/>
      <c r="P267" s="3"/>
      <c r="Q267" s="3"/>
      <c r="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  <c r="P268" s="3"/>
      <c r="Q268" s="3"/>
      <c r="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  <c r="P269" s="3"/>
      <c r="Q269" s="3"/>
      <c r="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  <c r="P270" s="3"/>
      <c r="Q270" s="3"/>
      <c r="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  <c r="P271" s="3"/>
      <c r="Q271" s="3"/>
      <c r="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O272" s="3"/>
      <c r="P272" s="3"/>
      <c r="Q272" s="3"/>
      <c r="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O273" s="3"/>
      <c r="P273" s="3"/>
      <c r="Q273" s="3"/>
      <c r="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O274" s="3"/>
      <c r="P274" s="3"/>
      <c r="Q274" s="3"/>
      <c r="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O275" s="3"/>
      <c r="P275" s="3"/>
      <c r="Q275" s="3"/>
      <c r="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O276" s="3"/>
      <c r="P276" s="3"/>
      <c r="Q276" s="3"/>
      <c r="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O277" s="3"/>
      <c r="P277" s="3"/>
      <c r="Q277" s="3"/>
      <c r="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O278" s="3"/>
      <c r="P278" s="3"/>
      <c r="Q278" s="3"/>
      <c r="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O302" s="3"/>
      <c r="P302" s="3"/>
      <c r="Q302" s="3"/>
      <c r="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O303" s="3"/>
      <c r="P303" s="3"/>
      <c r="Q303" s="3"/>
      <c r="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  <c r="P304" s="3"/>
      <c r="Q304" s="3"/>
      <c r="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  <c r="P305" s="3"/>
      <c r="Q305" s="3"/>
      <c r="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  <c r="P306" s="3"/>
      <c r="Q306" s="3"/>
      <c r="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  <c r="P307" s="3"/>
      <c r="Q307" s="3"/>
      <c r="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  <c r="P308" s="3"/>
      <c r="Q308" s="3"/>
      <c r="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  <c r="P309" s="3"/>
      <c r="Q309" s="3"/>
      <c r="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  <c r="P310" s="3"/>
      <c r="Q310" s="3"/>
      <c r="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  <c r="P311" s="3"/>
      <c r="Q311" s="3"/>
      <c r="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  <c r="P312" s="3"/>
      <c r="Q312" s="3"/>
      <c r="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  <c r="P313" s="3"/>
      <c r="Q313" s="3"/>
      <c r="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  <c r="P314" s="3"/>
      <c r="Q314" s="3"/>
      <c r="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  <c r="P315" s="3"/>
      <c r="Q315" s="3"/>
      <c r="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  <c r="P316" s="3"/>
      <c r="Q316" s="3"/>
      <c r="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  <c r="P317" s="3"/>
      <c r="Q317" s="3"/>
      <c r="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  <c r="P318" s="3"/>
      <c r="Q318" s="3"/>
      <c r="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  <c r="P319" s="3"/>
      <c r="Q319" s="3"/>
      <c r="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  <c r="P320" s="3"/>
      <c r="Q320" s="3"/>
      <c r="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  <c r="P321" s="3"/>
      <c r="Q321" s="3"/>
      <c r="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  <c r="P322" s="3"/>
      <c r="Q322" s="3"/>
      <c r="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  <c r="P323" s="3"/>
      <c r="Q323" s="3"/>
      <c r="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  <c r="P324" s="3"/>
      <c r="Q324" s="3"/>
      <c r="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  <c r="P325" s="3"/>
      <c r="Q325" s="3"/>
      <c r="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  <c r="P326" s="3"/>
      <c r="Q326" s="3"/>
      <c r="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  <c r="P327" s="3"/>
      <c r="Q327" s="3"/>
      <c r="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  <c r="P328" s="3"/>
      <c r="Q328" s="3"/>
      <c r="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  <c r="P329" s="3"/>
      <c r="Q329" s="3"/>
      <c r="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  <c r="P330" s="3"/>
      <c r="Q330" s="3"/>
      <c r="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  <c r="P331" s="3"/>
      <c r="Q331" s="3"/>
      <c r="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  <c r="P332" s="3"/>
      <c r="Q332" s="3"/>
      <c r="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  <c r="P333" s="3"/>
      <c r="Q333" s="3"/>
      <c r="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  <c r="P334" s="3"/>
      <c r="Q334" s="3"/>
      <c r="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  <c r="P335" s="3"/>
      <c r="Q335" s="3"/>
      <c r="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  <c r="P336" s="3"/>
      <c r="Q336" s="3"/>
      <c r="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  <c r="P337" s="3"/>
      <c r="Q337" s="3"/>
      <c r="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  <c r="P338" s="3"/>
      <c r="Q338" s="3"/>
      <c r="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  <c r="P339" s="3"/>
      <c r="Q339" s="3"/>
      <c r="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  <c r="P340" s="3"/>
      <c r="Q340" s="3"/>
      <c r="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  <c r="P341" s="3"/>
      <c r="Q341" s="3"/>
      <c r="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  <c r="P342" s="3"/>
      <c r="Q342" s="3"/>
      <c r="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  <c r="P343" s="3"/>
      <c r="Q343" s="3"/>
      <c r="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  <c r="P344" s="3"/>
      <c r="Q344" s="3"/>
      <c r="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  <c r="P345" s="3"/>
      <c r="Q345" s="3"/>
      <c r="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  <c r="P346" s="3"/>
      <c r="Q346" s="3"/>
      <c r="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  <c r="P347" s="3"/>
      <c r="Q347" s="3"/>
      <c r="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  <c r="P348" s="3"/>
      <c r="Q348" s="3"/>
      <c r="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  <c r="P349" s="3"/>
      <c r="Q349" s="3"/>
      <c r="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  <c r="P350" s="3"/>
      <c r="Q350" s="3"/>
      <c r="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  <c r="P351" s="3"/>
      <c r="Q351" s="3"/>
      <c r="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  <c r="P352" s="3"/>
      <c r="Q352" s="3"/>
      <c r="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  <c r="P353" s="3"/>
      <c r="Q353" s="3"/>
      <c r="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  <c r="P354" s="3"/>
      <c r="Q354" s="3"/>
      <c r="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  <c r="P355" s="3"/>
      <c r="Q355" s="3"/>
      <c r="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  <c r="P356" s="3"/>
      <c r="Q356" s="3"/>
      <c r="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  <c r="P357" s="3"/>
      <c r="Q357" s="3"/>
      <c r="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  <c r="P358" s="3"/>
      <c r="Q358" s="3"/>
      <c r="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  <c r="P359" s="3"/>
      <c r="Q359" s="3"/>
      <c r="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  <c r="P360" s="3"/>
      <c r="Q360" s="3"/>
      <c r="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  <c r="P361" s="3"/>
      <c r="Q361" s="3"/>
      <c r="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  <c r="P362" s="3"/>
      <c r="Q362" s="3"/>
      <c r="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  <c r="P363" s="3"/>
      <c r="Q363" s="3"/>
      <c r="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  <c r="P364" s="3"/>
      <c r="Q364" s="3"/>
      <c r="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  <c r="P365" s="3"/>
      <c r="Q365" s="3"/>
      <c r="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  <c r="P366" s="3"/>
      <c r="Q366" s="3"/>
      <c r="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  <c r="P367" s="3"/>
      <c r="Q367" s="3"/>
      <c r="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  <c r="P368" s="3"/>
      <c r="Q368" s="3"/>
      <c r="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  <c r="P369" s="3"/>
      <c r="Q369" s="3"/>
      <c r="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  <c r="P370" s="3"/>
      <c r="Q370" s="3"/>
      <c r="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  <c r="P371" s="3"/>
      <c r="Q371" s="3"/>
      <c r="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  <c r="P372" s="3"/>
      <c r="Q372" s="3"/>
      <c r="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  <c r="P373" s="3"/>
      <c r="Q373" s="3"/>
      <c r="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  <c r="P374" s="3"/>
      <c r="Q374" s="3"/>
      <c r="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  <c r="P375" s="3"/>
      <c r="Q375" s="3"/>
      <c r="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  <c r="P376" s="3"/>
      <c r="Q376" s="3"/>
      <c r="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  <c r="P377" s="3"/>
      <c r="Q377" s="3"/>
      <c r="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  <c r="P378" s="3"/>
      <c r="Q378" s="3"/>
      <c r="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  <c r="P379" s="3"/>
      <c r="Q379" s="3"/>
      <c r="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  <c r="P380" s="3"/>
      <c r="Q380" s="3"/>
      <c r="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  <c r="P381" s="3"/>
      <c r="Q381" s="3"/>
      <c r="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  <c r="P382" s="3"/>
      <c r="Q382" s="3"/>
      <c r="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  <c r="P383" s="3"/>
      <c r="Q383" s="3"/>
      <c r="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  <c r="P384" s="3"/>
      <c r="Q384" s="3"/>
      <c r="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  <c r="P385" s="3"/>
      <c r="Q385" s="3"/>
      <c r="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  <c r="P386" s="3"/>
      <c r="Q386" s="3"/>
      <c r="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  <c r="P387" s="3"/>
      <c r="Q387" s="3"/>
      <c r="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  <c r="P388" s="3"/>
      <c r="Q388" s="3"/>
      <c r="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  <c r="P389" s="3"/>
      <c r="Q389" s="3"/>
      <c r="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  <c r="P390" s="3"/>
      <c r="Q390" s="3"/>
      <c r="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  <c r="P391" s="3"/>
      <c r="Q391" s="3"/>
      <c r="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  <c r="P392" s="3"/>
      <c r="Q392" s="3"/>
      <c r="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  <c r="P393" s="3"/>
      <c r="Q393" s="3"/>
      <c r="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  <c r="P394" s="3"/>
      <c r="Q394" s="3"/>
      <c r="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  <c r="P395" s="3"/>
      <c r="Q395" s="3"/>
      <c r="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  <c r="P396" s="3"/>
      <c r="Q396" s="3"/>
      <c r="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  <c r="P397" s="3"/>
      <c r="Q397" s="3"/>
      <c r="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  <c r="P398" s="3"/>
      <c r="Q398" s="3"/>
      <c r="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  <c r="P399" s="3"/>
      <c r="Q399" s="3"/>
      <c r="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  <c r="P400" s="3"/>
      <c r="Q400" s="3"/>
      <c r="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  <c r="P401" s="3"/>
      <c r="Q401" s="3"/>
      <c r="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  <c r="P402" s="3"/>
      <c r="Q402" s="3"/>
      <c r="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  <c r="P403" s="3"/>
      <c r="Q403" s="3"/>
      <c r="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  <c r="P404" s="3"/>
      <c r="Q404" s="3"/>
      <c r="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  <c r="P405" s="3"/>
      <c r="Q405" s="3"/>
      <c r="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  <c r="P406" s="3"/>
      <c r="Q406" s="3"/>
      <c r="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  <c r="P407" s="3"/>
      <c r="Q407" s="3"/>
      <c r="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  <c r="P408" s="3"/>
      <c r="Q408" s="3"/>
      <c r="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  <c r="P409" s="3"/>
      <c r="Q409" s="3"/>
      <c r="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  <c r="P410" s="3"/>
      <c r="Q410" s="3"/>
      <c r="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  <c r="P411" s="3"/>
      <c r="Q411" s="3"/>
      <c r="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  <c r="P412" s="3"/>
      <c r="Q412" s="3"/>
      <c r="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  <c r="P413" s="3"/>
      <c r="Q413" s="3"/>
      <c r="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  <c r="P414" s="3"/>
      <c r="Q414" s="3"/>
      <c r="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  <c r="P415" s="3"/>
      <c r="Q415" s="3"/>
      <c r="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  <c r="P416" s="3"/>
      <c r="Q416" s="3"/>
      <c r="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  <c r="P417" s="3"/>
      <c r="Q417" s="3"/>
      <c r="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  <c r="P418" s="3"/>
      <c r="Q418" s="3"/>
      <c r="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  <c r="P419" s="3"/>
      <c r="Q419" s="3"/>
      <c r="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  <c r="P420" s="3"/>
      <c r="Q420" s="3"/>
      <c r="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  <c r="P421" s="3"/>
      <c r="Q421" s="3"/>
      <c r="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  <c r="P422" s="3"/>
      <c r="Q422" s="3"/>
      <c r="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  <c r="P423" s="3"/>
      <c r="Q423" s="3"/>
      <c r="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  <c r="P424" s="3"/>
      <c r="Q424" s="3"/>
      <c r="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  <c r="P425" s="3"/>
      <c r="Q425" s="3"/>
      <c r="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  <c r="P426" s="3"/>
      <c r="Q426" s="3"/>
      <c r="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  <c r="P427" s="3"/>
      <c r="Q427" s="3"/>
      <c r="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  <c r="P428" s="3"/>
      <c r="Q428" s="3"/>
      <c r="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  <c r="P429" s="3"/>
      <c r="Q429" s="3"/>
      <c r="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  <c r="P430" s="3"/>
      <c r="Q430" s="3"/>
      <c r="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  <c r="P431" s="3"/>
      <c r="Q431" s="3"/>
      <c r="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  <c r="P432" s="3"/>
      <c r="Q432" s="3"/>
      <c r="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  <c r="P433" s="3"/>
      <c r="Q433" s="3"/>
      <c r="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  <c r="P434" s="3"/>
      <c r="Q434" s="3"/>
      <c r="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  <c r="P435" s="3"/>
      <c r="Q435" s="3"/>
      <c r="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  <c r="P436" s="3"/>
      <c r="Q436" s="3"/>
      <c r="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  <c r="P437" s="3"/>
      <c r="Q437" s="3"/>
      <c r="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  <c r="P438" s="3"/>
      <c r="Q438" s="3"/>
      <c r="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  <c r="P439" s="3"/>
      <c r="Q439" s="3"/>
      <c r="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  <c r="P440" s="3"/>
      <c r="Q440" s="3"/>
      <c r="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  <c r="P441" s="3"/>
      <c r="Q441" s="3"/>
      <c r="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  <c r="P442" s="3"/>
      <c r="Q442" s="3"/>
      <c r="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  <c r="P443" s="3"/>
      <c r="Q443" s="3"/>
      <c r="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  <c r="P444" s="3"/>
      <c r="Q444" s="3"/>
      <c r="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  <c r="P445" s="3"/>
      <c r="Q445" s="3"/>
      <c r="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  <c r="P446" s="3"/>
      <c r="Q446" s="3"/>
      <c r="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  <c r="P447" s="3"/>
      <c r="Q447" s="3"/>
      <c r="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  <c r="P448" s="3"/>
      <c r="Q448" s="3"/>
      <c r="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  <c r="P449" s="3"/>
      <c r="Q449" s="3"/>
      <c r="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  <c r="P450" s="3"/>
      <c r="Q450" s="3"/>
      <c r="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  <c r="P451" s="3"/>
      <c r="Q451" s="3"/>
      <c r="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  <c r="P452" s="3"/>
      <c r="Q452" s="3"/>
      <c r="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  <c r="P453" s="3"/>
      <c r="Q453" s="3"/>
      <c r="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  <c r="P454" s="3"/>
      <c r="Q454" s="3"/>
      <c r="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  <c r="P455" s="3"/>
      <c r="Q455" s="3"/>
      <c r="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  <c r="P456" s="3"/>
      <c r="Q456" s="3"/>
      <c r="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  <c r="P457" s="3"/>
      <c r="Q457" s="3"/>
      <c r="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  <c r="P458" s="3"/>
      <c r="Q458" s="3"/>
      <c r="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  <c r="P459" s="3"/>
      <c r="Q459" s="3"/>
      <c r="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  <c r="P460" s="3"/>
      <c r="Q460" s="3"/>
      <c r="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  <c r="P461" s="3"/>
      <c r="Q461" s="3"/>
      <c r="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  <c r="P462" s="3"/>
      <c r="Q462" s="3"/>
      <c r="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  <c r="P463" s="3"/>
      <c r="Q463" s="3"/>
      <c r="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  <c r="P464" s="3"/>
      <c r="Q464" s="3"/>
      <c r="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  <c r="P465" s="3"/>
      <c r="Q465" s="3"/>
      <c r="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  <c r="P466" s="3"/>
      <c r="Q466" s="3"/>
      <c r="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  <c r="P467" s="3"/>
      <c r="Q467" s="3"/>
      <c r="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  <c r="P468" s="3"/>
      <c r="Q468" s="3"/>
      <c r="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  <c r="P469" s="3"/>
      <c r="Q469" s="3"/>
      <c r="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  <c r="P470" s="3"/>
      <c r="Q470" s="3"/>
      <c r="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  <c r="P471" s="3"/>
      <c r="Q471" s="3"/>
      <c r="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  <c r="P472" s="3"/>
      <c r="Q472" s="3"/>
      <c r="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  <c r="P473" s="3"/>
      <c r="Q473" s="3"/>
      <c r="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  <c r="P474" s="3"/>
      <c r="Q474" s="3"/>
      <c r="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  <c r="P475" s="3"/>
      <c r="Q475" s="3"/>
      <c r="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  <c r="P476" s="3"/>
      <c r="Q476" s="3"/>
      <c r="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  <c r="P477" s="3"/>
      <c r="Q477" s="3"/>
      <c r="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  <c r="P478" s="3"/>
      <c r="Q478" s="3"/>
      <c r="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  <c r="P479" s="3"/>
      <c r="Q479" s="3"/>
      <c r="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  <c r="P480" s="3"/>
      <c r="Q480" s="3"/>
      <c r="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  <c r="P481" s="3"/>
      <c r="Q481" s="3"/>
      <c r="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  <c r="P482" s="3"/>
      <c r="Q482" s="3"/>
      <c r="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  <c r="P483" s="3"/>
      <c r="Q483" s="3"/>
      <c r="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  <c r="P484" s="3"/>
      <c r="Q484" s="3"/>
      <c r="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  <c r="P485" s="3"/>
      <c r="Q485" s="3"/>
      <c r="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  <c r="P486" s="3"/>
      <c r="Q486" s="3"/>
      <c r="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  <c r="P487" s="3"/>
      <c r="Q487" s="3"/>
      <c r="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  <c r="P488" s="3"/>
      <c r="Q488" s="3"/>
      <c r="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  <c r="P489" s="3"/>
      <c r="Q489" s="3"/>
      <c r="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  <c r="P490" s="3"/>
      <c r="Q490" s="3"/>
      <c r="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  <c r="P491" s="3"/>
      <c r="Q491" s="3"/>
      <c r="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  <c r="P492" s="3"/>
      <c r="Q492" s="3"/>
      <c r="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  <c r="P493" s="3"/>
      <c r="Q493" s="3"/>
      <c r="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  <c r="P494" s="3"/>
      <c r="Q494" s="3"/>
      <c r="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  <c r="P495" s="3"/>
      <c r="Q495" s="3"/>
      <c r="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  <c r="P496" s="3"/>
      <c r="Q496" s="3"/>
      <c r="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  <c r="P497" s="3"/>
      <c r="Q497" s="3"/>
      <c r="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  <c r="P498" s="3"/>
      <c r="Q498" s="3"/>
      <c r="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  <c r="P499" s="3"/>
      <c r="Q499" s="3"/>
      <c r="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  <c r="P500" s="3"/>
      <c r="Q500" s="3"/>
      <c r="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  <c r="P501" s="3"/>
      <c r="Q501" s="3"/>
      <c r="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  <c r="P502" s="3"/>
      <c r="Q502" s="3"/>
      <c r="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  <c r="P503" s="3"/>
      <c r="Q503" s="3"/>
      <c r="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  <c r="P504" s="3"/>
      <c r="Q504" s="3"/>
      <c r="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  <c r="P505" s="3"/>
      <c r="Q505" s="3"/>
      <c r="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  <c r="P506" s="3"/>
      <c r="Q506" s="3"/>
      <c r="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  <c r="P507" s="3"/>
      <c r="Q507" s="3"/>
      <c r="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  <c r="P508" s="3"/>
      <c r="Q508" s="3"/>
      <c r="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  <c r="P509" s="3"/>
      <c r="Q509" s="3"/>
      <c r="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  <c r="P510" s="3"/>
      <c r="Q510" s="3"/>
      <c r="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  <c r="P511" s="3"/>
      <c r="Q511" s="3"/>
      <c r="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  <c r="P512" s="3"/>
      <c r="Q512" s="3"/>
      <c r="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  <c r="P513" s="3"/>
      <c r="Q513" s="3"/>
      <c r="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  <c r="P514" s="3"/>
      <c r="Q514" s="3"/>
      <c r="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  <c r="P515" s="3"/>
      <c r="Q515" s="3"/>
      <c r="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  <c r="P516" s="3"/>
      <c r="Q516" s="3"/>
      <c r="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  <c r="P517" s="3"/>
      <c r="Q517" s="3"/>
      <c r="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  <c r="P518" s="3"/>
      <c r="Q518" s="3"/>
      <c r="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  <c r="P519" s="3"/>
      <c r="Q519" s="3"/>
      <c r="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  <c r="P520" s="3"/>
      <c r="Q520" s="3"/>
      <c r="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  <c r="P521" s="3"/>
      <c r="Q521" s="3"/>
      <c r="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  <c r="P522" s="3"/>
      <c r="Q522" s="3"/>
      <c r="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  <c r="P523" s="3"/>
      <c r="Q523" s="3"/>
      <c r="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  <c r="P524" s="3"/>
      <c r="Q524" s="3"/>
      <c r="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  <c r="P525" s="3"/>
      <c r="Q525" s="3"/>
      <c r="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  <c r="P526" s="3"/>
      <c r="Q526" s="3"/>
      <c r="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  <c r="P527" s="3"/>
      <c r="Q527" s="3"/>
      <c r="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  <c r="P528" s="3"/>
      <c r="Q528" s="3"/>
      <c r="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  <c r="P529" s="3"/>
      <c r="Q529" s="3"/>
      <c r="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  <c r="P530" s="3"/>
      <c r="Q530" s="3"/>
      <c r="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  <c r="P531" s="3"/>
      <c r="Q531" s="3"/>
      <c r="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  <c r="P532" s="3"/>
      <c r="Q532" s="3"/>
      <c r="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  <c r="P533" s="3"/>
      <c r="Q533" s="3"/>
      <c r="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  <c r="P534" s="3"/>
      <c r="Q534" s="3"/>
      <c r="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  <c r="P535" s="3"/>
      <c r="Q535" s="3"/>
      <c r="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  <c r="P536" s="3"/>
      <c r="Q536" s="3"/>
      <c r="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  <c r="P537" s="3"/>
      <c r="Q537" s="3"/>
      <c r="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  <c r="P538" s="3"/>
      <c r="Q538" s="3"/>
      <c r="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  <c r="P539" s="3"/>
      <c r="Q539" s="3"/>
      <c r="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  <c r="P540" s="3"/>
      <c r="Q540" s="3"/>
      <c r="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  <c r="P541" s="3"/>
      <c r="Q541" s="3"/>
      <c r="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  <c r="P542" s="3"/>
      <c r="Q542" s="3"/>
      <c r="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  <c r="P543" s="3"/>
      <c r="Q543" s="3"/>
      <c r="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  <c r="P544" s="3"/>
      <c r="Q544" s="3"/>
      <c r="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  <c r="P545" s="3"/>
      <c r="Q545" s="3"/>
      <c r="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  <c r="P546" s="3"/>
      <c r="Q546" s="3"/>
      <c r="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  <c r="P547" s="3"/>
      <c r="Q547" s="3"/>
      <c r="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  <c r="P548" s="3"/>
      <c r="Q548" s="3"/>
      <c r="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  <c r="P549" s="3"/>
      <c r="Q549" s="3"/>
      <c r="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  <c r="P550" s="3"/>
      <c r="Q550" s="3"/>
      <c r="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  <c r="P551" s="3"/>
      <c r="Q551" s="3"/>
      <c r="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  <c r="P552" s="3"/>
      <c r="Q552" s="3"/>
      <c r="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  <c r="P553" s="3"/>
      <c r="Q553" s="3"/>
      <c r="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  <c r="P554" s="3"/>
      <c r="Q554" s="3"/>
      <c r="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  <c r="P555" s="3"/>
      <c r="Q555" s="3"/>
      <c r="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  <c r="P556" s="3"/>
      <c r="Q556" s="3"/>
      <c r="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  <c r="P557" s="3"/>
      <c r="Q557" s="3"/>
      <c r="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  <c r="P558" s="3"/>
      <c r="Q558" s="3"/>
      <c r="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  <c r="P559" s="3"/>
      <c r="Q559" s="3"/>
      <c r="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  <c r="P560" s="3"/>
      <c r="Q560" s="3"/>
      <c r="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  <c r="P561" s="3"/>
      <c r="Q561" s="3"/>
      <c r="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  <c r="P562" s="3"/>
      <c r="Q562" s="3"/>
      <c r="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  <c r="P563" s="3"/>
      <c r="Q563" s="3"/>
      <c r="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  <c r="P564" s="3"/>
      <c r="Q564" s="3"/>
      <c r="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  <c r="P565" s="3"/>
      <c r="Q565" s="3"/>
      <c r="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  <c r="P566" s="3"/>
      <c r="Q566" s="3"/>
      <c r="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  <c r="P567" s="3"/>
      <c r="Q567" s="3"/>
      <c r="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  <c r="P568" s="3"/>
      <c r="Q568" s="3"/>
      <c r="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  <c r="P569" s="3"/>
      <c r="Q569" s="3"/>
      <c r="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  <c r="P570" s="3"/>
      <c r="Q570" s="3"/>
      <c r="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  <c r="P571" s="3"/>
      <c r="Q571" s="3"/>
      <c r="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  <c r="P572" s="3"/>
      <c r="Q572" s="3"/>
      <c r="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  <c r="P573" s="3"/>
      <c r="Q573" s="3"/>
      <c r="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  <c r="P574" s="3"/>
      <c r="Q574" s="3"/>
      <c r="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  <c r="P575" s="3"/>
      <c r="Q575" s="3"/>
      <c r="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  <c r="P576" s="3"/>
      <c r="Q576" s="3"/>
      <c r="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  <c r="P577" s="3"/>
      <c r="Q577" s="3"/>
      <c r="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  <c r="P578" s="3"/>
      <c r="Q578" s="3"/>
      <c r="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  <c r="P579" s="3"/>
      <c r="Q579" s="3"/>
      <c r="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  <c r="P580" s="3"/>
      <c r="Q580" s="3"/>
      <c r="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  <c r="P581" s="3"/>
      <c r="Q581" s="3"/>
      <c r="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  <c r="P582" s="3"/>
      <c r="Q582" s="3"/>
      <c r="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  <c r="P583" s="3"/>
      <c r="Q583" s="3"/>
      <c r="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  <c r="P584" s="3"/>
      <c r="Q584" s="3"/>
      <c r="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  <c r="P585" s="3"/>
      <c r="Q585" s="3"/>
      <c r="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  <c r="P586" s="3"/>
      <c r="Q586" s="3"/>
      <c r="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  <c r="P587" s="3"/>
      <c r="Q587" s="3"/>
      <c r="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  <c r="P588" s="3"/>
      <c r="Q588" s="3"/>
      <c r="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  <c r="P589" s="3"/>
      <c r="Q589" s="3"/>
      <c r="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  <c r="P590" s="3"/>
      <c r="Q590" s="3"/>
      <c r="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  <c r="P591" s="3"/>
      <c r="Q591" s="3"/>
      <c r="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  <c r="P592" s="3"/>
      <c r="Q592" s="3"/>
      <c r="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  <c r="P593" s="3"/>
      <c r="Q593" s="3"/>
      <c r="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  <c r="P594" s="3"/>
      <c r="Q594" s="3"/>
      <c r="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  <c r="P595" s="3"/>
      <c r="Q595" s="3"/>
      <c r="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  <c r="P596" s="3"/>
      <c r="Q596" s="3"/>
      <c r="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  <c r="P597" s="3"/>
      <c r="Q597" s="3"/>
      <c r="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  <c r="P598" s="3"/>
      <c r="Q598" s="3"/>
      <c r="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  <c r="P599" s="3"/>
      <c r="Q599" s="3"/>
      <c r="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  <c r="P600" s="3"/>
      <c r="Q600" s="3"/>
      <c r="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  <c r="P601" s="3"/>
      <c r="Q601" s="3"/>
      <c r="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  <c r="P602" s="3"/>
      <c r="Q602" s="3"/>
      <c r="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  <c r="P603" s="3"/>
      <c r="Q603" s="3"/>
      <c r="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  <c r="P604" s="3"/>
      <c r="Q604" s="3"/>
      <c r="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  <c r="P605" s="3"/>
      <c r="Q605" s="3"/>
      <c r="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  <c r="P606" s="3"/>
      <c r="Q606" s="3"/>
      <c r="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  <c r="P607" s="3"/>
      <c r="Q607" s="3"/>
      <c r="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  <c r="P608" s="3"/>
      <c r="Q608" s="3"/>
      <c r="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  <c r="P609" s="3"/>
      <c r="Q609" s="3"/>
      <c r="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  <c r="P610" s="3"/>
      <c r="Q610" s="3"/>
      <c r="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  <c r="P611" s="3"/>
      <c r="Q611" s="3"/>
      <c r="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  <c r="P612" s="3"/>
      <c r="Q612" s="3"/>
      <c r="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  <c r="P613" s="3"/>
      <c r="Q613" s="3"/>
      <c r="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  <c r="P614" s="3"/>
      <c r="Q614" s="3"/>
      <c r="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  <c r="P615" s="3"/>
      <c r="Q615" s="3"/>
      <c r="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  <c r="P616" s="3"/>
      <c r="Q616" s="3"/>
      <c r="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  <c r="P617" s="3"/>
      <c r="Q617" s="3"/>
      <c r="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  <c r="P618" s="3"/>
      <c r="Q618" s="3"/>
      <c r="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  <c r="P619" s="3"/>
      <c r="Q619" s="3"/>
      <c r="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  <c r="P620" s="3"/>
      <c r="Q620" s="3"/>
      <c r="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  <c r="P621" s="3"/>
      <c r="Q621" s="3"/>
      <c r="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  <c r="P622" s="3"/>
      <c r="Q622" s="3"/>
      <c r="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  <c r="P623" s="3"/>
      <c r="Q623" s="3"/>
      <c r="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  <c r="P624" s="3"/>
      <c r="Q624" s="3"/>
      <c r="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  <c r="P625" s="3"/>
      <c r="Q625" s="3"/>
      <c r="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  <c r="P626" s="3"/>
      <c r="Q626" s="3"/>
      <c r="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  <c r="P627" s="3"/>
      <c r="Q627" s="3"/>
      <c r="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  <c r="P628" s="3"/>
      <c r="Q628" s="3"/>
      <c r="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  <c r="P629" s="3"/>
      <c r="Q629" s="3"/>
      <c r="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  <c r="P630" s="3"/>
      <c r="Q630" s="3"/>
      <c r="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  <c r="P631" s="3"/>
      <c r="Q631" s="3"/>
      <c r="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  <c r="P632" s="3"/>
      <c r="Q632" s="3"/>
      <c r="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  <c r="P633" s="3"/>
      <c r="Q633" s="3"/>
      <c r="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  <c r="P634" s="3"/>
      <c r="Q634" s="3"/>
      <c r="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  <c r="P635" s="3"/>
      <c r="Q635" s="3"/>
      <c r="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  <c r="P636" s="3"/>
      <c r="Q636" s="3"/>
      <c r="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  <c r="P637" s="3"/>
      <c r="Q637" s="3"/>
      <c r="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  <c r="P638" s="3"/>
      <c r="Q638" s="3"/>
      <c r="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  <c r="P639" s="3"/>
      <c r="Q639" s="3"/>
      <c r="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  <c r="P640" s="3"/>
      <c r="Q640" s="3"/>
      <c r="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  <c r="P641" s="3"/>
      <c r="Q641" s="3"/>
      <c r="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  <c r="P642" s="3"/>
      <c r="Q642" s="3"/>
      <c r="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  <c r="P643" s="3"/>
      <c r="Q643" s="3"/>
      <c r="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  <c r="P644" s="3"/>
      <c r="Q644" s="3"/>
      <c r="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  <c r="P645" s="3"/>
      <c r="Q645" s="3"/>
      <c r="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  <c r="P646" s="3"/>
      <c r="Q646" s="3"/>
      <c r="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  <c r="P647" s="3"/>
      <c r="Q647" s="3"/>
      <c r="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  <c r="P648" s="3"/>
      <c r="Q648" s="3"/>
      <c r="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  <c r="P649" s="3"/>
      <c r="Q649" s="3"/>
      <c r="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  <c r="P650" s="3"/>
      <c r="Q650" s="3"/>
      <c r="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  <c r="P651" s="3"/>
      <c r="Q651" s="3"/>
      <c r="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  <c r="P652" s="3"/>
      <c r="Q652" s="3"/>
      <c r="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  <c r="P653" s="3"/>
      <c r="Q653" s="3"/>
      <c r="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  <c r="P654" s="3"/>
      <c r="Q654" s="3"/>
      <c r="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  <c r="P655" s="3"/>
      <c r="Q655" s="3"/>
      <c r="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  <c r="P656" s="3"/>
      <c r="Q656" s="3"/>
      <c r="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  <c r="P657" s="3"/>
      <c r="Q657" s="3"/>
      <c r="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  <c r="P658" s="3"/>
      <c r="Q658" s="3"/>
      <c r="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  <c r="P659" s="3"/>
      <c r="Q659" s="3"/>
      <c r="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  <c r="P660" s="3"/>
      <c r="Q660" s="3"/>
      <c r="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  <c r="P661" s="3"/>
      <c r="Q661" s="3"/>
      <c r="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  <c r="P662" s="3"/>
      <c r="Q662" s="3"/>
      <c r="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  <c r="P663" s="3"/>
      <c r="Q663" s="3"/>
      <c r="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  <c r="P664" s="3"/>
      <c r="Q664" s="3"/>
      <c r="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  <c r="P665" s="3"/>
      <c r="Q665" s="3"/>
      <c r="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  <c r="P666" s="3"/>
      <c r="Q666" s="3"/>
      <c r="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  <c r="P667" s="3"/>
      <c r="Q667" s="3"/>
      <c r="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  <c r="P668" s="3"/>
      <c r="Q668" s="3"/>
      <c r="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  <c r="P669" s="3"/>
      <c r="Q669" s="3"/>
      <c r="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  <c r="P670" s="3"/>
      <c r="Q670" s="3"/>
      <c r="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  <c r="P671" s="3"/>
      <c r="Q671" s="3"/>
      <c r="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  <c r="P672" s="3"/>
      <c r="Q672" s="3"/>
      <c r="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  <c r="P673" s="3"/>
      <c r="Q673" s="3"/>
      <c r="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  <c r="P674" s="3"/>
      <c r="Q674" s="3"/>
      <c r="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  <c r="P675" s="3"/>
      <c r="Q675" s="3"/>
      <c r="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  <c r="P676" s="3"/>
      <c r="Q676" s="3"/>
      <c r="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  <c r="P677" s="3"/>
      <c r="Q677" s="3"/>
      <c r="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  <c r="P678" s="3"/>
      <c r="Q678" s="3"/>
      <c r="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  <c r="P679" s="3"/>
      <c r="Q679" s="3"/>
      <c r="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  <c r="P680" s="3"/>
      <c r="Q680" s="3"/>
      <c r="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  <c r="P681" s="3"/>
      <c r="Q681" s="3"/>
      <c r="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  <c r="P682" s="3"/>
      <c r="Q682" s="3"/>
      <c r="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  <c r="P683" s="3"/>
      <c r="Q683" s="3"/>
      <c r="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  <c r="P684" s="3"/>
      <c r="Q684" s="3"/>
      <c r="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  <c r="P685" s="3"/>
      <c r="Q685" s="3"/>
      <c r="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  <c r="P686" s="3"/>
      <c r="Q686" s="3"/>
      <c r="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  <c r="P687" s="3"/>
      <c r="Q687" s="3"/>
      <c r="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  <c r="P688" s="3"/>
      <c r="Q688" s="3"/>
      <c r="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  <c r="P689" s="3"/>
      <c r="Q689" s="3"/>
      <c r="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  <c r="P690" s="3"/>
      <c r="Q690" s="3"/>
      <c r="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  <c r="P691" s="3"/>
      <c r="Q691" s="3"/>
      <c r="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  <c r="P692" s="3"/>
      <c r="Q692" s="3"/>
      <c r="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  <c r="P693" s="3"/>
      <c r="Q693" s="3"/>
      <c r="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  <c r="P694" s="3"/>
      <c r="Q694" s="3"/>
      <c r="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  <c r="P695" s="3"/>
      <c r="Q695" s="3"/>
      <c r="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  <c r="P696" s="3"/>
      <c r="Q696" s="3"/>
      <c r="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  <c r="P697" s="3"/>
      <c r="Q697" s="3"/>
      <c r="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  <c r="P698" s="3"/>
      <c r="Q698" s="3"/>
      <c r="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  <c r="P699" s="3"/>
      <c r="Q699" s="3"/>
      <c r="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  <c r="P700" s="3"/>
      <c r="Q700" s="3"/>
      <c r="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  <c r="P701" s="3"/>
      <c r="Q701" s="3"/>
      <c r="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O702" s="3"/>
      <c r="P702" s="3"/>
      <c r="Q702" s="3"/>
      <c r="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O703" s="3"/>
      <c r="P703" s="3"/>
      <c r="Q703" s="3"/>
      <c r="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O704" s="3"/>
      <c r="P704" s="3"/>
      <c r="Q704" s="3"/>
      <c r="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O705" s="3"/>
      <c r="P705" s="3"/>
      <c r="Q705" s="3"/>
      <c r="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O706" s="3"/>
      <c r="P706" s="3"/>
      <c r="Q706" s="3"/>
      <c r="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O707" s="3"/>
      <c r="P707" s="3"/>
      <c r="Q707" s="3"/>
      <c r="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O708" s="3"/>
      <c r="P708" s="3"/>
      <c r="Q708" s="3"/>
      <c r="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O709" s="3"/>
      <c r="P709" s="3"/>
      <c r="Q709" s="3"/>
      <c r="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O710" s="3"/>
      <c r="P710" s="3"/>
      <c r="Q710" s="3"/>
      <c r="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O711" s="3"/>
      <c r="P711" s="3"/>
      <c r="Q711" s="3"/>
      <c r="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O712" s="3"/>
      <c r="P712" s="3"/>
      <c r="Q712" s="3"/>
      <c r="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O713" s="3"/>
      <c r="P713" s="3"/>
      <c r="Q713" s="3"/>
      <c r="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O714" s="3"/>
      <c r="P714" s="3"/>
      <c r="Q714" s="3"/>
      <c r="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O715" s="3"/>
      <c r="P715" s="3"/>
      <c r="Q715" s="3"/>
      <c r="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O716" s="3"/>
      <c r="P716" s="3"/>
      <c r="Q716" s="3"/>
      <c r="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O717" s="3"/>
      <c r="P717" s="3"/>
      <c r="Q717" s="3"/>
      <c r="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O718" s="3"/>
      <c r="P718" s="3"/>
      <c r="Q718" s="3"/>
      <c r="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O719" s="3"/>
      <c r="P719" s="3"/>
      <c r="Q719" s="3"/>
      <c r="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O720" s="3"/>
      <c r="P720" s="3"/>
      <c r="Q720" s="3"/>
      <c r="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O721" s="3"/>
      <c r="P721" s="3"/>
      <c r="Q721" s="3"/>
      <c r="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O722" s="3"/>
      <c r="P722" s="3"/>
      <c r="Q722" s="3"/>
      <c r="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O723" s="3"/>
      <c r="P723" s="3"/>
      <c r="Q723" s="3"/>
      <c r="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O724" s="3"/>
      <c r="P724" s="3"/>
      <c r="Q724" s="3"/>
      <c r="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O725" s="3"/>
      <c r="P725" s="3"/>
      <c r="Q725" s="3"/>
      <c r="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O726" s="3"/>
      <c r="P726" s="3"/>
      <c r="Q726" s="3"/>
      <c r="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O727" s="3"/>
      <c r="P727" s="3"/>
      <c r="Q727" s="3"/>
      <c r="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O728" s="3"/>
      <c r="P728" s="3"/>
      <c r="Q728" s="3"/>
      <c r="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O729" s="3"/>
      <c r="P729" s="3"/>
      <c r="Q729" s="3"/>
      <c r="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O730" s="3"/>
      <c r="P730" s="3"/>
      <c r="Q730" s="3"/>
      <c r="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O731" s="3"/>
      <c r="P731" s="3"/>
      <c r="Q731" s="3"/>
      <c r="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O732" s="3"/>
      <c r="P732" s="3"/>
      <c r="Q732" s="3"/>
      <c r="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O733" s="3"/>
      <c r="P733" s="3"/>
      <c r="Q733" s="3"/>
      <c r="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O734" s="3"/>
      <c r="P734" s="3"/>
      <c r="Q734" s="3"/>
      <c r="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O735" s="3"/>
      <c r="P735" s="3"/>
      <c r="Q735" s="3"/>
      <c r="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O736" s="3"/>
      <c r="P736" s="3"/>
      <c r="Q736" s="3"/>
      <c r="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O737" s="3"/>
      <c r="P737" s="3"/>
      <c r="Q737" s="3"/>
      <c r="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O738" s="3"/>
      <c r="P738" s="3"/>
      <c r="Q738" s="3"/>
      <c r="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O739" s="3"/>
      <c r="P739" s="3"/>
      <c r="Q739" s="3"/>
      <c r="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O740" s="3"/>
      <c r="P740" s="3"/>
      <c r="Q740" s="3"/>
      <c r="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O741" s="3"/>
      <c r="P741" s="3"/>
      <c r="Q741" s="3"/>
      <c r="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O742" s="3"/>
      <c r="P742" s="3"/>
      <c r="Q742" s="3"/>
      <c r="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O743" s="3"/>
      <c r="P743" s="3"/>
      <c r="Q743" s="3"/>
      <c r="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O744" s="3"/>
      <c r="P744" s="3"/>
      <c r="Q744" s="3"/>
      <c r="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O745" s="3"/>
      <c r="P745" s="3"/>
      <c r="Q745" s="3"/>
      <c r="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O746" s="3"/>
      <c r="P746" s="3"/>
      <c r="Q746" s="3"/>
      <c r="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O747" s="3"/>
      <c r="P747" s="3"/>
      <c r="Q747" s="3"/>
      <c r="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O748" s="3"/>
      <c r="P748" s="3"/>
      <c r="Q748" s="3"/>
      <c r="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O749" s="3"/>
      <c r="P749" s="3"/>
      <c r="Q749" s="3"/>
      <c r="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O750" s="3"/>
      <c r="P750" s="3"/>
      <c r="Q750" s="3"/>
      <c r="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O751" s="3"/>
      <c r="P751" s="3"/>
      <c r="Q751" s="3"/>
      <c r="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O752" s="3"/>
      <c r="P752" s="3"/>
      <c r="Q752" s="3"/>
      <c r="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O753" s="3"/>
      <c r="P753" s="3"/>
      <c r="Q753" s="3"/>
      <c r="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O754" s="3"/>
      <c r="P754" s="3"/>
      <c r="Q754" s="3"/>
      <c r="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O755" s="3"/>
      <c r="P755" s="3"/>
      <c r="Q755" s="3"/>
      <c r="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O756" s="3"/>
      <c r="P756" s="3"/>
      <c r="Q756" s="3"/>
      <c r="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O757" s="3"/>
      <c r="P757" s="3"/>
      <c r="Q757" s="3"/>
      <c r="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O758" s="3"/>
      <c r="P758" s="3"/>
      <c r="Q758" s="3"/>
      <c r="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O759" s="3"/>
      <c r="P759" s="3"/>
      <c r="Q759" s="3"/>
      <c r="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O760" s="3"/>
      <c r="P760" s="3"/>
      <c r="Q760" s="3"/>
      <c r="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O761" s="3"/>
      <c r="P761" s="3"/>
      <c r="Q761" s="3"/>
      <c r="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O762" s="3"/>
      <c r="P762" s="3"/>
      <c r="Q762" s="3"/>
      <c r="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O763" s="3"/>
      <c r="P763" s="3"/>
      <c r="Q763" s="3"/>
      <c r="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O764" s="3"/>
      <c r="P764" s="3"/>
      <c r="Q764" s="3"/>
      <c r="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O765" s="3"/>
      <c r="P765" s="3"/>
      <c r="Q765" s="3"/>
      <c r="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O766" s="3"/>
      <c r="P766" s="3"/>
      <c r="Q766" s="3"/>
      <c r="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O767" s="3"/>
      <c r="P767" s="3"/>
      <c r="Q767" s="3"/>
      <c r="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O768" s="3"/>
      <c r="P768" s="3"/>
      <c r="Q768" s="3"/>
      <c r="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O769" s="3"/>
      <c r="P769" s="3"/>
      <c r="Q769" s="3"/>
      <c r="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O770" s="3"/>
      <c r="P770" s="3"/>
      <c r="Q770" s="3"/>
      <c r="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O771" s="3"/>
      <c r="P771" s="3"/>
      <c r="Q771" s="3"/>
      <c r="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O772" s="3"/>
      <c r="P772" s="3"/>
      <c r="Q772" s="3"/>
      <c r="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O773" s="3"/>
      <c r="P773" s="3"/>
      <c r="Q773" s="3"/>
      <c r="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O774" s="3"/>
      <c r="P774" s="3"/>
      <c r="Q774" s="3"/>
      <c r="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O775" s="3"/>
      <c r="P775" s="3"/>
      <c r="Q775" s="3"/>
      <c r="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O776" s="3"/>
      <c r="P776" s="3"/>
      <c r="Q776" s="3"/>
      <c r="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O777" s="3"/>
      <c r="P777" s="3"/>
      <c r="Q777" s="3"/>
      <c r="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O778" s="3"/>
      <c r="P778" s="3"/>
      <c r="Q778" s="3"/>
      <c r="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O779" s="3"/>
      <c r="P779" s="3"/>
      <c r="Q779" s="3"/>
      <c r="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O780" s="3"/>
      <c r="P780" s="3"/>
      <c r="Q780" s="3"/>
      <c r="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O781" s="3"/>
      <c r="P781" s="3"/>
      <c r="Q781" s="3"/>
      <c r="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O782" s="3"/>
      <c r="P782" s="3"/>
      <c r="Q782" s="3"/>
      <c r="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O783" s="3"/>
      <c r="P783" s="3"/>
      <c r="Q783" s="3"/>
      <c r="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O784" s="3"/>
      <c r="P784" s="3"/>
      <c r="Q784" s="3"/>
      <c r="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O785" s="3"/>
      <c r="P785" s="3"/>
      <c r="Q785" s="3"/>
      <c r="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O786" s="3"/>
      <c r="P786" s="3"/>
      <c r="Q786" s="3"/>
      <c r="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O787" s="3"/>
      <c r="P787" s="3"/>
      <c r="Q787" s="3"/>
      <c r="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O788" s="3"/>
      <c r="P788" s="3"/>
      <c r="Q788" s="3"/>
      <c r="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O789" s="3"/>
      <c r="P789" s="3"/>
      <c r="Q789" s="3"/>
      <c r="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O790" s="3"/>
      <c r="P790" s="3"/>
      <c r="Q790" s="3"/>
      <c r="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O791" s="3"/>
      <c r="P791" s="3"/>
      <c r="Q791" s="3"/>
      <c r="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O792" s="3"/>
      <c r="P792" s="3"/>
      <c r="Q792" s="3"/>
      <c r="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O793" s="3"/>
      <c r="P793" s="3"/>
      <c r="Q793" s="3"/>
      <c r="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O794" s="3"/>
      <c r="P794" s="3"/>
      <c r="Q794" s="3"/>
      <c r="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O795" s="3"/>
      <c r="P795" s="3"/>
      <c r="Q795" s="3"/>
      <c r="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O796" s="3"/>
      <c r="P796" s="3"/>
      <c r="Q796" s="3"/>
      <c r="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O797" s="3"/>
      <c r="P797" s="3"/>
      <c r="Q797" s="3"/>
      <c r="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O798" s="3"/>
      <c r="P798" s="3"/>
      <c r="Q798" s="3"/>
      <c r="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O799" s="3"/>
      <c r="P799" s="3"/>
      <c r="Q799" s="3"/>
      <c r="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O800" s="3"/>
      <c r="P800" s="3"/>
      <c r="Q800" s="3"/>
      <c r="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O801" s="3"/>
      <c r="P801" s="3"/>
      <c r="Q801" s="3"/>
      <c r="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O802" s="3"/>
      <c r="P802" s="3"/>
      <c r="Q802" s="3"/>
      <c r="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O803" s="3"/>
      <c r="P803" s="3"/>
      <c r="Q803" s="3"/>
      <c r="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O804" s="3"/>
      <c r="P804" s="3"/>
      <c r="Q804" s="3"/>
      <c r="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O805" s="3"/>
      <c r="P805" s="3"/>
      <c r="Q805" s="3"/>
      <c r="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O806" s="3"/>
      <c r="P806" s="3"/>
      <c r="Q806" s="3"/>
      <c r="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O807" s="3"/>
      <c r="P807" s="3"/>
      <c r="Q807" s="3"/>
      <c r="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O808" s="3"/>
      <c r="P808" s="3"/>
      <c r="Q808" s="3"/>
      <c r="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O809" s="3"/>
      <c r="P809" s="3"/>
      <c r="Q809" s="3"/>
      <c r="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O810" s="3"/>
      <c r="P810" s="3"/>
      <c r="Q810" s="3"/>
      <c r="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O811" s="3"/>
      <c r="P811" s="3"/>
      <c r="Q811" s="3"/>
      <c r="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O812" s="3"/>
      <c r="P812" s="3"/>
      <c r="Q812" s="3"/>
      <c r="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O813" s="3"/>
      <c r="P813" s="3"/>
      <c r="Q813" s="3"/>
      <c r="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O814" s="3"/>
      <c r="P814" s="3"/>
      <c r="Q814" s="3"/>
      <c r="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O815" s="3"/>
      <c r="P815" s="3"/>
      <c r="Q815" s="3"/>
      <c r="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O816" s="3"/>
      <c r="P816" s="3"/>
      <c r="Q816" s="3"/>
      <c r="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O817" s="3"/>
      <c r="P817" s="3"/>
      <c r="Q817" s="3"/>
      <c r="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O818" s="3"/>
      <c r="P818" s="3"/>
      <c r="Q818" s="3"/>
      <c r="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O819" s="3"/>
      <c r="P819" s="3"/>
      <c r="Q819" s="3"/>
      <c r="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O820" s="3"/>
      <c r="P820" s="3"/>
      <c r="Q820" s="3"/>
      <c r="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O821" s="3"/>
      <c r="P821" s="3"/>
      <c r="Q821" s="3"/>
      <c r="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O822" s="3"/>
      <c r="P822" s="3"/>
      <c r="Q822" s="3"/>
      <c r="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O823" s="3"/>
      <c r="P823" s="3"/>
      <c r="Q823" s="3"/>
      <c r="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O824" s="3"/>
      <c r="P824" s="3"/>
      <c r="Q824" s="3"/>
      <c r="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O825" s="3"/>
      <c r="P825" s="3"/>
      <c r="Q825" s="3"/>
      <c r="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O826" s="3"/>
      <c r="P826" s="3"/>
      <c r="Q826" s="3"/>
      <c r="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O827" s="3"/>
      <c r="P827" s="3"/>
      <c r="Q827" s="3"/>
      <c r="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O828" s="3"/>
      <c r="P828" s="3"/>
      <c r="Q828" s="3"/>
      <c r="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O829" s="3"/>
      <c r="P829" s="3"/>
      <c r="Q829" s="3"/>
      <c r="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O830" s="3"/>
      <c r="P830" s="3"/>
      <c r="Q830" s="3"/>
      <c r="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O831" s="3"/>
      <c r="P831" s="3"/>
      <c r="Q831" s="3"/>
      <c r="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O832" s="3"/>
      <c r="P832" s="3"/>
      <c r="Q832" s="3"/>
      <c r="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O833" s="3"/>
      <c r="P833" s="3"/>
      <c r="Q833" s="3"/>
      <c r="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O834" s="3"/>
      <c r="P834" s="3"/>
      <c r="Q834" s="3"/>
      <c r="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O835" s="3"/>
      <c r="P835" s="3"/>
      <c r="Q835" s="3"/>
      <c r="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O836" s="3"/>
      <c r="P836" s="3"/>
      <c r="Q836" s="3"/>
      <c r="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O837" s="3"/>
      <c r="P837" s="3"/>
      <c r="Q837" s="3"/>
      <c r="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O838" s="3"/>
      <c r="P838" s="3"/>
      <c r="Q838" s="3"/>
      <c r="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O839" s="3"/>
      <c r="P839" s="3"/>
      <c r="Q839" s="3"/>
      <c r="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O840" s="3"/>
      <c r="P840" s="3"/>
      <c r="Q840" s="3"/>
      <c r="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O841" s="3"/>
      <c r="P841" s="3"/>
      <c r="Q841" s="3"/>
      <c r="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O842" s="3"/>
      <c r="P842" s="3"/>
      <c r="Q842" s="3"/>
      <c r="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O843" s="3"/>
      <c r="P843" s="3"/>
      <c r="Q843" s="3"/>
      <c r="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O844" s="3"/>
      <c r="P844" s="3"/>
      <c r="Q844" s="3"/>
      <c r="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O845" s="3"/>
      <c r="P845" s="3"/>
      <c r="Q845" s="3"/>
      <c r="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O846" s="3"/>
      <c r="P846" s="3"/>
      <c r="Q846" s="3"/>
      <c r="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O847" s="3"/>
      <c r="P847" s="3"/>
      <c r="Q847" s="3"/>
      <c r="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O848" s="3"/>
      <c r="P848" s="3"/>
      <c r="Q848" s="3"/>
      <c r="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O849" s="3"/>
      <c r="P849" s="3"/>
      <c r="Q849" s="3"/>
      <c r="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O850" s="3"/>
      <c r="P850" s="3"/>
      <c r="Q850" s="3"/>
      <c r="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O851" s="3"/>
      <c r="P851" s="3"/>
      <c r="Q851" s="3"/>
      <c r="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O852" s="3"/>
      <c r="P852" s="3"/>
      <c r="Q852" s="3"/>
      <c r="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O853" s="3"/>
      <c r="P853" s="3"/>
      <c r="Q853" s="3"/>
      <c r="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O854" s="3"/>
      <c r="P854" s="3"/>
      <c r="Q854" s="3"/>
      <c r="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O855" s="3"/>
      <c r="P855" s="3"/>
      <c r="Q855" s="3"/>
      <c r="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O856" s="3"/>
      <c r="P856" s="3"/>
      <c r="Q856" s="3"/>
      <c r="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O857" s="3"/>
      <c r="P857" s="3"/>
      <c r="Q857" s="3"/>
      <c r="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O858" s="3"/>
      <c r="P858" s="3"/>
      <c r="Q858" s="3"/>
      <c r="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O859" s="3"/>
      <c r="P859" s="3"/>
      <c r="Q859" s="3"/>
      <c r="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O860" s="3"/>
      <c r="P860" s="3"/>
      <c r="Q860" s="3"/>
      <c r="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O861" s="3"/>
      <c r="P861" s="3"/>
      <c r="Q861" s="3"/>
      <c r="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O862" s="3"/>
      <c r="P862" s="3"/>
      <c r="Q862" s="3"/>
      <c r="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O863" s="3"/>
      <c r="P863" s="3"/>
      <c r="Q863" s="3"/>
      <c r="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O864" s="3"/>
      <c r="P864" s="3"/>
      <c r="Q864" s="3"/>
      <c r="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O865" s="3"/>
      <c r="P865" s="3"/>
      <c r="Q865" s="3"/>
      <c r="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O866" s="3"/>
      <c r="P866" s="3"/>
      <c r="Q866" s="3"/>
      <c r="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O867" s="3"/>
      <c r="P867" s="3"/>
      <c r="Q867" s="3"/>
      <c r="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O868" s="3"/>
      <c r="P868" s="3"/>
      <c r="Q868" s="3"/>
      <c r="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O869" s="3"/>
      <c r="P869" s="3"/>
      <c r="Q869" s="3"/>
      <c r="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O870" s="3"/>
      <c r="P870" s="3"/>
      <c r="Q870" s="3"/>
      <c r="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O871" s="3"/>
      <c r="P871" s="3"/>
      <c r="Q871" s="3"/>
      <c r="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O872" s="3"/>
      <c r="P872" s="3"/>
      <c r="Q872" s="3"/>
      <c r="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O873" s="3"/>
      <c r="P873" s="3"/>
      <c r="Q873" s="3"/>
      <c r="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O874" s="3"/>
      <c r="P874" s="3"/>
      <c r="Q874" s="3"/>
      <c r="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O875" s="3"/>
      <c r="P875" s="3"/>
      <c r="Q875" s="3"/>
      <c r="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O876" s="3"/>
      <c r="P876" s="3"/>
      <c r="Q876" s="3"/>
      <c r="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O877" s="3"/>
      <c r="P877" s="3"/>
      <c r="Q877" s="3"/>
      <c r="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O878" s="3"/>
      <c r="P878" s="3"/>
      <c r="Q878" s="3"/>
      <c r="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O879" s="3"/>
      <c r="P879" s="3"/>
      <c r="Q879" s="3"/>
      <c r="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O880" s="3"/>
      <c r="P880" s="3"/>
      <c r="Q880" s="3"/>
      <c r="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O881" s="3"/>
      <c r="P881" s="3"/>
      <c r="Q881" s="3"/>
      <c r="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O882" s="3"/>
      <c r="P882" s="3"/>
      <c r="Q882" s="3"/>
      <c r="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O883" s="3"/>
      <c r="P883" s="3"/>
      <c r="Q883" s="3"/>
      <c r="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O884" s="3"/>
      <c r="P884" s="3"/>
      <c r="Q884" s="3"/>
      <c r="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O885" s="3"/>
      <c r="P885" s="3"/>
      <c r="Q885" s="3"/>
      <c r="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O886" s="3"/>
      <c r="P886" s="3"/>
      <c r="Q886" s="3"/>
      <c r="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O887" s="3"/>
      <c r="P887" s="3"/>
      <c r="Q887" s="3"/>
      <c r="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O888" s="3"/>
      <c r="P888" s="3"/>
      <c r="Q888" s="3"/>
      <c r="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O889" s="3"/>
      <c r="P889" s="3"/>
      <c r="Q889" s="3"/>
      <c r="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O890" s="3"/>
      <c r="P890" s="3"/>
      <c r="Q890" s="3"/>
      <c r="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O891" s="3"/>
      <c r="P891" s="3"/>
      <c r="Q891" s="3"/>
      <c r="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O892" s="3"/>
      <c r="P892" s="3"/>
      <c r="Q892" s="3"/>
      <c r="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O893" s="3"/>
      <c r="P893" s="3"/>
      <c r="Q893" s="3"/>
      <c r="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O894" s="3"/>
      <c r="P894" s="3"/>
      <c r="Q894" s="3"/>
      <c r="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O895" s="3"/>
      <c r="P895" s="3"/>
      <c r="Q895" s="3"/>
      <c r="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O896" s="3"/>
      <c r="P896" s="3"/>
      <c r="Q896" s="3"/>
      <c r="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O897" s="3"/>
      <c r="P897" s="3"/>
      <c r="Q897" s="3"/>
      <c r="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O898" s="3"/>
      <c r="P898" s="3"/>
      <c r="Q898" s="3"/>
      <c r="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O899" s="3"/>
      <c r="P899" s="3"/>
      <c r="Q899" s="3"/>
      <c r="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O900" s="3"/>
      <c r="P900" s="3"/>
      <c r="Q900" s="3"/>
      <c r="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O901" s="3"/>
      <c r="P901" s="3"/>
      <c r="Q901" s="3"/>
      <c r="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O902" s="3"/>
      <c r="P902" s="3"/>
      <c r="Q902" s="3"/>
      <c r="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O903" s="3"/>
      <c r="P903" s="3"/>
      <c r="Q903" s="3"/>
      <c r="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O904" s="3"/>
      <c r="P904" s="3"/>
      <c r="Q904" s="3"/>
      <c r="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O905" s="3"/>
      <c r="P905" s="3"/>
      <c r="Q905" s="3"/>
      <c r="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O906" s="3"/>
      <c r="P906" s="3"/>
      <c r="Q906" s="3"/>
      <c r="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O907" s="3"/>
      <c r="P907" s="3"/>
      <c r="Q907" s="3"/>
      <c r="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O908" s="3"/>
      <c r="P908" s="3"/>
      <c r="Q908" s="3"/>
      <c r="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O909" s="3"/>
      <c r="P909" s="3"/>
      <c r="Q909" s="3"/>
      <c r="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O910" s="3"/>
      <c r="P910" s="3"/>
      <c r="Q910" s="3"/>
      <c r="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O911" s="3"/>
      <c r="P911" s="3"/>
      <c r="Q911" s="3"/>
      <c r="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O912" s="3"/>
      <c r="P912" s="3"/>
      <c r="Q912" s="3"/>
      <c r="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O913" s="3"/>
      <c r="P913" s="3"/>
      <c r="Q913" s="3"/>
      <c r="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O914" s="3"/>
      <c r="P914" s="3"/>
      <c r="Q914" s="3"/>
      <c r="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O915" s="3"/>
      <c r="P915" s="3"/>
      <c r="Q915" s="3"/>
      <c r="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O916" s="3"/>
      <c r="P916" s="3"/>
      <c r="Q916" s="3"/>
      <c r="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O917" s="3"/>
      <c r="P917" s="3"/>
      <c r="Q917" s="3"/>
      <c r="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O918" s="3"/>
      <c r="P918" s="3"/>
      <c r="Q918" s="3"/>
      <c r="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O919" s="3"/>
      <c r="P919" s="3"/>
      <c r="Q919" s="3"/>
      <c r="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O920" s="3"/>
      <c r="P920" s="3"/>
      <c r="Q920" s="3"/>
      <c r="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O921" s="3"/>
      <c r="P921" s="3"/>
      <c r="Q921" s="3"/>
      <c r="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O922" s="3"/>
      <c r="P922" s="3"/>
      <c r="Q922" s="3"/>
      <c r="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O923" s="3"/>
      <c r="P923" s="3"/>
      <c r="Q923" s="3"/>
      <c r="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O924" s="3"/>
      <c r="P924" s="3"/>
      <c r="Q924" s="3"/>
      <c r="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O925" s="3"/>
      <c r="P925" s="3"/>
      <c r="Q925" s="3"/>
      <c r="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O926" s="3"/>
      <c r="P926" s="3"/>
      <c r="Q926" s="3"/>
      <c r="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O927" s="3"/>
      <c r="P927" s="3"/>
      <c r="Q927" s="3"/>
      <c r="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O928" s="3"/>
      <c r="P928" s="3"/>
      <c r="Q928" s="3"/>
      <c r="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O929" s="3"/>
      <c r="P929" s="3"/>
      <c r="Q929" s="3"/>
      <c r="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O930" s="3"/>
      <c r="P930" s="3"/>
      <c r="Q930" s="3"/>
      <c r="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O931" s="3"/>
      <c r="P931" s="3"/>
      <c r="Q931" s="3"/>
      <c r="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O932" s="3"/>
      <c r="P932" s="3"/>
      <c r="Q932" s="3"/>
      <c r="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O933" s="3"/>
      <c r="P933" s="3"/>
      <c r="Q933" s="3"/>
      <c r="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O934" s="3"/>
      <c r="P934" s="3"/>
      <c r="Q934" s="3"/>
      <c r="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O935" s="3"/>
      <c r="P935" s="3"/>
      <c r="Q935" s="3"/>
      <c r="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O936" s="3"/>
      <c r="P936" s="3"/>
      <c r="Q936" s="3"/>
      <c r="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O937" s="3"/>
      <c r="P937" s="3"/>
      <c r="Q937" s="3"/>
      <c r="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O938" s="3"/>
      <c r="P938" s="3"/>
      <c r="Q938" s="3"/>
      <c r="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O939" s="3"/>
      <c r="P939" s="3"/>
      <c r="Q939" s="3"/>
      <c r="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O940" s="3"/>
      <c r="P940" s="3"/>
      <c r="Q940" s="3"/>
      <c r="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O941" s="3"/>
      <c r="P941" s="3"/>
      <c r="Q941" s="3"/>
      <c r="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O942" s="3"/>
      <c r="P942" s="3"/>
      <c r="Q942" s="3"/>
      <c r="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O943" s="3"/>
      <c r="P943" s="3"/>
      <c r="Q943" s="3"/>
      <c r="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O944" s="3"/>
      <c r="P944" s="3"/>
      <c r="Q944" s="3"/>
      <c r="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O945" s="3"/>
      <c r="P945" s="3"/>
      <c r="Q945" s="3"/>
      <c r="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O946" s="3"/>
      <c r="P946" s="3"/>
      <c r="Q946" s="3"/>
      <c r="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O947" s="3"/>
      <c r="P947" s="3"/>
      <c r="Q947" s="3"/>
      <c r="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O948" s="3"/>
      <c r="P948" s="3"/>
      <c r="Q948" s="3"/>
      <c r="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O949" s="3"/>
      <c r="P949" s="3"/>
      <c r="Q949" s="3"/>
      <c r="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O950" s="3"/>
      <c r="P950" s="3"/>
      <c r="Q950" s="3"/>
      <c r="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O951" s="3"/>
      <c r="P951" s="3"/>
      <c r="Q951" s="3"/>
      <c r="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O952" s="3"/>
      <c r="P952" s="3"/>
      <c r="Q952" s="3"/>
      <c r="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O953" s="3"/>
      <c r="P953" s="3"/>
      <c r="Q953" s="3"/>
      <c r="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O954" s="3"/>
      <c r="P954" s="3"/>
      <c r="Q954" s="3"/>
      <c r="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O955" s="3"/>
      <c r="P955" s="3"/>
      <c r="Q955" s="3"/>
      <c r="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O956" s="3"/>
      <c r="P956" s="3"/>
      <c r="Q956" s="3"/>
      <c r="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O957" s="3"/>
      <c r="P957" s="3"/>
      <c r="Q957" s="3"/>
      <c r="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O958" s="3"/>
      <c r="P958" s="3"/>
      <c r="Q958" s="3"/>
      <c r="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O959" s="3"/>
      <c r="P959" s="3"/>
      <c r="Q959" s="3"/>
      <c r="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O960" s="3"/>
      <c r="P960" s="3"/>
      <c r="Q960" s="3"/>
      <c r="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O961" s="3"/>
      <c r="P961" s="3"/>
      <c r="Q961" s="3"/>
      <c r="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O962" s="3"/>
      <c r="P962" s="3"/>
      <c r="Q962" s="3"/>
      <c r="R962" s="3"/>
    </row>
  </sheetData>
  <autoFilter ref="$A$3:$R$176">
    <sortState ref="A3:R176">
      <sortCondition ref="E3:E176"/>
      <sortCondition ref="C3:C176"/>
      <sortCondition ref="L3:L176"/>
      <sortCondition ref="B3:B176"/>
      <sortCondition ref="H3:H176"/>
    </sortState>
  </autoFilter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6.29"/>
    <col customWidth="1" min="3" max="3" width="28.0"/>
    <col customWidth="1" min="4" max="4" width="12.0"/>
    <col customWidth="1" min="5" max="5" width="21.29"/>
    <col customWidth="1" min="6" max="6" width="16.0"/>
    <col customWidth="1" min="7" max="7" width="31.0"/>
    <col customWidth="1" min="8" max="8" width="23.86"/>
    <col customWidth="1" min="9" max="9" width="17.43"/>
    <col customWidth="1" min="10" max="10" width="30.0"/>
    <col customWidth="1" min="11" max="11" width="16.0"/>
    <col customWidth="1" min="12" max="12" width="20.14"/>
    <col customWidth="1" min="13" max="13" width="18.0"/>
    <col customWidth="1" min="14" max="14" width="12.86"/>
    <col customWidth="1" min="15" max="15" width="15.0"/>
    <col customWidth="1" min="16" max="22" width="8.86"/>
  </cols>
  <sheetData>
    <row r="1" ht="21.75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3"/>
      <c r="M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M2" s="3"/>
    </row>
    <row r="3">
      <c r="A3" s="41" t="s">
        <v>281</v>
      </c>
      <c r="B3" s="41" t="s">
        <v>158</v>
      </c>
      <c r="C3" s="41" t="s">
        <v>282</v>
      </c>
      <c r="D3" s="41" t="s">
        <v>283</v>
      </c>
      <c r="E3" s="41" t="s">
        <v>284</v>
      </c>
      <c r="F3" s="41" t="s">
        <v>285</v>
      </c>
      <c r="G3" s="41" t="s">
        <v>286</v>
      </c>
      <c r="H3" s="41" t="s">
        <v>287</v>
      </c>
      <c r="I3" s="41" t="s">
        <v>288</v>
      </c>
      <c r="J3" s="41" t="s">
        <v>289</v>
      </c>
      <c r="K3" s="41" t="s">
        <v>290</v>
      </c>
      <c r="L3" s="41" t="s">
        <v>291</v>
      </c>
      <c r="M3" s="41" t="s">
        <v>292</v>
      </c>
      <c r="N3" s="65" t="s">
        <v>293</v>
      </c>
      <c r="O3" s="65" t="s">
        <v>294</v>
      </c>
    </row>
    <row r="4">
      <c r="A4" s="17">
        <v>46023.0</v>
      </c>
      <c r="B4" s="44" t="s">
        <v>220</v>
      </c>
      <c r="C4" s="58" t="s">
        <v>32</v>
      </c>
      <c r="D4" s="59" t="s">
        <v>295</v>
      </c>
      <c r="E4" s="19">
        <f>IF($D4&lt;&gt;"Entregado",0,IF($C4="","",VLOOKUP($C4,'DATA DE TARIFA'!$A$4:$C$68,2,FALSE)/1.18))</f>
        <v>8.474576271</v>
      </c>
      <c r="F4" s="19">
        <f>IF($C4="","",IF($D4="",0,VLOOKUP($C4,'DATA DE TARIFA'!$A$4:$C$68,3,FALSE)))</f>
        <v>4.5</v>
      </c>
      <c r="G4" s="66">
        <v>0.0</v>
      </c>
      <c r="H4" s="19">
        <f t="shared" ref="H4:H991" si="1">$E4+$O4</f>
        <v>8.474576271</v>
      </c>
      <c r="I4" s="19">
        <f t="shared" ref="I4:I991" si="2">$F4+IF($G4="",0,$G4)+$N4</f>
        <v>4.5</v>
      </c>
      <c r="J4" s="67"/>
      <c r="K4" s="44" t="str">
        <f>IF($B4="","",IFERROR(VLOOKUP($B4,Tiendas!$A$4:$B$176,2,FALSE),""))</f>
        <v>ALEXIS</v>
      </c>
      <c r="L4" s="68" t="s">
        <v>296</v>
      </c>
      <c r="M4" s="44" t="str">
        <f>IF($B4="","",IFERROR(VLOOKUP($B4,Tiendas!$A$4:$I$176,9,FALSE),""))</f>
        <v>No</v>
      </c>
      <c r="N4" s="69">
        <f t="shared" ref="N4:N991" si="3">IF($L4="","",IF(OR($L4="Punto doble cobrar",$L4="Punto doble no cobrar"),4,IF(OR($L4="Punto triple cobrar",$L4="Punto triple no cobrar"),8,0)))</f>
        <v>0</v>
      </c>
      <c r="O4" s="69">
        <f t="shared" ref="O4:O991" si="4">IF($L4="","",IF($L4="Punto doble cobrar",4,IF($L4="Punto triple cobrar",8,0)))</f>
        <v>0</v>
      </c>
    </row>
    <row r="5">
      <c r="A5" s="17">
        <v>46023.0</v>
      </c>
      <c r="B5" s="44" t="s">
        <v>222</v>
      </c>
      <c r="C5" s="58" t="s">
        <v>32</v>
      </c>
      <c r="D5" s="59" t="s">
        <v>295</v>
      </c>
      <c r="E5" s="19">
        <f>IF($D5&lt;&gt;"Entregado",0,IF($C5="","",VLOOKUP($C5,'DATA DE TARIFA'!$A$4:$C$68,2,FALSE)/1.18))</f>
        <v>8.474576271</v>
      </c>
      <c r="F5" s="19">
        <f>IF($C5="","",IF($D5="",0,VLOOKUP($C5,'DATA DE TARIFA'!$A$4:$C$68,3,FALSE)))</f>
        <v>4.5</v>
      </c>
      <c r="G5" s="66">
        <v>0.0</v>
      </c>
      <c r="H5" s="19">
        <f t="shared" si="1"/>
        <v>8.474576271</v>
      </c>
      <c r="I5" s="19">
        <f t="shared" si="2"/>
        <v>4.5</v>
      </c>
      <c r="J5" s="67"/>
      <c r="K5" s="44" t="str">
        <f>IF($B5="","",IFERROR(VLOOKUP($B5,Tiendas!$A$4:$B$176,2,FALSE),""))</f>
        <v>ALEXIS</v>
      </c>
      <c r="L5" s="68" t="s">
        <v>296</v>
      </c>
      <c r="M5" s="44" t="str">
        <f>IF($B5="","",IFERROR(VLOOKUP($B5,Tiendas!$A$4:$I$176,9,FALSE),""))</f>
        <v>No</v>
      </c>
      <c r="N5" s="69">
        <f t="shared" si="3"/>
        <v>0</v>
      </c>
      <c r="O5" s="69">
        <f t="shared" si="4"/>
        <v>0</v>
      </c>
    </row>
    <row r="6">
      <c r="A6" s="17">
        <v>46023.0</v>
      </c>
      <c r="B6" s="44" t="s">
        <v>222</v>
      </c>
      <c r="C6" s="58" t="s">
        <v>44</v>
      </c>
      <c r="D6" s="59" t="s">
        <v>295</v>
      </c>
      <c r="E6" s="19">
        <f>IF($D6&lt;&gt;"Entregado",0,IF($C6="","",VLOOKUP($C6,'DATA DE TARIFA'!$A$4:$C$68,2,FALSE)/1.18))</f>
        <v>10.16949153</v>
      </c>
      <c r="F6" s="19">
        <f>IF($C6="","",IF($D6="",0,VLOOKUP($C6,'DATA DE TARIFA'!$A$4:$C$68,3,FALSE)))</f>
        <v>5.5</v>
      </c>
      <c r="G6" s="66">
        <v>0.0</v>
      </c>
      <c r="H6" s="19">
        <f t="shared" si="1"/>
        <v>10.16949153</v>
      </c>
      <c r="I6" s="19">
        <f t="shared" si="2"/>
        <v>5.5</v>
      </c>
      <c r="J6" s="67"/>
      <c r="K6" s="44" t="str">
        <f>IF($B6="","",IFERROR(VLOOKUP($B6,Tiendas!$A$4:$B$176,2,FALSE),""))</f>
        <v>ALEXIS</v>
      </c>
      <c r="L6" s="68" t="s">
        <v>296</v>
      </c>
      <c r="M6" s="44" t="str">
        <f>IF($B6="","",IFERROR(VLOOKUP($B6,Tiendas!$A$4:$I$176,9,FALSE),""))</f>
        <v>No</v>
      </c>
      <c r="N6" s="69">
        <f t="shared" si="3"/>
        <v>0</v>
      </c>
      <c r="O6" s="69">
        <f t="shared" si="4"/>
        <v>0</v>
      </c>
    </row>
    <row r="7">
      <c r="A7" s="17">
        <v>46023.0</v>
      </c>
      <c r="B7" s="44" t="s">
        <v>222</v>
      </c>
      <c r="C7" s="58" t="s">
        <v>24</v>
      </c>
      <c r="D7" s="59" t="s">
        <v>295</v>
      </c>
      <c r="E7" s="19">
        <f>IF($D7&lt;&gt;"Entregado",0,IF($C7="","",VLOOKUP($C7,'DATA DE TARIFA'!$A$4:$C$68,2,FALSE)/1.18))</f>
        <v>8.474576271</v>
      </c>
      <c r="F7" s="19">
        <f>IF($C7="","",IF($D7="",0,VLOOKUP($C7,'DATA DE TARIFA'!$A$4:$C$68,3,FALSE)))</f>
        <v>4.5</v>
      </c>
      <c r="G7" s="66">
        <v>0.0</v>
      </c>
      <c r="H7" s="19">
        <f t="shared" si="1"/>
        <v>8.474576271</v>
      </c>
      <c r="I7" s="19">
        <f t="shared" si="2"/>
        <v>4.5</v>
      </c>
      <c r="J7" s="67"/>
      <c r="K7" s="44" t="str">
        <f>IF($B7="","",IFERROR(VLOOKUP($B7,Tiendas!$A$4:$B$176,2,FALSE),""))</f>
        <v>ALEXIS</v>
      </c>
      <c r="L7" s="68" t="s">
        <v>296</v>
      </c>
      <c r="M7" s="44" t="str">
        <f>IF($B7="","",IFERROR(VLOOKUP($B7,Tiendas!$A$4:$I$176,9,FALSE),""))</f>
        <v>No</v>
      </c>
      <c r="N7" s="69">
        <f t="shared" si="3"/>
        <v>0</v>
      </c>
      <c r="O7" s="69">
        <f t="shared" si="4"/>
        <v>0</v>
      </c>
    </row>
    <row r="8">
      <c r="A8" s="17">
        <v>46023.0</v>
      </c>
      <c r="B8" s="44" t="s">
        <v>222</v>
      </c>
      <c r="C8" s="58" t="s">
        <v>15</v>
      </c>
      <c r="D8" s="59" t="s">
        <v>295</v>
      </c>
      <c r="E8" s="19">
        <f>IF($D8&lt;&gt;"Entregado",0,IF($C8="","",VLOOKUP($C8,'DATA DE TARIFA'!$A$4:$C$68,2,FALSE)/1.18))</f>
        <v>8.474576271</v>
      </c>
      <c r="F8" s="19">
        <f>IF($C8="","",IF($D8="",0,VLOOKUP($C8,'DATA DE TARIFA'!$A$4:$C$68,3,FALSE)))</f>
        <v>4.5</v>
      </c>
      <c r="G8" s="66">
        <v>0.0</v>
      </c>
      <c r="H8" s="19">
        <f t="shared" si="1"/>
        <v>8.474576271</v>
      </c>
      <c r="I8" s="19">
        <f t="shared" si="2"/>
        <v>4.5</v>
      </c>
      <c r="J8" s="67"/>
      <c r="K8" s="44" t="str">
        <f>IF($B8="","",IFERROR(VLOOKUP($B8,Tiendas!$A$4:$B$176,2,FALSE),""))</f>
        <v>ALEXIS</v>
      </c>
      <c r="L8" s="68" t="s">
        <v>296</v>
      </c>
      <c r="M8" s="44" t="str">
        <f>IF($B8="","",IFERROR(VLOOKUP($B8,Tiendas!$A$4:$I$176,9,FALSE),""))</f>
        <v>No</v>
      </c>
      <c r="N8" s="69">
        <f t="shared" si="3"/>
        <v>0</v>
      </c>
      <c r="O8" s="69">
        <f t="shared" si="4"/>
        <v>0</v>
      </c>
    </row>
    <row r="9">
      <c r="A9" s="17">
        <v>46023.0</v>
      </c>
      <c r="B9" s="44" t="s">
        <v>247</v>
      </c>
      <c r="C9" s="58" t="s">
        <v>21</v>
      </c>
      <c r="D9" s="59" t="s">
        <v>295</v>
      </c>
      <c r="E9" s="19">
        <f>IF($D9&lt;&gt;"Entregado",0,IF($C9="","",VLOOKUP($C9,'DATA DE TARIFA'!$A$4:$C$68,2,FALSE)/1.18))</f>
        <v>10.16949153</v>
      </c>
      <c r="F9" s="19">
        <f>IF($C9="","",IF($D9="",0,VLOOKUP($C9,'DATA DE TARIFA'!$A$4:$C$68,3,FALSE)))</f>
        <v>4.5</v>
      </c>
      <c r="G9" s="66">
        <v>0.0</v>
      </c>
      <c r="H9" s="19">
        <f t="shared" si="1"/>
        <v>10.16949153</v>
      </c>
      <c r="I9" s="19">
        <f t="shared" si="2"/>
        <v>4.5</v>
      </c>
      <c r="J9" s="67"/>
      <c r="K9" s="44" t="str">
        <f>IF($B9="","",IFERROR(VLOOKUP($B9,Tiendas!$A$4:$B$176,2,FALSE),""))</f>
        <v>ALEXIS</v>
      </c>
      <c r="L9" s="68" t="s">
        <v>296</v>
      </c>
      <c r="M9" s="44" t="str">
        <f>IF($B9="","",IFERROR(VLOOKUP($B9,Tiendas!$A$4:$I$176,9,FALSE),""))</f>
        <v>No</v>
      </c>
      <c r="N9" s="69">
        <f t="shared" si="3"/>
        <v>0</v>
      </c>
      <c r="O9" s="69">
        <f t="shared" si="4"/>
        <v>0</v>
      </c>
    </row>
    <row r="10">
      <c r="A10" s="17">
        <v>46023.0</v>
      </c>
      <c r="B10" s="44" t="s">
        <v>247</v>
      </c>
      <c r="C10" s="58" t="s">
        <v>15</v>
      </c>
      <c r="D10" s="59" t="s">
        <v>295</v>
      </c>
      <c r="E10" s="19">
        <f>IF($D10&lt;&gt;"Entregado",0,IF($C10="","",VLOOKUP($C10,'DATA DE TARIFA'!$A$4:$C$68,2,FALSE)/1.18))</f>
        <v>8.474576271</v>
      </c>
      <c r="F10" s="19">
        <f>IF($C10="","",IF($D10="",0,VLOOKUP($C10,'DATA DE TARIFA'!$A$4:$C$68,3,FALSE)))</f>
        <v>4.5</v>
      </c>
      <c r="G10" s="66">
        <v>0.0</v>
      </c>
      <c r="H10" s="19">
        <f t="shared" si="1"/>
        <v>8.474576271</v>
      </c>
      <c r="I10" s="19">
        <f t="shared" si="2"/>
        <v>4.5</v>
      </c>
      <c r="J10" s="67"/>
      <c r="K10" s="44" t="str">
        <f>IF($B10="","",IFERROR(VLOOKUP($B10,Tiendas!$A$4:$B$176,2,FALSE),""))</f>
        <v>ALEXIS</v>
      </c>
      <c r="L10" s="68" t="s">
        <v>296</v>
      </c>
      <c r="M10" s="44" t="str">
        <f>IF($B10="","",IFERROR(VLOOKUP($B10,Tiendas!$A$4:$I$176,9,FALSE),""))</f>
        <v>No</v>
      </c>
      <c r="N10" s="69">
        <f t="shared" si="3"/>
        <v>0</v>
      </c>
      <c r="O10" s="69">
        <f t="shared" si="4"/>
        <v>0</v>
      </c>
    </row>
    <row r="11">
      <c r="A11" s="17">
        <v>46023.0</v>
      </c>
      <c r="B11" s="44" t="s">
        <v>247</v>
      </c>
      <c r="C11" s="58" t="s">
        <v>34</v>
      </c>
      <c r="D11" s="59" t="s">
        <v>295</v>
      </c>
      <c r="E11" s="19">
        <f>IF($D11&lt;&gt;"Entregado",0,IF($C11="","",VLOOKUP($C11,'DATA DE TARIFA'!$A$4:$C$68,2,FALSE)/1.18))</f>
        <v>10.16949153</v>
      </c>
      <c r="F11" s="19">
        <f>IF($C11="","",IF($D11="",0,VLOOKUP($C11,'DATA DE TARIFA'!$A$4:$C$68,3,FALSE)))</f>
        <v>4.5</v>
      </c>
      <c r="G11" s="66">
        <v>0.0</v>
      </c>
      <c r="H11" s="19">
        <f t="shared" si="1"/>
        <v>10.16949153</v>
      </c>
      <c r="I11" s="19">
        <f t="shared" si="2"/>
        <v>4.5</v>
      </c>
      <c r="J11" s="67"/>
      <c r="K11" s="44" t="str">
        <f>IF($B11="","",IFERROR(VLOOKUP($B11,Tiendas!$A$4:$B$176,2,FALSE),""))</f>
        <v>ALEXIS</v>
      </c>
      <c r="L11" s="68" t="s">
        <v>296</v>
      </c>
      <c r="M11" s="44" t="str">
        <f>IF($B11="","",IFERROR(VLOOKUP($B11,Tiendas!$A$4:$I$176,9,FALSE),""))</f>
        <v>No</v>
      </c>
      <c r="N11" s="69">
        <f t="shared" si="3"/>
        <v>0</v>
      </c>
      <c r="O11" s="69">
        <f t="shared" si="4"/>
        <v>0</v>
      </c>
    </row>
    <row r="12">
      <c r="A12" s="17">
        <v>46023.0</v>
      </c>
      <c r="B12" s="44" t="s">
        <v>247</v>
      </c>
      <c r="C12" s="58" t="s">
        <v>51</v>
      </c>
      <c r="D12" s="59" t="s">
        <v>295</v>
      </c>
      <c r="E12" s="19">
        <f>IF($D12&lt;&gt;"Entregado",0,IF($C12="","",VLOOKUP($C12,'DATA DE TARIFA'!$A$4:$C$68,2,FALSE)/1.18))</f>
        <v>10.16949153</v>
      </c>
      <c r="F12" s="19">
        <f>IF($C12="","",IF($D12="",0,VLOOKUP($C12,'DATA DE TARIFA'!$A$4:$C$68,3,FALSE)))</f>
        <v>5.5</v>
      </c>
      <c r="G12" s="66">
        <v>0.0</v>
      </c>
      <c r="H12" s="19">
        <f t="shared" si="1"/>
        <v>10.16949153</v>
      </c>
      <c r="I12" s="19">
        <f t="shared" si="2"/>
        <v>5.5</v>
      </c>
      <c r="J12" s="67"/>
      <c r="K12" s="44" t="str">
        <f>IF($B12="","",IFERROR(VLOOKUP($B12,Tiendas!$A$4:$B$176,2,FALSE),""))</f>
        <v>ALEXIS</v>
      </c>
      <c r="L12" s="68" t="s">
        <v>296</v>
      </c>
      <c r="M12" s="44" t="str">
        <f>IF($B12="","",IFERROR(VLOOKUP($B12,Tiendas!$A$4:$I$176,9,FALSE),""))</f>
        <v>No</v>
      </c>
      <c r="N12" s="69">
        <f t="shared" si="3"/>
        <v>0</v>
      </c>
      <c r="O12" s="69">
        <f t="shared" si="4"/>
        <v>0</v>
      </c>
    </row>
    <row r="13">
      <c r="A13" s="17">
        <v>46023.0</v>
      </c>
      <c r="B13" s="44" t="s">
        <v>247</v>
      </c>
      <c r="C13" s="58" t="s">
        <v>15</v>
      </c>
      <c r="D13" s="59" t="s">
        <v>295</v>
      </c>
      <c r="E13" s="19">
        <f>IF($D13&lt;&gt;"Entregado",0,IF($C13="","",VLOOKUP($C13,'DATA DE TARIFA'!$A$4:$C$68,2,FALSE)/1.18))</f>
        <v>8.474576271</v>
      </c>
      <c r="F13" s="19">
        <f>IF($C13="","",IF($D13="",0,VLOOKUP($C13,'DATA DE TARIFA'!$A$4:$C$68,3,FALSE)))</f>
        <v>4.5</v>
      </c>
      <c r="G13" s="66">
        <v>0.0</v>
      </c>
      <c r="H13" s="19">
        <f t="shared" si="1"/>
        <v>8.474576271</v>
      </c>
      <c r="I13" s="19">
        <f t="shared" si="2"/>
        <v>4.5</v>
      </c>
      <c r="J13" s="67"/>
      <c r="K13" s="44" t="str">
        <f>IF($B13="","",IFERROR(VLOOKUP($B13,Tiendas!$A$4:$B$176,2,FALSE),""))</f>
        <v>ALEXIS</v>
      </c>
      <c r="L13" s="68" t="s">
        <v>296</v>
      </c>
      <c r="M13" s="44" t="str">
        <f>IF($B13="","",IFERROR(VLOOKUP($B13,Tiendas!$A$4:$I$176,9,FALSE),""))</f>
        <v>No</v>
      </c>
      <c r="N13" s="69">
        <f t="shared" si="3"/>
        <v>0</v>
      </c>
      <c r="O13" s="69">
        <f t="shared" si="4"/>
        <v>0</v>
      </c>
    </row>
    <row r="14">
      <c r="A14" s="17">
        <v>46023.0</v>
      </c>
      <c r="B14" s="44" t="s">
        <v>247</v>
      </c>
      <c r="C14" s="58" t="s">
        <v>21</v>
      </c>
      <c r="D14" s="59" t="s">
        <v>295</v>
      </c>
      <c r="E14" s="19">
        <f>IF($D14&lt;&gt;"Entregado",0,IF($C14="","",VLOOKUP($C14,'DATA DE TARIFA'!$A$4:$C$68,2,FALSE)/1.18))</f>
        <v>10.16949153</v>
      </c>
      <c r="F14" s="19">
        <f>IF($C14="","",IF($D14="",0,VLOOKUP($C14,'DATA DE TARIFA'!$A$4:$C$68,3,FALSE)))</f>
        <v>4.5</v>
      </c>
      <c r="G14" s="66">
        <v>0.0</v>
      </c>
      <c r="H14" s="19">
        <f t="shared" si="1"/>
        <v>10.16949153</v>
      </c>
      <c r="I14" s="19">
        <f t="shared" si="2"/>
        <v>4.5</v>
      </c>
      <c r="J14" s="67"/>
      <c r="K14" s="44" t="str">
        <f>IF($B14="","",IFERROR(VLOOKUP($B14,Tiendas!$A$4:$B$176,2,FALSE),""))</f>
        <v>ALEXIS</v>
      </c>
      <c r="L14" s="68" t="s">
        <v>296</v>
      </c>
      <c r="M14" s="44" t="str">
        <f>IF($B14="","",IFERROR(VLOOKUP($B14,Tiendas!$A$4:$I$176,9,FALSE),""))</f>
        <v>No</v>
      </c>
      <c r="N14" s="69">
        <f t="shared" si="3"/>
        <v>0</v>
      </c>
      <c r="O14" s="69">
        <f t="shared" si="4"/>
        <v>0</v>
      </c>
    </row>
    <row r="15">
      <c r="A15" s="17">
        <v>46023.0</v>
      </c>
      <c r="B15" s="44" t="s">
        <v>247</v>
      </c>
      <c r="C15" s="58" t="s">
        <v>42</v>
      </c>
      <c r="D15" s="59" t="s">
        <v>295</v>
      </c>
      <c r="E15" s="19">
        <f>IF($D15&lt;&gt;"Entregado",0,IF($C15="","",VLOOKUP($C15,'DATA DE TARIFA'!$A$4:$C$68,2,FALSE)/1.18))</f>
        <v>8.474576271</v>
      </c>
      <c r="F15" s="19">
        <f>IF($C15="","",IF($D15="",0,VLOOKUP($C15,'DATA DE TARIFA'!$A$4:$C$68,3,FALSE)))</f>
        <v>4</v>
      </c>
      <c r="G15" s="66">
        <v>0.0</v>
      </c>
      <c r="H15" s="19">
        <f t="shared" si="1"/>
        <v>8.474576271</v>
      </c>
      <c r="I15" s="19">
        <f t="shared" si="2"/>
        <v>4</v>
      </c>
      <c r="J15" s="67"/>
      <c r="K15" s="44" t="str">
        <f>IF($B15="","",IFERROR(VLOOKUP($B15,Tiendas!$A$4:$B$176,2,FALSE),""))</f>
        <v>ALEXIS</v>
      </c>
      <c r="L15" s="68" t="s">
        <v>296</v>
      </c>
      <c r="M15" s="44" t="str">
        <f>IF($B15="","",IFERROR(VLOOKUP($B15,Tiendas!$A$4:$I$176,9,FALSE),""))</f>
        <v>No</v>
      </c>
      <c r="N15" s="69">
        <f t="shared" si="3"/>
        <v>0</v>
      </c>
      <c r="O15" s="69">
        <f t="shared" si="4"/>
        <v>0</v>
      </c>
    </row>
    <row r="16">
      <c r="A16" s="17">
        <v>46023.0</v>
      </c>
      <c r="B16" s="44" t="s">
        <v>247</v>
      </c>
      <c r="C16" s="58" t="s">
        <v>75</v>
      </c>
      <c r="D16" s="59" t="s">
        <v>295</v>
      </c>
      <c r="E16" s="19">
        <f>IF($D16&lt;&gt;"Entregado",0,IF($C16="","",VLOOKUP($C16,'DATA DE TARIFA'!$A$4:$C$68,2,FALSE)/1.18))</f>
        <v>10.16949153</v>
      </c>
      <c r="F16" s="19">
        <f>IF($C16="","",IF($D16="",0,VLOOKUP($C16,'DATA DE TARIFA'!$A$4:$C$68,3,FALSE)))</f>
        <v>4.5</v>
      </c>
      <c r="G16" s="66">
        <v>0.0</v>
      </c>
      <c r="H16" s="19">
        <f t="shared" si="1"/>
        <v>10.16949153</v>
      </c>
      <c r="I16" s="19">
        <f t="shared" si="2"/>
        <v>4.5</v>
      </c>
      <c r="J16" s="67"/>
      <c r="K16" s="44" t="str">
        <f>IF($B16="","",IFERROR(VLOOKUP($B16,Tiendas!$A$4:$B$176,2,FALSE),""))</f>
        <v>ALEXIS</v>
      </c>
      <c r="L16" s="68" t="s">
        <v>296</v>
      </c>
      <c r="M16" s="44" t="str">
        <f>IF($B16="","",IFERROR(VLOOKUP($B16,Tiendas!$A$4:$I$176,9,FALSE),""))</f>
        <v>No</v>
      </c>
      <c r="N16" s="69">
        <f t="shared" si="3"/>
        <v>0</v>
      </c>
      <c r="O16" s="69">
        <f t="shared" si="4"/>
        <v>0</v>
      </c>
    </row>
    <row r="17">
      <c r="A17" s="17">
        <v>46023.0</v>
      </c>
      <c r="B17" s="44" t="s">
        <v>247</v>
      </c>
      <c r="C17" s="58" t="s">
        <v>32</v>
      </c>
      <c r="D17" s="59" t="s">
        <v>295</v>
      </c>
      <c r="E17" s="19">
        <f>IF($D17&lt;&gt;"Entregado",0,IF($C17="","",VLOOKUP($C17,'DATA DE TARIFA'!$A$4:$C$68,2,FALSE)/1.18))</f>
        <v>8.474576271</v>
      </c>
      <c r="F17" s="19">
        <f>IF($C17="","",IF($D17="",0,VLOOKUP($C17,'DATA DE TARIFA'!$A$4:$C$68,3,FALSE)))</f>
        <v>4.5</v>
      </c>
      <c r="G17" s="66">
        <v>3.0</v>
      </c>
      <c r="H17" s="19">
        <f t="shared" si="1"/>
        <v>8.474576271</v>
      </c>
      <c r="I17" s="19">
        <f t="shared" si="2"/>
        <v>7.5</v>
      </c>
      <c r="J17" s="67"/>
      <c r="K17" s="44" t="str">
        <f>IF($B17="","",IFERROR(VLOOKUP($B17,Tiendas!$A$4:$B$176,2,FALSE),""))</f>
        <v>ALEXIS</v>
      </c>
      <c r="L17" s="68" t="s">
        <v>296</v>
      </c>
      <c r="M17" s="44" t="str">
        <f>IF($B17="","",IFERROR(VLOOKUP($B17,Tiendas!$A$4:$I$176,9,FALSE),""))</f>
        <v>No</v>
      </c>
      <c r="N17" s="69">
        <f t="shared" si="3"/>
        <v>0</v>
      </c>
      <c r="O17" s="69">
        <f t="shared" si="4"/>
        <v>0</v>
      </c>
    </row>
    <row r="18">
      <c r="A18" s="17">
        <v>46023.0</v>
      </c>
      <c r="B18" s="44" t="s">
        <v>247</v>
      </c>
      <c r="C18" s="58" t="s">
        <v>18</v>
      </c>
      <c r="D18" s="59" t="s">
        <v>295</v>
      </c>
      <c r="E18" s="19">
        <f>IF($D18&lt;&gt;"Entregado",0,IF($C18="","",VLOOKUP($C18,'DATA DE TARIFA'!$A$4:$C$68,2,FALSE)/1.18))</f>
        <v>10.16949153</v>
      </c>
      <c r="F18" s="19">
        <f>IF($C18="","",IF($D18="",0,VLOOKUP($C18,'DATA DE TARIFA'!$A$4:$C$68,3,FALSE)))</f>
        <v>4.5</v>
      </c>
      <c r="G18" s="66">
        <v>0.0</v>
      </c>
      <c r="H18" s="19">
        <f t="shared" si="1"/>
        <v>10.16949153</v>
      </c>
      <c r="I18" s="19">
        <f t="shared" si="2"/>
        <v>4.5</v>
      </c>
      <c r="J18" s="67"/>
      <c r="K18" s="44" t="str">
        <f>IF($B18="","",IFERROR(VLOOKUP($B18,Tiendas!$A$4:$B$176,2,FALSE),""))</f>
        <v>ALEXIS</v>
      </c>
      <c r="L18" s="68" t="s">
        <v>296</v>
      </c>
      <c r="M18" s="44" t="str">
        <f>IF($B18="","",IFERROR(VLOOKUP($B18,Tiendas!$A$4:$I$176,9,FALSE),""))</f>
        <v>No</v>
      </c>
      <c r="N18" s="69">
        <f t="shared" si="3"/>
        <v>0</v>
      </c>
      <c r="O18" s="69">
        <f t="shared" si="4"/>
        <v>0</v>
      </c>
    </row>
    <row r="19">
      <c r="A19" s="17">
        <v>46023.0</v>
      </c>
      <c r="B19" s="44" t="s">
        <v>247</v>
      </c>
      <c r="C19" s="58" t="s">
        <v>70</v>
      </c>
      <c r="D19" s="59" t="s">
        <v>295</v>
      </c>
      <c r="E19" s="19">
        <f>IF($D19&lt;&gt;"Entregado",0,IF($C19="","",VLOOKUP($C19,'DATA DE TARIFA'!$A$4:$C$68,2,FALSE)/1.18))</f>
        <v>8.474576271</v>
      </c>
      <c r="F19" s="19">
        <f>IF($C19="","",IF($D19="",0,VLOOKUP($C19,'DATA DE TARIFA'!$A$4:$C$68,3,FALSE)))</f>
        <v>4</v>
      </c>
      <c r="G19" s="66">
        <v>0.0</v>
      </c>
      <c r="H19" s="19">
        <f t="shared" si="1"/>
        <v>8.474576271</v>
      </c>
      <c r="I19" s="19">
        <f t="shared" si="2"/>
        <v>4</v>
      </c>
      <c r="J19" s="67"/>
      <c r="K19" s="44" t="str">
        <f>IF($B19="","",IFERROR(VLOOKUP($B19,Tiendas!$A$4:$B$176,2,FALSE),""))</f>
        <v>ALEXIS</v>
      </c>
      <c r="L19" s="68" t="s">
        <v>296</v>
      </c>
      <c r="M19" s="44" t="str">
        <f>IF($B19="","",IFERROR(VLOOKUP($B19,Tiendas!$A$4:$I$176,9,FALSE),""))</f>
        <v>No</v>
      </c>
      <c r="N19" s="69">
        <f t="shared" si="3"/>
        <v>0</v>
      </c>
      <c r="O19" s="69">
        <f t="shared" si="4"/>
        <v>0</v>
      </c>
    </row>
    <row r="20">
      <c r="A20" s="17">
        <v>46023.0</v>
      </c>
      <c r="B20" s="44" t="s">
        <v>247</v>
      </c>
      <c r="C20" s="58" t="s">
        <v>32</v>
      </c>
      <c r="D20" s="59" t="s">
        <v>295</v>
      </c>
      <c r="E20" s="19">
        <f>IF($D20&lt;&gt;"Entregado",0,IF($C20="","",VLOOKUP($C20,'DATA DE TARIFA'!$A$4:$C$68,2,FALSE)/1.18))</f>
        <v>8.474576271</v>
      </c>
      <c r="F20" s="19">
        <f>IF($C20="","",IF($D20="",0,VLOOKUP($C20,'DATA DE TARIFA'!$A$4:$C$68,3,FALSE)))</f>
        <v>4.5</v>
      </c>
      <c r="G20" s="66">
        <v>0.0</v>
      </c>
      <c r="H20" s="19">
        <f t="shared" si="1"/>
        <v>8.474576271</v>
      </c>
      <c r="I20" s="19">
        <f t="shared" si="2"/>
        <v>4.5</v>
      </c>
      <c r="J20" s="67"/>
      <c r="K20" s="44" t="str">
        <f>IF($B20="","",IFERROR(VLOOKUP($B20,Tiendas!$A$4:$B$176,2,FALSE),""))</f>
        <v>ALEXIS</v>
      </c>
      <c r="L20" s="68" t="s">
        <v>296</v>
      </c>
      <c r="M20" s="44" t="str">
        <f>IF($B20="","",IFERROR(VLOOKUP($B20,Tiendas!$A$4:$I$176,9,FALSE),""))</f>
        <v>No</v>
      </c>
      <c r="N20" s="69">
        <f t="shared" si="3"/>
        <v>0</v>
      </c>
      <c r="O20" s="69">
        <f t="shared" si="4"/>
        <v>0</v>
      </c>
    </row>
    <row r="21" ht="15.75" customHeight="1">
      <c r="A21" s="17">
        <v>46023.0</v>
      </c>
      <c r="B21" s="44" t="s">
        <v>247</v>
      </c>
      <c r="C21" s="58" t="s">
        <v>15</v>
      </c>
      <c r="D21" s="59" t="s">
        <v>295</v>
      </c>
      <c r="E21" s="19">
        <f>IF($D21&lt;&gt;"Entregado",0,IF($C21="","",VLOOKUP($C21,'DATA DE TARIFA'!$A$4:$C$68,2,FALSE)/1.18))</f>
        <v>8.474576271</v>
      </c>
      <c r="F21" s="19">
        <f>IF($C21="","",IF($D21="",0,VLOOKUP($C21,'DATA DE TARIFA'!$A$4:$C$68,3,FALSE)))</f>
        <v>4.5</v>
      </c>
      <c r="G21" s="66">
        <v>0.0</v>
      </c>
      <c r="H21" s="19">
        <f t="shared" si="1"/>
        <v>8.474576271</v>
      </c>
      <c r="I21" s="19">
        <f t="shared" si="2"/>
        <v>4.5</v>
      </c>
      <c r="J21" s="67"/>
      <c r="K21" s="44" t="str">
        <f>IF($B21="","",IFERROR(VLOOKUP($B21,Tiendas!$A$4:$B$176,2,FALSE),""))</f>
        <v>ALEXIS</v>
      </c>
      <c r="L21" s="68" t="s">
        <v>296</v>
      </c>
      <c r="M21" s="44" t="str">
        <f>IF($B21="","",IFERROR(VLOOKUP($B21,Tiendas!$A$4:$I$176,9,FALSE),""))</f>
        <v>No</v>
      </c>
      <c r="N21" s="69">
        <f t="shared" si="3"/>
        <v>0</v>
      </c>
      <c r="O21" s="69">
        <f t="shared" si="4"/>
        <v>0</v>
      </c>
    </row>
    <row r="22" ht="15.75" customHeight="1">
      <c r="A22" s="17">
        <v>46023.0</v>
      </c>
      <c r="B22" s="44" t="s">
        <v>247</v>
      </c>
      <c r="C22" s="58" t="s">
        <v>18</v>
      </c>
      <c r="D22" s="59" t="s">
        <v>295</v>
      </c>
      <c r="E22" s="19">
        <f>IF($D22&lt;&gt;"Entregado",0,IF($C22="","",VLOOKUP($C22,'DATA DE TARIFA'!$A$4:$C$68,2,FALSE)/1.18))</f>
        <v>10.16949153</v>
      </c>
      <c r="F22" s="19">
        <f>IF($C22="","",IF($D22="",0,VLOOKUP($C22,'DATA DE TARIFA'!$A$4:$C$68,3,FALSE)))</f>
        <v>4.5</v>
      </c>
      <c r="G22" s="66">
        <v>0.0</v>
      </c>
      <c r="H22" s="19">
        <f t="shared" si="1"/>
        <v>10.16949153</v>
      </c>
      <c r="I22" s="19">
        <f t="shared" si="2"/>
        <v>4.5</v>
      </c>
      <c r="J22" s="67"/>
      <c r="K22" s="44" t="str">
        <f>IF($B22="","",IFERROR(VLOOKUP($B22,Tiendas!$A$4:$B$176,2,FALSE),""))</f>
        <v>ALEXIS</v>
      </c>
      <c r="L22" s="68" t="s">
        <v>296</v>
      </c>
      <c r="M22" s="44" t="str">
        <f>IF($B22="","",IFERROR(VLOOKUP($B22,Tiendas!$A$4:$I$176,9,FALSE),""))</f>
        <v>No</v>
      </c>
      <c r="N22" s="69">
        <f t="shared" si="3"/>
        <v>0</v>
      </c>
      <c r="O22" s="69">
        <f t="shared" si="4"/>
        <v>0</v>
      </c>
    </row>
    <row r="23" ht="15.75" customHeight="1">
      <c r="A23" s="17">
        <v>46023.0</v>
      </c>
      <c r="B23" s="44" t="s">
        <v>247</v>
      </c>
      <c r="C23" s="58" t="s">
        <v>51</v>
      </c>
      <c r="D23" s="59" t="s">
        <v>295</v>
      </c>
      <c r="E23" s="19">
        <f>IF($D23&lt;&gt;"Entregado",0,IF($C23="","",VLOOKUP($C23,'DATA DE TARIFA'!$A$4:$C$68,2,FALSE)/1.18))</f>
        <v>10.16949153</v>
      </c>
      <c r="F23" s="19">
        <f>IF($C23="","",IF($D23="",0,VLOOKUP($C23,'DATA DE TARIFA'!$A$4:$C$68,3,FALSE)))</f>
        <v>5.5</v>
      </c>
      <c r="G23" s="66">
        <v>0.0</v>
      </c>
      <c r="H23" s="19">
        <f t="shared" si="1"/>
        <v>10.16949153</v>
      </c>
      <c r="I23" s="19">
        <f t="shared" si="2"/>
        <v>5.5</v>
      </c>
      <c r="J23" s="67"/>
      <c r="K23" s="44" t="str">
        <f>IF($B23="","",IFERROR(VLOOKUP($B23,Tiendas!$A$4:$B$176,2,FALSE),""))</f>
        <v>ALEXIS</v>
      </c>
      <c r="L23" s="68" t="s">
        <v>296</v>
      </c>
      <c r="M23" s="44" t="str">
        <f>IF($B23="","",IFERROR(VLOOKUP($B23,Tiendas!$A$4:$I$176,9,FALSE),""))</f>
        <v>No</v>
      </c>
      <c r="N23" s="69">
        <f t="shared" si="3"/>
        <v>0</v>
      </c>
      <c r="O23" s="69">
        <f t="shared" si="4"/>
        <v>0</v>
      </c>
    </row>
    <row r="24" ht="15.75" customHeight="1">
      <c r="A24" s="17">
        <v>46023.0</v>
      </c>
      <c r="B24" s="44" t="s">
        <v>247</v>
      </c>
      <c r="C24" s="58" t="s">
        <v>26</v>
      </c>
      <c r="D24" s="59" t="s">
        <v>295</v>
      </c>
      <c r="E24" s="19">
        <f>IF($D24&lt;&gt;"Entregado",0,IF($C24="","",VLOOKUP($C24,'DATA DE TARIFA'!$A$4:$C$68,2,FALSE)/1.18))</f>
        <v>10.16949153</v>
      </c>
      <c r="F24" s="19">
        <f>IF($C24="","",IF($D24="",0,VLOOKUP($C24,'DATA DE TARIFA'!$A$4:$C$68,3,FALSE)))</f>
        <v>5</v>
      </c>
      <c r="G24" s="66">
        <v>0.0</v>
      </c>
      <c r="H24" s="19">
        <f t="shared" si="1"/>
        <v>10.16949153</v>
      </c>
      <c r="I24" s="19">
        <f t="shared" si="2"/>
        <v>5</v>
      </c>
      <c r="J24" s="67"/>
      <c r="K24" s="44" t="str">
        <f>IF($B24="","",IFERROR(VLOOKUP($B24,Tiendas!$A$4:$B$176,2,FALSE),""))</f>
        <v>ALEXIS</v>
      </c>
      <c r="L24" s="68" t="s">
        <v>296</v>
      </c>
      <c r="M24" s="44" t="str">
        <f>IF($B24="","",IFERROR(VLOOKUP($B24,Tiendas!$A$4:$I$176,9,FALSE),""))</f>
        <v>No</v>
      </c>
      <c r="N24" s="69">
        <f t="shared" si="3"/>
        <v>0</v>
      </c>
      <c r="O24" s="69">
        <f t="shared" si="4"/>
        <v>0</v>
      </c>
    </row>
    <row r="25" ht="15.75" customHeight="1">
      <c r="A25" s="17">
        <v>46023.0</v>
      </c>
      <c r="B25" s="44" t="s">
        <v>245</v>
      </c>
      <c r="C25" s="58" t="s">
        <v>21</v>
      </c>
      <c r="D25" s="59" t="s">
        <v>295</v>
      </c>
      <c r="E25" s="19">
        <f>IF($D25&lt;&gt;"Entregado",0,IF($C25="","",VLOOKUP($C25,'DATA DE TARIFA'!$A$4:$C$68,2,FALSE)/1.18))</f>
        <v>10.16949153</v>
      </c>
      <c r="F25" s="19">
        <f>IF($C25="","",IF($D25="",0,VLOOKUP($C25,'DATA DE TARIFA'!$A$4:$C$68,3,FALSE)))</f>
        <v>4.5</v>
      </c>
      <c r="G25" s="66">
        <v>0.0</v>
      </c>
      <c r="H25" s="19">
        <f t="shared" si="1"/>
        <v>10.16949153</v>
      </c>
      <c r="I25" s="19">
        <f t="shared" si="2"/>
        <v>4.5</v>
      </c>
      <c r="J25" s="67"/>
      <c r="K25" s="44" t="str">
        <f>IF($B25="","",IFERROR(VLOOKUP($B25,Tiendas!$A$4:$B$176,2,FALSE),""))</f>
        <v>ALEXIS</v>
      </c>
      <c r="L25" s="68" t="s">
        <v>296</v>
      </c>
      <c r="M25" s="44" t="str">
        <f>IF($B25="","",IFERROR(VLOOKUP($B25,Tiendas!$A$4:$I$176,9,FALSE),""))</f>
        <v>No</v>
      </c>
      <c r="N25" s="69">
        <f t="shared" si="3"/>
        <v>0</v>
      </c>
      <c r="O25" s="69">
        <f t="shared" si="4"/>
        <v>0</v>
      </c>
    </row>
    <row r="26" ht="15.75" customHeight="1">
      <c r="A26" s="17">
        <v>46023.0</v>
      </c>
      <c r="B26" s="44" t="s">
        <v>245</v>
      </c>
      <c r="C26" s="58" t="s">
        <v>63</v>
      </c>
      <c r="D26" s="59" t="s">
        <v>295</v>
      </c>
      <c r="E26" s="19">
        <f>IF($D26&lt;&gt;"Entregado",0,IF($C26="","",VLOOKUP($C26,'DATA DE TARIFA'!$A$4:$C$68,2,FALSE)/1.18))</f>
        <v>8.474576271</v>
      </c>
      <c r="F26" s="19">
        <f>IF($C26="","",IF($D26="",0,VLOOKUP($C26,'DATA DE TARIFA'!$A$4:$C$68,3,FALSE)))</f>
        <v>4</v>
      </c>
      <c r="G26" s="66">
        <v>0.0</v>
      </c>
      <c r="H26" s="19">
        <f t="shared" si="1"/>
        <v>8.474576271</v>
      </c>
      <c r="I26" s="19">
        <f t="shared" si="2"/>
        <v>4</v>
      </c>
      <c r="J26" s="67"/>
      <c r="K26" s="44" t="str">
        <f>IF($B26="","",IFERROR(VLOOKUP($B26,Tiendas!$A$4:$B$176,2,FALSE),""))</f>
        <v>ALEXIS</v>
      </c>
      <c r="L26" s="68" t="s">
        <v>296</v>
      </c>
      <c r="M26" s="44" t="str">
        <f>IF($B26="","",IFERROR(VLOOKUP($B26,Tiendas!$A$4:$I$176,9,FALSE),""))</f>
        <v>No</v>
      </c>
      <c r="N26" s="69">
        <f t="shared" si="3"/>
        <v>0</v>
      </c>
      <c r="O26" s="69">
        <f t="shared" si="4"/>
        <v>0</v>
      </c>
    </row>
    <row r="27" ht="15.75" customHeight="1">
      <c r="A27" s="17">
        <v>46023.0</v>
      </c>
      <c r="B27" s="44" t="s">
        <v>257</v>
      </c>
      <c r="C27" s="58" t="s">
        <v>57</v>
      </c>
      <c r="D27" s="59" t="s">
        <v>295</v>
      </c>
      <c r="E27" s="19">
        <f>IF($D27&lt;&gt;"Entregado",0,IF($C27="","",VLOOKUP($C27,'DATA DE TARIFA'!$A$4:$C$68,2,FALSE)/1.18))</f>
        <v>8.474576271</v>
      </c>
      <c r="F27" s="19">
        <f>IF($C27="","",IF($D27="",0,VLOOKUP($C27,'DATA DE TARIFA'!$A$4:$C$68,3,FALSE)))</f>
        <v>4.5</v>
      </c>
      <c r="G27" s="66">
        <v>0.0</v>
      </c>
      <c r="H27" s="19">
        <f t="shared" si="1"/>
        <v>8.474576271</v>
      </c>
      <c r="I27" s="19">
        <f t="shared" si="2"/>
        <v>4.5</v>
      </c>
      <c r="J27" s="67"/>
      <c r="K27" s="44" t="str">
        <f>IF($B27="","",IFERROR(VLOOKUP($B27,Tiendas!$A$4:$B$176,2,FALSE),""))</f>
        <v>ALEXIS</v>
      </c>
      <c r="L27" s="68" t="s">
        <v>296</v>
      </c>
      <c r="M27" s="44" t="str">
        <f>IF($B27="","",IFERROR(VLOOKUP($B27,Tiendas!$A$4:$I$176,9,FALSE),""))</f>
        <v>No</v>
      </c>
      <c r="N27" s="69">
        <f t="shared" si="3"/>
        <v>0</v>
      </c>
      <c r="O27" s="69">
        <f t="shared" si="4"/>
        <v>0</v>
      </c>
    </row>
    <row r="28" ht="15.75" customHeight="1">
      <c r="A28" s="17">
        <v>46023.0</v>
      </c>
      <c r="B28" s="58" t="s">
        <v>257</v>
      </c>
      <c r="C28" s="58" t="s">
        <v>46</v>
      </c>
      <c r="D28" s="59" t="s">
        <v>295</v>
      </c>
      <c r="E28" s="19">
        <f>IF($D28&lt;&gt;"Entregado",0,IF($C28="","",VLOOKUP($C28,'DATA DE TARIFA'!$A$4:$C$68,2,FALSE)/1.18))</f>
        <v>10.16949153</v>
      </c>
      <c r="F28" s="19">
        <f>IF($C28="","",IF($D28="",0,VLOOKUP($C28,'DATA DE TARIFA'!$A$4:$C$68,3,FALSE)))</f>
        <v>4.5</v>
      </c>
      <c r="G28" s="66">
        <v>0.0</v>
      </c>
      <c r="H28" s="19">
        <f t="shared" si="1"/>
        <v>10.16949153</v>
      </c>
      <c r="I28" s="19">
        <f t="shared" si="2"/>
        <v>4.5</v>
      </c>
      <c r="J28" s="67"/>
      <c r="K28" s="44" t="str">
        <f>IF($B28="","",IFERROR(VLOOKUP($B28,Tiendas!$A$4:$B$176,2,FALSE),""))</f>
        <v>ALEXIS</v>
      </c>
      <c r="L28" s="68" t="s">
        <v>296</v>
      </c>
      <c r="M28" s="44" t="str">
        <f>IF($B28="","",IFERROR(VLOOKUP($B28,Tiendas!$A$4:$I$176,9,FALSE),""))</f>
        <v>No</v>
      </c>
      <c r="N28" s="69">
        <f t="shared" si="3"/>
        <v>0</v>
      </c>
      <c r="O28" s="69">
        <f t="shared" si="4"/>
        <v>0</v>
      </c>
    </row>
    <row r="29" ht="15.75" customHeight="1">
      <c r="A29" s="17">
        <v>46023.0</v>
      </c>
      <c r="B29" s="58" t="s">
        <v>257</v>
      </c>
      <c r="C29" s="58" t="s">
        <v>15</v>
      </c>
      <c r="D29" s="59" t="s">
        <v>295</v>
      </c>
      <c r="E29" s="19">
        <f>IF($D29&lt;&gt;"Entregado",0,IF($C29="","",VLOOKUP($C29,'DATA DE TARIFA'!$A$4:$C$68,2,FALSE)/1.18))</f>
        <v>8.474576271</v>
      </c>
      <c r="F29" s="19">
        <f>IF($C29="","",IF($D29="",0,VLOOKUP($C29,'DATA DE TARIFA'!$A$4:$C$68,3,FALSE)))</f>
        <v>4.5</v>
      </c>
      <c r="G29" s="66">
        <v>0.0</v>
      </c>
      <c r="H29" s="19">
        <f t="shared" si="1"/>
        <v>8.474576271</v>
      </c>
      <c r="I29" s="19">
        <f t="shared" si="2"/>
        <v>4.5</v>
      </c>
      <c r="J29" s="67"/>
      <c r="K29" s="44" t="str">
        <f>IF($B29="","",IFERROR(VLOOKUP($B29,Tiendas!$A$4:$B$176,2,FALSE),""))</f>
        <v>ALEXIS</v>
      </c>
      <c r="L29" s="68" t="s">
        <v>296</v>
      </c>
      <c r="M29" s="44" t="str">
        <f>IF($B29="","",IFERROR(VLOOKUP($B29,Tiendas!$A$4:$I$176,9,FALSE),""))</f>
        <v>No</v>
      </c>
      <c r="N29" s="69">
        <f t="shared" si="3"/>
        <v>0</v>
      </c>
      <c r="O29" s="69">
        <f t="shared" si="4"/>
        <v>0</v>
      </c>
    </row>
    <row r="30" ht="15.75" customHeight="1">
      <c r="A30" s="17">
        <v>46023.0</v>
      </c>
      <c r="B30" s="58" t="s">
        <v>257</v>
      </c>
      <c r="C30" s="58" t="s">
        <v>47</v>
      </c>
      <c r="D30" s="59" t="s">
        <v>295</v>
      </c>
      <c r="E30" s="19">
        <f>IF($D30&lt;&gt;"Entregado",0,IF($C30="","",VLOOKUP($C30,'DATA DE TARIFA'!$A$4:$C$68,2,FALSE)/1.18))</f>
        <v>10.16949153</v>
      </c>
      <c r="F30" s="19">
        <f>IF($C30="","",IF($D30="",0,VLOOKUP($C30,'DATA DE TARIFA'!$A$4:$C$68,3,FALSE)))</f>
        <v>5.5</v>
      </c>
      <c r="G30" s="66">
        <v>0.0</v>
      </c>
      <c r="H30" s="19">
        <f t="shared" si="1"/>
        <v>10.16949153</v>
      </c>
      <c r="I30" s="19">
        <f t="shared" si="2"/>
        <v>5.5</v>
      </c>
      <c r="J30" s="67"/>
      <c r="K30" s="44" t="str">
        <f>IF($B30="","",IFERROR(VLOOKUP($B30,Tiendas!$A$4:$B$176,2,FALSE),""))</f>
        <v>ALEXIS</v>
      </c>
      <c r="L30" s="68" t="s">
        <v>296</v>
      </c>
      <c r="M30" s="44" t="str">
        <f>IF($B30="","",IFERROR(VLOOKUP($B30,Tiendas!$A$4:$I$176,9,FALSE),""))</f>
        <v>No</v>
      </c>
      <c r="N30" s="69">
        <f t="shared" si="3"/>
        <v>0</v>
      </c>
      <c r="O30" s="69">
        <f t="shared" si="4"/>
        <v>0</v>
      </c>
    </row>
    <row r="31" ht="15.75" customHeight="1">
      <c r="A31" s="17">
        <v>46023.0</v>
      </c>
      <c r="B31" s="58" t="s">
        <v>257</v>
      </c>
      <c r="C31" s="58" t="s">
        <v>21</v>
      </c>
      <c r="D31" s="59" t="s">
        <v>295</v>
      </c>
      <c r="E31" s="19">
        <f>IF($D31&lt;&gt;"Entregado",0,IF($C31="","",VLOOKUP($C31,'DATA DE TARIFA'!$A$4:$C$68,2,FALSE)/1.18))</f>
        <v>10.16949153</v>
      </c>
      <c r="F31" s="19">
        <f>IF($C31="","",IF($D31="",0,VLOOKUP($C31,'DATA DE TARIFA'!$A$4:$C$68,3,FALSE)))</f>
        <v>4.5</v>
      </c>
      <c r="G31" s="66">
        <v>0.0</v>
      </c>
      <c r="H31" s="19">
        <f t="shared" si="1"/>
        <v>10.16949153</v>
      </c>
      <c r="I31" s="19">
        <f t="shared" si="2"/>
        <v>4.5</v>
      </c>
      <c r="J31" s="67"/>
      <c r="K31" s="44" t="str">
        <f>IF($B31="","",IFERROR(VLOOKUP($B31,Tiendas!$A$4:$B$176,2,FALSE),""))</f>
        <v>ALEXIS</v>
      </c>
      <c r="L31" s="68" t="s">
        <v>296</v>
      </c>
      <c r="M31" s="44" t="str">
        <f>IF($B31="","",IFERROR(VLOOKUP($B31,Tiendas!$A$4:$I$176,9,FALSE),""))</f>
        <v>No</v>
      </c>
      <c r="N31" s="69">
        <f t="shared" si="3"/>
        <v>0</v>
      </c>
      <c r="O31" s="69">
        <f t="shared" si="4"/>
        <v>0</v>
      </c>
    </row>
    <row r="32" ht="15.75" customHeight="1">
      <c r="A32" s="17">
        <v>46023.0</v>
      </c>
      <c r="B32" s="58" t="s">
        <v>257</v>
      </c>
      <c r="C32" s="58" t="s">
        <v>85</v>
      </c>
      <c r="D32" s="59" t="s">
        <v>295</v>
      </c>
      <c r="E32" s="19">
        <f>IF($D32&lt;&gt;"Entregado",0,IF($C32="","",VLOOKUP($C32,'DATA DE TARIFA'!$A$4:$C$68,2,FALSE)/1.18))</f>
        <v>14.40677966</v>
      </c>
      <c r="F32" s="19">
        <f>IF($C32="","",IF($D32="",0,VLOOKUP($C32,'DATA DE TARIFA'!$A$4:$C$68,3,FALSE)))</f>
        <v>8.5</v>
      </c>
      <c r="G32" s="66">
        <v>0.0</v>
      </c>
      <c r="H32" s="19">
        <f t="shared" si="1"/>
        <v>14.40677966</v>
      </c>
      <c r="I32" s="19">
        <f t="shared" si="2"/>
        <v>8.5</v>
      </c>
      <c r="J32" s="67"/>
      <c r="K32" s="44" t="str">
        <f>IF($B32="","",IFERROR(VLOOKUP($B32,Tiendas!$A$4:$B$176,2,FALSE),""))</f>
        <v>ALEXIS</v>
      </c>
      <c r="L32" s="68" t="s">
        <v>296</v>
      </c>
      <c r="M32" s="44" t="str">
        <f>IF($B32="","",IFERROR(VLOOKUP($B32,Tiendas!$A$4:$I$176,9,FALSE),""))</f>
        <v>No</v>
      </c>
      <c r="N32" s="69">
        <f t="shared" si="3"/>
        <v>0</v>
      </c>
      <c r="O32" s="69">
        <f t="shared" si="4"/>
        <v>0</v>
      </c>
    </row>
    <row r="33" ht="15.75" customHeight="1">
      <c r="A33" s="17">
        <v>46023.0</v>
      </c>
      <c r="B33" s="58" t="s">
        <v>257</v>
      </c>
      <c r="C33" s="58" t="s">
        <v>63</v>
      </c>
      <c r="D33" s="59" t="s">
        <v>295</v>
      </c>
      <c r="E33" s="19">
        <f>IF($D33&lt;&gt;"Entregado",0,IF($C33="","",VLOOKUP($C33,'DATA DE TARIFA'!$A$4:$C$68,2,FALSE)/1.18))</f>
        <v>8.474576271</v>
      </c>
      <c r="F33" s="19">
        <f>IF($C33="","",IF($D33="",0,VLOOKUP($C33,'DATA DE TARIFA'!$A$4:$C$68,3,FALSE)))</f>
        <v>4</v>
      </c>
      <c r="G33" s="66">
        <v>0.0</v>
      </c>
      <c r="H33" s="19">
        <f t="shared" si="1"/>
        <v>8.474576271</v>
      </c>
      <c r="I33" s="19">
        <f t="shared" si="2"/>
        <v>4</v>
      </c>
      <c r="J33" s="67"/>
      <c r="K33" s="44" t="str">
        <f>IF($B33="","",IFERROR(VLOOKUP($B33,Tiendas!$A$4:$B$176,2,FALSE),""))</f>
        <v>ALEXIS</v>
      </c>
      <c r="L33" s="68" t="s">
        <v>296</v>
      </c>
      <c r="M33" s="44" t="str">
        <f>IF($B33="","",IFERROR(VLOOKUP($B33,Tiendas!$A$4:$I$176,9,FALSE),""))</f>
        <v>No</v>
      </c>
      <c r="N33" s="69">
        <f t="shared" si="3"/>
        <v>0</v>
      </c>
      <c r="O33" s="69">
        <f t="shared" si="4"/>
        <v>0</v>
      </c>
    </row>
    <row r="34" ht="15.75" customHeight="1">
      <c r="A34" s="17">
        <v>46023.0</v>
      </c>
      <c r="B34" s="58" t="s">
        <v>257</v>
      </c>
      <c r="C34" s="58" t="s">
        <v>65</v>
      </c>
      <c r="D34" s="59" t="s">
        <v>295</v>
      </c>
      <c r="E34" s="19">
        <f>IF($D34&lt;&gt;"Entregado",0,IF($C34="","",VLOOKUP($C34,'DATA DE TARIFA'!$A$4:$C$68,2,FALSE)/1.18))</f>
        <v>10.16949153</v>
      </c>
      <c r="F34" s="19">
        <f>IF($C34="","",IF($D34="",0,VLOOKUP($C34,'DATA DE TARIFA'!$A$4:$C$68,3,FALSE)))</f>
        <v>4.5</v>
      </c>
      <c r="G34" s="66">
        <v>0.0</v>
      </c>
      <c r="H34" s="19">
        <f t="shared" si="1"/>
        <v>10.16949153</v>
      </c>
      <c r="I34" s="19">
        <f t="shared" si="2"/>
        <v>4.5</v>
      </c>
      <c r="J34" s="67"/>
      <c r="K34" s="44" t="str">
        <f>IF($B34="","",IFERROR(VLOOKUP($B34,Tiendas!$A$4:$B$176,2,FALSE),""))</f>
        <v>ALEXIS</v>
      </c>
      <c r="L34" s="68" t="s">
        <v>296</v>
      </c>
      <c r="M34" s="44" t="str">
        <f>IF($B34="","",IFERROR(VLOOKUP($B34,Tiendas!$A$4:$I$176,9,FALSE),""))</f>
        <v>No</v>
      </c>
      <c r="N34" s="69">
        <f t="shared" si="3"/>
        <v>0</v>
      </c>
      <c r="O34" s="69">
        <f t="shared" si="4"/>
        <v>0</v>
      </c>
    </row>
    <row r="35" ht="15.75" customHeight="1">
      <c r="A35" s="17">
        <v>46023.0</v>
      </c>
      <c r="B35" s="58" t="s">
        <v>257</v>
      </c>
      <c r="C35" s="58" t="s">
        <v>34</v>
      </c>
      <c r="D35" s="59" t="s">
        <v>295</v>
      </c>
      <c r="E35" s="19">
        <f>IF($D35&lt;&gt;"Entregado",0,IF($C35="","",VLOOKUP($C35,'DATA DE TARIFA'!$A$4:$C$68,2,FALSE)/1.18))</f>
        <v>10.16949153</v>
      </c>
      <c r="F35" s="19">
        <f>IF($C35="","",IF($D35="",0,VLOOKUP($C35,'DATA DE TARIFA'!$A$4:$C$68,3,FALSE)))</f>
        <v>4.5</v>
      </c>
      <c r="G35" s="66">
        <v>0.0</v>
      </c>
      <c r="H35" s="19">
        <f t="shared" si="1"/>
        <v>10.16949153</v>
      </c>
      <c r="I35" s="19">
        <f t="shared" si="2"/>
        <v>4.5</v>
      </c>
      <c r="J35" s="67"/>
      <c r="K35" s="44" t="str">
        <f>IF($B35="","",IFERROR(VLOOKUP($B35,Tiendas!$A$4:$B$176,2,FALSE),""))</f>
        <v>ALEXIS</v>
      </c>
      <c r="L35" s="68" t="s">
        <v>296</v>
      </c>
      <c r="M35" s="44" t="str">
        <f>IF($B35="","",IFERROR(VLOOKUP($B35,Tiendas!$A$4:$I$176,9,FALSE),""))</f>
        <v>No</v>
      </c>
      <c r="N35" s="69">
        <f t="shared" si="3"/>
        <v>0</v>
      </c>
      <c r="O35" s="69">
        <f t="shared" si="4"/>
        <v>0</v>
      </c>
    </row>
    <row r="36" ht="15.75" customHeight="1">
      <c r="A36" s="17">
        <v>46023.0</v>
      </c>
      <c r="B36" s="58" t="s">
        <v>257</v>
      </c>
      <c r="C36" s="58" t="s">
        <v>57</v>
      </c>
      <c r="D36" s="59" t="s">
        <v>295</v>
      </c>
      <c r="E36" s="19">
        <f>IF($D36&lt;&gt;"Entregado",0,IF($C36="","",VLOOKUP($C36,'DATA DE TARIFA'!$A$4:$C$68,2,FALSE)/1.18))</f>
        <v>8.474576271</v>
      </c>
      <c r="F36" s="19">
        <f>IF($C36="","",IF($D36="",0,VLOOKUP($C36,'DATA DE TARIFA'!$A$4:$C$68,3,FALSE)))</f>
        <v>4.5</v>
      </c>
      <c r="G36" s="66">
        <v>0.0</v>
      </c>
      <c r="H36" s="19">
        <f t="shared" si="1"/>
        <v>8.474576271</v>
      </c>
      <c r="I36" s="19">
        <f t="shared" si="2"/>
        <v>4.5</v>
      </c>
      <c r="J36" s="67"/>
      <c r="K36" s="44" t="str">
        <f>IF($B36="","",IFERROR(VLOOKUP($B36,Tiendas!$A$4:$B$176,2,FALSE),""))</f>
        <v>ALEXIS</v>
      </c>
      <c r="L36" s="68" t="s">
        <v>296</v>
      </c>
      <c r="M36" s="44" t="str">
        <f>IF($B36="","",IFERROR(VLOOKUP($B36,Tiendas!$A$4:$I$176,9,FALSE),""))</f>
        <v>No</v>
      </c>
      <c r="N36" s="69">
        <f t="shared" si="3"/>
        <v>0</v>
      </c>
      <c r="O36" s="69">
        <f t="shared" si="4"/>
        <v>0</v>
      </c>
    </row>
    <row r="37" ht="15.75" customHeight="1">
      <c r="A37" s="17">
        <v>46023.0</v>
      </c>
      <c r="B37" s="58" t="s">
        <v>200</v>
      </c>
      <c r="C37" s="58" t="s">
        <v>70</v>
      </c>
      <c r="D37" s="59" t="s">
        <v>295</v>
      </c>
      <c r="E37" s="19">
        <f>IF($D37&lt;&gt;"Entregado",0,IF($C37="","",VLOOKUP($C37,'DATA DE TARIFA'!$A$4:$C$68,2,FALSE)/1.18))</f>
        <v>8.474576271</v>
      </c>
      <c r="F37" s="19">
        <f>IF($C37="","",IF($D37="",0,VLOOKUP($C37,'DATA DE TARIFA'!$A$4:$C$68,3,FALSE)))</f>
        <v>4</v>
      </c>
      <c r="G37" s="66">
        <v>0.0</v>
      </c>
      <c r="H37" s="19">
        <f t="shared" si="1"/>
        <v>8.474576271</v>
      </c>
      <c r="I37" s="19">
        <f t="shared" si="2"/>
        <v>4</v>
      </c>
      <c r="J37" s="67"/>
      <c r="K37" s="44" t="str">
        <f>IF($B37="","",IFERROR(VLOOKUP($B37,Tiendas!$A$4:$B$176,2,FALSE),""))</f>
        <v>ALEXIS</v>
      </c>
      <c r="L37" s="68" t="s">
        <v>296</v>
      </c>
      <c r="M37" s="44" t="str">
        <f>IF($B37="","",IFERROR(VLOOKUP($B37,Tiendas!$A$4:$I$176,9,FALSE),""))</f>
        <v>No</v>
      </c>
      <c r="N37" s="69">
        <f t="shared" si="3"/>
        <v>0</v>
      </c>
      <c r="O37" s="69">
        <f t="shared" si="4"/>
        <v>0</v>
      </c>
    </row>
    <row r="38" ht="15.75" customHeight="1">
      <c r="A38" s="17">
        <v>46023.0</v>
      </c>
      <c r="B38" s="58" t="s">
        <v>200</v>
      </c>
      <c r="C38" s="58" t="s">
        <v>70</v>
      </c>
      <c r="D38" s="59" t="s">
        <v>295</v>
      </c>
      <c r="E38" s="19">
        <f>IF($D38&lt;&gt;"Entregado",0,IF($C38="","",VLOOKUP($C38,'DATA DE TARIFA'!$A$4:$C$68,2,FALSE)/1.18))</f>
        <v>8.474576271</v>
      </c>
      <c r="F38" s="19">
        <f>IF($C38="","",IF($D38="",0,VLOOKUP($C38,'DATA DE TARIFA'!$A$4:$C$68,3,FALSE)))</f>
        <v>4</v>
      </c>
      <c r="G38" s="66">
        <v>0.0</v>
      </c>
      <c r="H38" s="19">
        <f t="shared" si="1"/>
        <v>8.474576271</v>
      </c>
      <c r="I38" s="19">
        <f t="shared" si="2"/>
        <v>4</v>
      </c>
      <c r="J38" s="67"/>
      <c r="K38" s="44" t="str">
        <f>IF($B38="","",IFERROR(VLOOKUP($B38,Tiendas!$A$4:$B$176,2,FALSE),""))</f>
        <v>ALEXIS</v>
      </c>
      <c r="L38" s="68" t="s">
        <v>296</v>
      </c>
      <c r="M38" s="44" t="str">
        <f>IF($B38="","",IFERROR(VLOOKUP($B38,Tiendas!$A$4:$I$176,9,FALSE),""))</f>
        <v>No</v>
      </c>
      <c r="N38" s="69">
        <f t="shared" si="3"/>
        <v>0</v>
      </c>
      <c r="O38" s="69">
        <f t="shared" si="4"/>
        <v>0</v>
      </c>
    </row>
    <row r="39" ht="15.75" customHeight="1">
      <c r="A39" s="17">
        <v>46023.0</v>
      </c>
      <c r="B39" s="58" t="s">
        <v>200</v>
      </c>
      <c r="C39" s="58" t="s">
        <v>40</v>
      </c>
      <c r="D39" s="59" t="s">
        <v>295</v>
      </c>
      <c r="E39" s="19">
        <f>IF($D39&lt;&gt;"Entregado",0,IF($C39="","",VLOOKUP($C39,'DATA DE TARIFA'!$A$4:$C$68,2,FALSE)/1.18))</f>
        <v>8.474576271</v>
      </c>
      <c r="F39" s="19">
        <f>IF($C39="","",IF($D39="",0,VLOOKUP($C39,'DATA DE TARIFA'!$A$4:$C$68,3,FALSE)))</f>
        <v>4</v>
      </c>
      <c r="G39" s="66">
        <v>0.0</v>
      </c>
      <c r="H39" s="19">
        <f t="shared" si="1"/>
        <v>8.474576271</v>
      </c>
      <c r="I39" s="19">
        <f t="shared" si="2"/>
        <v>4</v>
      </c>
      <c r="J39" s="67"/>
      <c r="K39" s="44" t="str">
        <f>IF($B39="","",IFERROR(VLOOKUP($B39,Tiendas!$A$4:$B$176,2,FALSE),""))</f>
        <v>ALEXIS</v>
      </c>
      <c r="L39" s="68" t="s">
        <v>296</v>
      </c>
      <c r="M39" s="44" t="str">
        <f>IF($B39="","",IFERROR(VLOOKUP($B39,Tiendas!$A$4:$I$176,9,FALSE),""))</f>
        <v>No</v>
      </c>
      <c r="N39" s="69">
        <f t="shared" si="3"/>
        <v>0</v>
      </c>
      <c r="O39" s="69">
        <f t="shared" si="4"/>
        <v>0</v>
      </c>
    </row>
    <row r="40" ht="15.75" customHeight="1">
      <c r="A40" s="17">
        <v>46023.0</v>
      </c>
      <c r="B40" s="58" t="s">
        <v>200</v>
      </c>
      <c r="C40" s="58" t="s">
        <v>38</v>
      </c>
      <c r="D40" s="59" t="s">
        <v>295</v>
      </c>
      <c r="E40" s="19">
        <f>IF($D40&lt;&gt;"Entregado",0,IF($C40="","",VLOOKUP($C40,'DATA DE TARIFA'!$A$4:$C$68,2,FALSE)/1.18))</f>
        <v>8.474576271</v>
      </c>
      <c r="F40" s="19">
        <f>IF($C40="","",IF($D40="",0,VLOOKUP($C40,'DATA DE TARIFA'!$A$4:$C$68,3,FALSE)))</f>
        <v>4</v>
      </c>
      <c r="G40" s="66">
        <v>0.0</v>
      </c>
      <c r="H40" s="19">
        <f t="shared" si="1"/>
        <v>8.474576271</v>
      </c>
      <c r="I40" s="19">
        <f t="shared" si="2"/>
        <v>4</v>
      </c>
      <c r="J40" s="67"/>
      <c r="K40" s="44" t="str">
        <f>IF($B40="","",IFERROR(VLOOKUP($B40,Tiendas!$A$4:$B$176,2,FALSE),""))</f>
        <v>ALEXIS</v>
      </c>
      <c r="L40" s="68" t="s">
        <v>296</v>
      </c>
      <c r="M40" s="44" t="str">
        <f>IF($B40="","",IFERROR(VLOOKUP($B40,Tiendas!$A$4:$I$176,9,FALSE),""))</f>
        <v>No</v>
      </c>
      <c r="N40" s="69">
        <f t="shared" si="3"/>
        <v>0</v>
      </c>
      <c r="O40" s="69">
        <f t="shared" si="4"/>
        <v>0</v>
      </c>
    </row>
    <row r="41" ht="15.75" customHeight="1">
      <c r="A41" s="17">
        <v>46023.0</v>
      </c>
      <c r="B41" s="58" t="s">
        <v>200</v>
      </c>
      <c r="C41" s="58" t="s">
        <v>40</v>
      </c>
      <c r="D41" s="59" t="s">
        <v>295</v>
      </c>
      <c r="E41" s="19">
        <f>IF($D41&lt;&gt;"Entregado",0,IF($C41="","",VLOOKUP($C41,'DATA DE TARIFA'!$A$4:$C$68,2,FALSE)/1.18))</f>
        <v>8.474576271</v>
      </c>
      <c r="F41" s="19">
        <f>IF($C41="","",IF($D41="",0,VLOOKUP($C41,'DATA DE TARIFA'!$A$4:$C$68,3,FALSE)))</f>
        <v>4</v>
      </c>
      <c r="G41" s="66">
        <v>0.0</v>
      </c>
      <c r="H41" s="19">
        <f t="shared" si="1"/>
        <v>8.474576271</v>
      </c>
      <c r="I41" s="19">
        <f t="shared" si="2"/>
        <v>4</v>
      </c>
      <c r="J41" s="67"/>
      <c r="K41" s="44" t="str">
        <f>IF($B41="","",IFERROR(VLOOKUP($B41,Tiendas!$A$4:$B$176,2,FALSE),""))</f>
        <v>ALEXIS</v>
      </c>
      <c r="L41" s="68" t="s">
        <v>296</v>
      </c>
      <c r="M41" s="44" t="str">
        <f>IF($B41="","",IFERROR(VLOOKUP($B41,Tiendas!$A$4:$I$176,9,FALSE),""))</f>
        <v>No</v>
      </c>
      <c r="N41" s="69">
        <f t="shared" si="3"/>
        <v>0</v>
      </c>
      <c r="O41" s="69">
        <f t="shared" si="4"/>
        <v>0</v>
      </c>
    </row>
    <row r="42" ht="15.75" customHeight="1">
      <c r="A42" s="17">
        <v>46023.0</v>
      </c>
      <c r="B42" s="58" t="s">
        <v>200</v>
      </c>
      <c r="C42" s="58" t="s">
        <v>15</v>
      </c>
      <c r="D42" s="59" t="s">
        <v>295</v>
      </c>
      <c r="E42" s="19">
        <f>IF($D42&lt;&gt;"Entregado",0,IF($C42="","",VLOOKUP($C42,'DATA DE TARIFA'!$A$4:$C$68,2,FALSE)/1.18))</f>
        <v>8.474576271</v>
      </c>
      <c r="F42" s="19">
        <f>IF($C42="","",IF($D42="",0,VLOOKUP($C42,'DATA DE TARIFA'!$A$4:$C$68,3,FALSE)))</f>
        <v>4.5</v>
      </c>
      <c r="G42" s="66">
        <v>0.0</v>
      </c>
      <c r="H42" s="19">
        <f t="shared" si="1"/>
        <v>8.474576271</v>
      </c>
      <c r="I42" s="19">
        <f t="shared" si="2"/>
        <v>4.5</v>
      </c>
      <c r="J42" s="67"/>
      <c r="K42" s="44" t="str">
        <f>IF($B42="","",IFERROR(VLOOKUP($B42,Tiendas!$A$4:$B$176,2,FALSE),""))</f>
        <v>ALEXIS</v>
      </c>
      <c r="L42" s="68" t="s">
        <v>296</v>
      </c>
      <c r="M42" s="44" t="str">
        <f>IF($B42="","",IFERROR(VLOOKUP($B42,Tiendas!$A$4:$I$176,9,FALSE),""))</f>
        <v>No</v>
      </c>
      <c r="N42" s="69">
        <f t="shared" si="3"/>
        <v>0</v>
      </c>
      <c r="O42" s="69">
        <f t="shared" si="4"/>
        <v>0</v>
      </c>
    </row>
    <row r="43" ht="15.75" customHeight="1">
      <c r="A43" s="17">
        <v>46023.0</v>
      </c>
      <c r="B43" s="58" t="s">
        <v>200</v>
      </c>
      <c r="C43" s="58" t="s">
        <v>40</v>
      </c>
      <c r="D43" s="59" t="s">
        <v>295</v>
      </c>
      <c r="E43" s="19">
        <f>IF($D43&lt;&gt;"Entregado",0,IF($C43="","",VLOOKUP($C43,'DATA DE TARIFA'!$A$4:$C$68,2,FALSE)/1.18))</f>
        <v>8.474576271</v>
      </c>
      <c r="F43" s="19">
        <f>IF($C43="","",IF($D43="",0,VLOOKUP($C43,'DATA DE TARIFA'!$A$4:$C$68,3,FALSE)))</f>
        <v>4</v>
      </c>
      <c r="G43" s="66">
        <v>0.0</v>
      </c>
      <c r="H43" s="19">
        <f t="shared" si="1"/>
        <v>8.474576271</v>
      </c>
      <c r="I43" s="19">
        <f t="shared" si="2"/>
        <v>4</v>
      </c>
      <c r="J43" s="67"/>
      <c r="K43" s="44" t="str">
        <f>IF($B43="","",IFERROR(VLOOKUP($B43,Tiendas!$A$4:$B$176,2,FALSE),""))</f>
        <v>ALEXIS</v>
      </c>
      <c r="L43" s="68" t="s">
        <v>296</v>
      </c>
      <c r="M43" s="44" t="str">
        <f>IF($B43="","",IFERROR(VLOOKUP($B43,Tiendas!$A$4:$I$176,9,FALSE),""))</f>
        <v>No</v>
      </c>
      <c r="N43" s="69">
        <f t="shared" si="3"/>
        <v>0</v>
      </c>
      <c r="O43" s="69">
        <f t="shared" si="4"/>
        <v>0</v>
      </c>
    </row>
    <row r="44" ht="15.75" customHeight="1">
      <c r="A44" s="17">
        <v>46023.0</v>
      </c>
      <c r="B44" s="58" t="s">
        <v>200</v>
      </c>
      <c r="C44" s="58" t="s">
        <v>55</v>
      </c>
      <c r="D44" s="59" t="s">
        <v>295</v>
      </c>
      <c r="E44" s="19">
        <f>IF($D44&lt;&gt;"Entregado",0,IF($C44="","",VLOOKUP($C44,'DATA DE TARIFA'!$A$4:$C$68,2,FALSE)/1.18))</f>
        <v>8.474576271</v>
      </c>
      <c r="F44" s="19">
        <f>IF($C44="","",IF($D44="",0,VLOOKUP($C44,'DATA DE TARIFA'!$A$4:$C$68,3,FALSE)))</f>
        <v>4</v>
      </c>
      <c r="G44" s="66">
        <v>1.0</v>
      </c>
      <c r="H44" s="19">
        <f t="shared" si="1"/>
        <v>8.474576271</v>
      </c>
      <c r="I44" s="19">
        <f t="shared" si="2"/>
        <v>5</v>
      </c>
      <c r="J44" s="67"/>
      <c r="K44" s="44" t="str">
        <f>IF($B44="","",IFERROR(VLOOKUP($B44,Tiendas!$A$4:$B$176,2,FALSE),""))</f>
        <v>ALEXIS</v>
      </c>
      <c r="L44" s="68" t="s">
        <v>296</v>
      </c>
      <c r="M44" s="44" t="str">
        <f>IF($B44="","",IFERROR(VLOOKUP($B44,Tiendas!$A$4:$I$176,9,FALSE),""))</f>
        <v>No</v>
      </c>
      <c r="N44" s="69">
        <f t="shared" si="3"/>
        <v>0</v>
      </c>
      <c r="O44" s="69">
        <f t="shared" si="4"/>
        <v>0</v>
      </c>
    </row>
    <row r="45" ht="15.75" customHeight="1">
      <c r="A45" s="17">
        <v>46023.0</v>
      </c>
      <c r="B45" s="58" t="s">
        <v>200</v>
      </c>
      <c r="C45" s="58" t="s">
        <v>70</v>
      </c>
      <c r="D45" s="59" t="s">
        <v>295</v>
      </c>
      <c r="E45" s="19">
        <f>IF($D45&lt;&gt;"Entregado",0,IF($C45="","",VLOOKUP($C45,'DATA DE TARIFA'!$A$4:$C$68,2,FALSE)/1.18))</f>
        <v>8.474576271</v>
      </c>
      <c r="F45" s="19">
        <f>IF($C45="","",IF($D45="",0,VLOOKUP($C45,'DATA DE TARIFA'!$A$4:$C$68,3,FALSE)))</f>
        <v>4</v>
      </c>
      <c r="G45" s="66">
        <v>3.0</v>
      </c>
      <c r="H45" s="19">
        <f t="shared" si="1"/>
        <v>8.474576271</v>
      </c>
      <c r="I45" s="19">
        <f t="shared" si="2"/>
        <v>7</v>
      </c>
      <c r="J45" s="67"/>
      <c r="K45" s="44" t="str">
        <f>IF($B45="","",IFERROR(VLOOKUP($B45,Tiendas!$A$4:$B$176,2,FALSE),""))</f>
        <v>ALEXIS</v>
      </c>
      <c r="L45" s="68" t="s">
        <v>296</v>
      </c>
      <c r="M45" s="44" t="str">
        <f>IF($B45="","",IFERROR(VLOOKUP($B45,Tiendas!$A$4:$I$176,9,FALSE),""))</f>
        <v>No</v>
      </c>
      <c r="N45" s="69">
        <f t="shared" si="3"/>
        <v>0</v>
      </c>
      <c r="O45" s="69">
        <f t="shared" si="4"/>
        <v>0</v>
      </c>
    </row>
    <row r="46" ht="15.75" customHeight="1">
      <c r="A46" s="17">
        <v>46023.0</v>
      </c>
      <c r="B46" s="58" t="s">
        <v>200</v>
      </c>
      <c r="C46" s="58" t="s">
        <v>36</v>
      </c>
      <c r="D46" s="59" t="s">
        <v>295</v>
      </c>
      <c r="E46" s="19">
        <f>IF($D46&lt;&gt;"Entregado",0,IF($C46="","",VLOOKUP($C46,'DATA DE TARIFA'!$A$4:$C$68,2,FALSE)/1.18))</f>
        <v>10.16949153</v>
      </c>
      <c r="F46" s="19">
        <f>IF($C46="","",IF($D46="",0,VLOOKUP($C46,'DATA DE TARIFA'!$A$4:$C$68,3,FALSE)))</f>
        <v>4.5</v>
      </c>
      <c r="G46" s="66">
        <v>0.0</v>
      </c>
      <c r="H46" s="19">
        <f t="shared" si="1"/>
        <v>10.16949153</v>
      </c>
      <c r="I46" s="19">
        <f t="shared" si="2"/>
        <v>4.5</v>
      </c>
      <c r="J46" s="67"/>
      <c r="K46" s="44" t="str">
        <f>IF($B46="","",IFERROR(VLOOKUP($B46,Tiendas!$A$4:$B$176,2,FALSE),""))</f>
        <v>ALEXIS</v>
      </c>
      <c r="L46" s="68" t="s">
        <v>296</v>
      </c>
      <c r="M46" s="44" t="str">
        <f>IF($B46="","",IFERROR(VLOOKUP($B46,Tiendas!$A$4:$I$176,9,FALSE),""))</f>
        <v>No</v>
      </c>
      <c r="N46" s="69">
        <f t="shared" si="3"/>
        <v>0</v>
      </c>
      <c r="O46" s="69">
        <f t="shared" si="4"/>
        <v>0</v>
      </c>
    </row>
    <row r="47" ht="15.75" customHeight="1">
      <c r="A47" s="17">
        <v>46023.0</v>
      </c>
      <c r="B47" s="58" t="s">
        <v>200</v>
      </c>
      <c r="C47" s="58" t="s">
        <v>57</v>
      </c>
      <c r="D47" s="59" t="s">
        <v>295</v>
      </c>
      <c r="E47" s="19">
        <f>IF($D47&lt;&gt;"Entregado",0,IF($C47="","",VLOOKUP($C47,'DATA DE TARIFA'!$A$4:$C$68,2,FALSE)/1.18))</f>
        <v>8.474576271</v>
      </c>
      <c r="F47" s="19">
        <f>IF($C47="","",IF($D47="",0,VLOOKUP($C47,'DATA DE TARIFA'!$A$4:$C$68,3,FALSE)))</f>
        <v>4.5</v>
      </c>
      <c r="G47" s="66">
        <v>0.0</v>
      </c>
      <c r="H47" s="19">
        <f t="shared" si="1"/>
        <v>8.474576271</v>
      </c>
      <c r="I47" s="19">
        <f t="shared" si="2"/>
        <v>4.5</v>
      </c>
      <c r="J47" s="67"/>
      <c r="K47" s="44" t="str">
        <f>IF($B47="","",IFERROR(VLOOKUP($B47,Tiendas!$A$4:$B$176,2,FALSE),""))</f>
        <v>ALEXIS</v>
      </c>
      <c r="L47" s="68" t="s">
        <v>296</v>
      </c>
      <c r="M47" s="44" t="str">
        <f>IF($B47="","",IFERROR(VLOOKUP($B47,Tiendas!$A$4:$I$176,9,FALSE),""))</f>
        <v>No</v>
      </c>
      <c r="N47" s="69">
        <f t="shared" si="3"/>
        <v>0</v>
      </c>
      <c r="O47" s="69">
        <f t="shared" si="4"/>
        <v>0</v>
      </c>
    </row>
    <row r="48" ht="15.75" customHeight="1">
      <c r="A48" s="17">
        <v>46023.0</v>
      </c>
      <c r="B48" s="58" t="s">
        <v>200</v>
      </c>
      <c r="C48" s="58" t="s">
        <v>38</v>
      </c>
      <c r="D48" s="59" t="s">
        <v>295</v>
      </c>
      <c r="E48" s="19">
        <f>IF($D48&lt;&gt;"Entregado",0,IF($C48="","",VLOOKUP($C48,'DATA DE TARIFA'!$A$4:$C$68,2,FALSE)/1.18))</f>
        <v>8.474576271</v>
      </c>
      <c r="F48" s="19">
        <f>IF($C48="","",IF($D48="",0,VLOOKUP($C48,'DATA DE TARIFA'!$A$4:$C$68,3,FALSE)))</f>
        <v>4</v>
      </c>
      <c r="G48" s="66">
        <v>0.0</v>
      </c>
      <c r="H48" s="19">
        <f t="shared" si="1"/>
        <v>8.474576271</v>
      </c>
      <c r="I48" s="19">
        <f t="shared" si="2"/>
        <v>4</v>
      </c>
      <c r="J48" s="67"/>
      <c r="K48" s="44" t="str">
        <f>IF($B48="","",IFERROR(VLOOKUP($B48,Tiendas!$A$4:$B$176,2,FALSE),""))</f>
        <v>ALEXIS</v>
      </c>
      <c r="L48" s="68" t="s">
        <v>296</v>
      </c>
      <c r="M48" s="44" t="str">
        <f>IF($B48="","",IFERROR(VLOOKUP($B48,Tiendas!$A$4:$I$176,9,FALSE),""))</f>
        <v>No</v>
      </c>
      <c r="N48" s="69">
        <f t="shared" si="3"/>
        <v>0</v>
      </c>
      <c r="O48" s="69">
        <f t="shared" si="4"/>
        <v>0</v>
      </c>
    </row>
    <row r="49" ht="15.75" customHeight="1">
      <c r="A49" s="17">
        <v>46023.0</v>
      </c>
      <c r="B49" s="58" t="s">
        <v>200</v>
      </c>
      <c r="C49" s="58" t="s">
        <v>40</v>
      </c>
      <c r="D49" s="59" t="s">
        <v>295</v>
      </c>
      <c r="E49" s="19">
        <f>IF($D49&lt;&gt;"Entregado",0,IF($C49="","",VLOOKUP($C49,'DATA DE TARIFA'!$A$4:$C$68,2,FALSE)/1.18))</f>
        <v>8.474576271</v>
      </c>
      <c r="F49" s="19">
        <f>IF($C49="","",IF($D49="",0,VLOOKUP($C49,'DATA DE TARIFA'!$A$4:$C$68,3,FALSE)))</f>
        <v>4</v>
      </c>
      <c r="G49" s="66">
        <v>0.0</v>
      </c>
      <c r="H49" s="19">
        <f t="shared" si="1"/>
        <v>8.474576271</v>
      </c>
      <c r="I49" s="19">
        <f t="shared" si="2"/>
        <v>4</v>
      </c>
      <c r="J49" s="67"/>
      <c r="K49" s="44" t="str">
        <f>IF($B49="","",IFERROR(VLOOKUP($B49,Tiendas!$A$4:$B$176,2,FALSE),""))</f>
        <v>ALEXIS</v>
      </c>
      <c r="L49" s="68" t="s">
        <v>296</v>
      </c>
      <c r="M49" s="44" t="str">
        <f>IF($B49="","",IFERROR(VLOOKUP($B49,Tiendas!$A$4:$I$176,9,FALSE),""))</f>
        <v>No</v>
      </c>
      <c r="N49" s="69">
        <f t="shared" si="3"/>
        <v>0</v>
      </c>
      <c r="O49" s="69">
        <f t="shared" si="4"/>
        <v>0</v>
      </c>
    </row>
    <row r="50" ht="15.75" customHeight="1">
      <c r="A50" s="17">
        <v>46023.0</v>
      </c>
      <c r="B50" s="58" t="s">
        <v>200</v>
      </c>
      <c r="C50" s="58" t="s">
        <v>32</v>
      </c>
      <c r="D50" s="59" t="s">
        <v>295</v>
      </c>
      <c r="E50" s="19">
        <f>IF($D50&lt;&gt;"Entregado",0,IF($C50="","",VLOOKUP($C50,'DATA DE TARIFA'!$A$4:$C$68,2,FALSE)/1.18))</f>
        <v>8.474576271</v>
      </c>
      <c r="F50" s="19">
        <f>IF($C50="","",IF($D50="",0,VLOOKUP($C50,'DATA DE TARIFA'!$A$4:$C$68,3,FALSE)))</f>
        <v>4.5</v>
      </c>
      <c r="G50" s="66">
        <v>0.0</v>
      </c>
      <c r="H50" s="19">
        <f t="shared" si="1"/>
        <v>8.474576271</v>
      </c>
      <c r="I50" s="19">
        <f t="shared" si="2"/>
        <v>4.5</v>
      </c>
      <c r="J50" s="67"/>
      <c r="K50" s="44" t="str">
        <f>IF($B50="","",IFERROR(VLOOKUP($B50,Tiendas!$A$4:$B$176,2,FALSE),""))</f>
        <v>ALEXIS</v>
      </c>
      <c r="L50" s="68" t="s">
        <v>296</v>
      </c>
      <c r="M50" s="44" t="str">
        <f>IF($B50="","",IFERROR(VLOOKUP($B50,Tiendas!$A$4:$I$176,9,FALSE),""))</f>
        <v>No</v>
      </c>
      <c r="N50" s="69">
        <f t="shared" si="3"/>
        <v>0</v>
      </c>
      <c r="O50" s="69">
        <f t="shared" si="4"/>
        <v>0</v>
      </c>
    </row>
    <row r="51" ht="15.75" customHeight="1">
      <c r="A51" s="17">
        <v>46023.0</v>
      </c>
      <c r="B51" s="58" t="s">
        <v>200</v>
      </c>
      <c r="C51" s="58" t="s">
        <v>15</v>
      </c>
      <c r="D51" s="59" t="s">
        <v>295</v>
      </c>
      <c r="E51" s="19">
        <f>IF($D51&lt;&gt;"Entregado",0,IF($C51="","",VLOOKUP($C51,'DATA DE TARIFA'!$A$4:$C$68,2,FALSE)/1.18))</f>
        <v>8.474576271</v>
      </c>
      <c r="F51" s="19">
        <f>IF($C51="","",IF($D51="",0,VLOOKUP($C51,'DATA DE TARIFA'!$A$4:$C$68,3,FALSE)))</f>
        <v>4.5</v>
      </c>
      <c r="G51" s="66">
        <v>0.0</v>
      </c>
      <c r="H51" s="19">
        <f t="shared" si="1"/>
        <v>8.474576271</v>
      </c>
      <c r="I51" s="19">
        <f t="shared" si="2"/>
        <v>4.5</v>
      </c>
      <c r="J51" s="67"/>
      <c r="K51" s="44" t="str">
        <f>IF($B51="","",IFERROR(VLOOKUP($B51,Tiendas!$A$4:$B$176,2,FALSE),""))</f>
        <v>ALEXIS</v>
      </c>
      <c r="L51" s="68" t="s">
        <v>296</v>
      </c>
      <c r="M51" s="44" t="str">
        <f>IF($B51="","",IFERROR(VLOOKUP($B51,Tiendas!$A$4:$I$176,9,FALSE),""))</f>
        <v>No</v>
      </c>
      <c r="N51" s="69">
        <f t="shared" si="3"/>
        <v>0</v>
      </c>
      <c r="O51" s="69">
        <f t="shared" si="4"/>
        <v>0</v>
      </c>
    </row>
    <row r="52" ht="15.75" customHeight="1">
      <c r="A52" s="17">
        <v>46023.0</v>
      </c>
      <c r="B52" s="58" t="s">
        <v>200</v>
      </c>
      <c r="C52" s="58" t="s">
        <v>77</v>
      </c>
      <c r="D52" s="59" t="s">
        <v>295</v>
      </c>
      <c r="E52" s="19">
        <f>IF($D52&lt;&gt;"Entregado",0,IF($C52="","",VLOOKUP($C52,'DATA DE TARIFA'!$A$4:$C$68,2,FALSE)/1.18))</f>
        <v>10.16949153</v>
      </c>
      <c r="F52" s="19">
        <f>IF($C52="","",IF($D52="",0,VLOOKUP($C52,'DATA DE TARIFA'!$A$4:$C$68,3,FALSE)))</f>
        <v>4.5</v>
      </c>
      <c r="G52" s="66">
        <v>0.0</v>
      </c>
      <c r="H52" s="19">
        <f t="shared" si="1"/>
        <v>10.16949153</v>
      </c>
      <c r="I52" s="19">
        <f t="shared" si="2"/>
        <v>4.5</v>
      </c>
      <c r="J52" s="67"/>
      <c r="K52" s="44" t="str">
        <f>IF($B52="","",IFERROR(VLOOKUP($B52,Tiendas!$A$4:$B$176,2,FALSE),""))</f>
        <v>ALEXIS</v>
      </c>
      <c r="L52" s="68" t="s">
        <v>296</v>
      </c>
      <c r="M52" s="44" t="str">
        <f>IF($B52="","",IFERROR(VLOOKUP($B52,Tiendas!$A$4:$I$176,9,FALSE),""))</f>
        <v>No</v>
      </c>
      <c r="N52" s="69">
        <f t="shared" si="3"/>
        <v>0</v>
      </c>
      <c r="O52" s="69">
        <f t="shared" si="4"/>
        <v>0</v>
      </c>
    </row>
    <row r="53" ht="15.75" customHeight="1">
      <c r="A53" s="17">
        <v>46023.0</v>
      </c>
      <c r="B53" s="58" t="s">
        <v>200</v>
      </c>
      <c r="C53" s="58" t="s">
        <v>40</v>
      </c>
      <c r="D53" s="59" t="s">
        <v>295</v>
      </c>
      <c r="E53" s="19">
        <f>IF($D53&lt;&gt;"Entregado",0,IF($C53="","",VLOOKUP($C53,'DATA DE TARIFA'!$A$4:$C$68,2,FALSE)/1.18))</f>
        <v>8.474576271</v>
      </c>
      <c r="F53" s="19">
        <f>IF($C53="","",IF($D53="",0,VLOOKUP($C53,'DATA DE TARIFA'!$A$4:$C$68,3,FALSE)))</f>
        <v>4</v>
      </c>
      <c r="G53" s="66">
        <v>0.0</v>
      </c>
      <c r="H53" s="19">
        <f t="shared" si="1"/>
        <v>8.474576271</v>
      </c>
      <c r="I53" s="19">
        <f t="shared" si="2"/>
        <v>4</v>
      </c>
      <c r="J53" s="67"/>
      <c r="K53" s="44" t="str">
        <f>IF($B53="","",IFERROR(VLOOKUP($B53,Tiendas!$A$4:$B$176,2,FALSE),""))</f>
        <v>ALEXIS</v>
      </c>
      <c r="L53" s="68" t="s">
        <v>296</v>
      </c>
      <c r="M53" s="44" t="str">
        <f>IF($B53="","",IFERROR(VLOOKUP($B53,Tiendas!$A$4:$I$176,9,FALSE),""))</f>
        <v>No</v>
      </c>
      <c r="N53" s="69">
        <f t="shared" si="3"/>
        <v>0</v>
      </c>
      <c r="O53" s="69">
        <f t="shared" si="4"/>
        <v>0</v>
      </c>
    </row>
    <row r="54" ht="15.75" customHeight="1">
      <c r="A54" s="17">
        <v>46023.0</v>
      </c>
      <c r="B54" s="58" t="s">
        <v>200</v>
      </c>
      <c r="C54" s="58" t="s">
        <v>34</v>
      </c>
      <c r="D54" s="59" t="s">
        <v>295</v>
      </c>
      <c r="E54" s="19">
        <f>IF($D54&lt;&gt;"Entregado",0,IF($C54="","",VLOOKUP($C54,'DATA DE TARIFA'!$A$4:$C$68,2,FALSE)/1.18))</f>
        <v>10.16949153</v>
      </c>
      <c r="F54" s="19">
        <f>IF($C54="","",IF($D54="",0,VLOOKUP($C54,'DATA DE TARIFA'!$A$4:$C$68,3,FALSE)))</f>
        <v>4.5</v>
      </c>
      <c r="G54" s="66">
        <v>0.0</v>
      </c>
      <c r="H54" s="19">
        <f t="shared" si="1"/>
        <v>10.16949153</v>
      </c>
      <c r="I54" s="19">
        <f t="shared" si="2"/>
        <v>4.5</v>
      </c>
      <c r="J54" s="67"/>
      <c r="K54" s="44" t="str">
        <f>IF($B54="","",IFERROR(VLOOKUP($B54,Tiendas!$A$4:$B$176,2,FALSE),""))</f>
        <v>ALEXIS</v>
      </c>
      <c r="L54" s="68" t="s">
        <v>296</v>
      </c>
      <c r="M54" s="44" t="str">
        <f>IF($B54="","",IFERROR(VLOOKUP($B54,Tiendas!$A$4:$I$176,9,FALSE),""))</f>
        <v>No</v>
      </c>
      <c r="N54" s="69">
        <f t="shared" si="3"/>
        <v>0</v>
      </c>
      <c r="O54" s="69">
        <f t="shared" si="4"/>
        <v>0</v>
      </c>
    </row>
    <row r="55" ht="15.75" customHeight="1">
      <c r="A55" s="17">
        <v>46023.0</v>
      </c>
      <c r="B55" s="58" t="s">
        <v>200</v>
      </c>
      <c r="C55" s="58" t="s">
        <v>15</v>
      </c>
      <c r="D55" s="59" t="s">
        <v>295</v>
      </c>
      <c r="E55" s="19">
        <f>IF($D55&lt;&gt;"Entregado",0,IF($C55="","",VLOOKUP($C55,'DATA DE TARIFA'!$A$4:$C$68,2,FALSE)/1.18))</f>
        <v>8.474576271</v>
      </c>
      <c r="F55" s="19">
        <f>IF($C55="","",IF($D55="",0,VLOOKUP($C55,'DATA DE TARIFA'!$A$4:$C$68,3,FALSE)))</f>
        <v>4.5</v>
      </c>
      <c r="G55" s="66">
        <v>0.0</v>
      </c>
      <c r="H55" s="19">
        <f t="shared" si="1"/>
        <v>8.474576271</v>
      </c>
      <c r="I55" s="19">
        <f t="shared" si="2"/>
        <v>4.5</v>
      </c>
      <c r="J55" s="67"/>
      <c r="K55" s="44" t="str">
        <f>IF($B55="","",IFERROR(VLOOKUP($B55,Tiendas!$A$4:$B$176,2,FALSE),""))</f>
        <v>ALEXIS</v>
      </c>
      <c r="L55" s="68" t="s">
        <v>296</v>
      </c>
      <c r="M55" s="44" t="str">
        <f>IF($B55="","",IFERROR(VLOOKUP($B55,Tiendas!$A$4:$I$176,9,FALSE),""))</f>
        <v>No</v>
      </c>
      <c r="N55" s="69">
        <f t="shared" si="3"/>
        <v>0</v>
      </c>
      <c r="O55" s="69">
        <f t="shared" si="4"/>
        <v>0</v>
      </c>
    </row>
    <row r="56" ht="15.75" customHeight="1">
      <c r="A56" s="17">
        <v>46023.0</v>
      </c>
      <c r="B56" s="58" t="s">
        <v>200</v>
      </c>
      <c r="C56" s="58" t="s">
        <v>57</v>
      </c>
      <c r="D56" s="59" t="s">
        <v>295</v>
      </c>
      <c r="E56" s="19">
        <f>IF($D56&lt;&gt;"Entregado",0,IF($C56="","",VLOOKUP($C56,'DATA DE TARIFA'!$A$4:$C$68,2,FALSE)/1.18))</f>
        <v>8.474576271</v>
      </c>
      <c r="F56" s="19">
        <f>IF($C56="","",IF($D56="",0,VLOOKUP($C56,'DATA DE TARIFA'!$A$4:$C$68,3,FALSE)))</f>
        <v>4.5</v>
      </c>
      <c r="G56" s="66">
        <v>0.0</v>
      </c>
      <c r="H56" s="19">
        <f t="shared" si="1"/>
        <v>8.474576271</v>
      </c>
      <c r="I56" s="19">
        <f t="shared" si="2"/>
        <v>4.5</v>
      </c>
      <c r="J56" s="67"/>
      <c r="K56" s="44" t="str">
        <f>IF($B56="","",IFERROR(VLOOKUP($B56,Tiendas!$A$4:$B$176,2,FALSE),""))</f>
        <v>ALEXIS</v>
      </c>
      <c r="L56" s="68" t="s">
        <v>296</v>
      </c>
      <c r="M56" s="44" t="str">
        <f>IF($B56="","",IFERROR(VLOOKUP($B56,Tiendas!$A$4:$I$176,9,FALSE),""))</f>
        <v>No</v>
      </c>
      <c r="N56" s="69">
        <f t="shared" si="3"/>
        <v>0</v>
      </c>
      <c r="O56" s="69">
        <f t="shared" si="4"/>
        <v>0</v>
      </c>
    </row>
    <row r="57" ht="15.75" customHeight="1">
      <c r="A57" s="17">
        <v>46023.0</v>
      </c>
      <c r="B57" s="58" t="s">
        <v>200</v>
      </c>
      <c r="C57" s="58" t="s">
        <v>62</v>
      </c>
      <c r="D57" s="59" t="s">
        <v>295</v>
      </c>
      <c r="E57" s="19">
        <f>IF($D57&lt;&gt;"Entregado",0,IF($C57="","",VLOOKUP($C57,'DATA DE TARIFA'!$A$4:$C$68,2,FALSE)/1.18))</f>
        <v>8.474576271</v>
      </c>
      <c r="F57" s="19">
        <f>IF($C57="","",IF($D57="",0,VLOOKUP($C57,'DATA DE TARIFA'!$A$4:$C$68,3,FALSE)))</f>
        <v>4.5</v>
      </c>
      <c r="G57" s="66">
        <v>0.0</v>
      </c>
      <c r="H57" s="19">
        <f t="shared" si="1"/>
        <v>8.474576271</v>
      </c>
      <c r="I57" s="19">
        <f t="shared" si="2"/>
        <v>4.5</v>
      </c>
      <c r="J57" s="67"/>
      <c r="K57" s="44" t="str">
        <f>IF($B57="","",IFERROR(VLOOKUP($B57,Tiendas!$A$4:$B$176,2,FALSE),""))</f>
        <v>ALEXIS</v>
      </c>
      <c r="L57" s="68" t="s">
        <v>296</v>
      </c>
      <c r="M57" s="44" t="str">
        <f>IF($B57="","",IFERROR(VLOOKUP($B57,Tiendas!$A$4:$I$176,9,FALSE),""))</f>
        <v>No</v>
      </c>
      <c r="N57" s="69">
        <f t="shared" si="3"/>
        <v>0</v>
      </c>
      <c r="O57" s="69">
        <f t="shared" si="4"/>
        <v>0</v>
      </c>
    </row>
    <row r="58" ht="15.75" customHeight="1">
      <c r="A58" s="17">
        <v>46023.0</v>
      </c>
      <c r="B58" s="58" t="s">
        <v>200</v>
      </c>
      <c r="C58" s="58" t="s">
        <v>70</v>
      </c>
      <c r="D58" s="59" t="s">
        <v>295</v>
      </c>
      <c r="E58" s="19">
        <f>IF($D58&lt;&gt;"Entregado",0,IF($C58="","",VLOOKUP($C58,'DATA DE TARIFA'!$A$4:$C$68,2,FALSE)/1.18))</f>
        <v>8.474576271</v>
      </c>
      <c r="F58" s="19">
        <f>IF($C58="","",IF($D58="",0,VLOOKUP($C58,'DATA DE TARIFA'!$A$4:$C$68,3,FALSE)))</f>
        <v>4</v>
      </c>
      <c r="G58" s="66">
        <v>0.0</v>
      </c>
      <c r="H58" s="19">
        <f t="shared" si="1"/>
        <v>8.474576271</v>
      </c>
      <c r="I58" s="19">
        <f t="shared" si="2"/>
        <v>4</v>
      </c>
      <c r="J58" s="67"/>
      <c r="K58" s="44" t="str">
        <f>IF($B58="","",IFERROR(VLOOKUP($B58,Tiendas!$A$4:$B$176,2,FALSE),""))</f>
        <v>ALEXIS</v>
      </c>
      <c r="L58" s="68" t="s">
        <v>296</v>
      </c>
      <c r="M58" s="44" t="str">
        <f>IF($B58="","",IFERROR(VLOOKUP($B58,Tiendas!$A$4:$I$176,9,FALSE),""))</f>
        <v>No</v>
      </c>
      <c r="N58" s="69">
        <f t="shared" si="3"/>
        <v>0</v>
      </c>
      <c r="O58" s="69">
        <f t="shared" si="4"/>
        <v>0</v>
      </c>
    </row>
    <row r="59" ht="15.75" customHeight="1">
      <c r="A59" s="17">
        <v>46023.0</v>
      </c>
      <c r="B59" s="58" t="s">
        <v>200</v>
      </c>
      <c r="C59" s="58" t="s">
        <v>57</v>
      </c>
      <c r="D59" s="59" t="s">
        <v>295</v>
      </c>
      <c r="E59" s="19">
        <f>IF($D59&lt;&gt;"Entregado",0,IF($C59="","",VLOOKUP($C59,'DATA DE TARIFA'!$A$4:$C$68,2,FALSE)/1.18))</f>
        <v>8.474576271</v>
      </c>
      <c r="F59" s="19">
        <f>IF($C59="","",IF($D59="",0,VLOOKUP($C59,'DATA DE TARIFA'!$A$4:$C$68,3,FALSE)))</f>
        <v>4.5</v>
      </c>
      <c r="G59" s="66">
        <v>0.0</v>
      </c>
      <c r="H59" s="19">
        <f t="shared" si="1"/>
        <v>8.474576271</v>
      </c>
      <c r="I59" s="19">
        <f t="shared" si="2"/>
        <v>4.5</v>
      </c>
      <c r="J59" s="67"/>
      <c r="K59" s="44" t="str">
        <f>IF($B59="","",IFERROR(VLOOKUP($B59,Tiendas!$A$4:$B$176,2,FALSE),""))</f>
        <v>ALEXIS</v>
      </c>
      <c r="L59" s="68" t="s">
        <v>296</v>
      </c>
      <c r="M59" s="44" t="str">
        <f>IF($B59="","",IFERROR(VLOOKUP($B59,Tiendas!$A$4:$I$176,9,FALSE),""))</f>
        <v>No</v>
      </c>
      <c r="N59" s="69">
        <f t="shared" si="3"/>
        <v>0</v>
      </c>
      <c r="O59" s="69">
        <f t="shared" si="4"/>
        <v>0</v>
      </c>
    </row>
    <row r="60" ht="15.75" customHeight="1">
      <c r="A60" s="17">
        <v>46023.0</v>
      </c>
      <c r="B60" s="58" t="s">
        <v>200</v>
      </c>
      <c r="C60" s="58" t="s">
        <v>53</v>
      </c>
      <c r="D60" s="59" t="s">
        <v>295</v>
      </c>
      <c r="E60" s="19">
        <f>IF($D60&lt;&gt;"Entregado",0,IF($C60="","",VLOOKUP($C60,'DATA DE TARIFA'!$A$4:$C$68,2,FALSE)/1.18))</f>
        <v>8.474576271</v>
      </c>
      <c r="F60" s="19">
        <f>IF($C60="","",IF($D60="",0,VLOOKUP($C60,'DATA DE TARIFA'!$A$4:$C$68,3,FALSE)))</f>
        <v>4</v>
      </c>
      <c r="G60" s="66">
        <v>0.0</v>
      </c>
      <c r="H60" s="19">
        <f t="shared" si="1"/>
        <v>8.474576271</v>
      </c>
      <c r="I60" s="19">
        <f t="shared" si="2"/>
        <v>4</v>
      </c>
      <c r="J60" s="67"/>
      <c r="K60" s="44" t="str">
        <f>IF($B60="","",IFERROR(VLOOKUP($B60,Tiendas!$A$4:$B$176,2,FALSE),""))</f>
        <v>ALEXIS</v>
      </c>
      <c r="L60" s="68" t="s">
        <v>296</v>
      </c>
      <c r="M60" s="44" t="str">
        <f>IF($B60="","",IFERROR(VLOOKUP($B60,Tiendas!$A$4:$I$176,9,FALSE),""))</f>
        <v>No</v>
      </c>
      <c r="N60" s="69">
        <f t="shared" si="3"/>
        <v>0</v>
      </c>
      <c r="O60" s="69">
        <f t="shared" si="4"/>
        <v>0</v>
      </c>
    </row>
    <row r="61" ht="15.75" customHeight="1">
      <c r="A61" s="17">
        <v>46023.0</v>
      </c>
      <c r="B61" s="58" t="s">
        <v>200</v>
      </c>
      <c r="C61" s="58" t="s">
        <v>15</v>
      </c>
      <c r="D61" s="59" t="s">
        <v>295</v>
      </c>
      <c r="E61" s="19">
        <f>IF($D61&lt;&gt;"Entregado",0,IF($C61="","",VLOOKUP($C61,'DATA DE TARIFA'!$A$4:$C$68,2,FALSE)/1.18))</f>
        <v>8.474576271</v>
      </c>
      <c r="F61" s="19">
        <f>IF($C61="","",IF($D61="",0,VLOOKUP($C61,'DATA DE TARIFA'!$A$4:$C$68,3,FALSE)))</f>
        <v>4.5</v>
      </c>
      <c r="G61" s="66">
        <v>0.0</v>
      </c>
      <c r="H61" s="19">
        <f t="shared" si="1"/>
        <v>8.474576271</v>
      </c>
      <c r="I61" s="19">
        <f t="shared" si="2"/>
        <v>4.5</v>
      </c>
      <c r="J61" s="67"/>
      <c r="K61" s="44" t="str">
        <f>IF($B61="","",IFERROR(VLOOKUP($B61,Tiendas!$A$4:$B$176,2,FALSE),""))</f>
        <v>ALEXIS</v>
      </c>
      <c r="L61" s="68" t="s">
        <v>296</v>
      </c>
      <c r="M61" s="44" t="str">
        <f>IF($B61="","",IFERROR(VLOOKUP($B61,Tiendas!$A$4:$I$176,9,FALSE),""))</f>
        <v>No</v>
      </c>
      <c r="N61" s="69">
        <f t="shared" si="3"/>
        <v>0</v>
      </c>
      <c r="O61" s="69">
        <f t="shared" si="4"/>
        <v>0</v>
      </c>
    </row>
    <row r="62" ht="15.75" customHeight="1">
      <c r="A62" s="17">
        <v>46023.0</v>
      </c>
      <c r="B62" s="58" t="s">
        <v>200</v>
      </c>
      <c r="C62" s="58" t="s">
        <v>38</v>
      </c>
      <c r="D62" s="59" t="s">
        <v>295</v>
      </c>
      <c r="E62" s="19">
        <f>IF($D62&lt;&gt;"Entregado",0,IF($C62="","",VLOOKUP($C62,'DATA DE TARIFA'!$A$4:$C$68,2,FALSE)/1.18))</f>
        <v>8.474576271</v>
      </c>
      <c r="F62" s="19">
        <f>IF($C62="","",IF($D62="",0,VLOOKUP($C62,'DATA DE TARIFA'!$A$4:$C$68,3,FALSE)))</f>
        <v>4</v>
      </c>
      <c r="G62" s="66">
        <v>0.0</v>
      </c>
      <c r="H62" s="19">
        <f t="shared" si="1"/>
        <v>8.474576271</v>
      </c>
      <c r="I62" s="19">
        <f t="shared" si="2"/>
        <v>4</v>
      </c>
      <c r="J62" s="67"/>
      <c r="K62" s="44" t="str">
        <f>IF($B62="","",IFERROR(VLOOKUP($B62,Tiendas!$A$4:$B$176,2,FALSE),""))</f>
        <v>ALEXIS</v>
      </c>
      <c r="L62" s="68" t="s">
        <v>296</v>
      </c>
      <c r="M62" s="44" t="str">
        <f>IF($B62="","",IFERROR(VLOOKUP($B62,Tiendas!$A$4:$I$176,9,FALSE),""))</f>
        <v>No</v>
      </c>
      <c r="N62" s="69">
        <f t="shared" si="3"/>
        <v>0</v>
      </c>
      <c r="O62" s="69">
        <f t="shared" si="4"/>
        <v>0</v>
      </c>
    </row>
    <row r="63" ht="15.75" customHeight="1">
      <c r="A63" s="17">
        <v>46023.0</v>
      </c>
      <c r="B63" s="58" t="s">
        <v>200</v>
      </c>
      <c r="C63" s="58" t="s">
        <v>40</v>
      </c>
      <c r="D63" s="59" t="s">
        <v>295</v>
      </c>
      <c r="E63" s="19">
        <f>IF($D63&lt;&gt;"Entregado",0,IF($C63="","",VLOOKUP($C63,'DATA DE TARIFA'!$A$4:$C$68,2,FALSE)/1.18))</f>
        <v>8.474576271</v>
      </c>
      <c r="F63" s="19">
        <f>IF($C63="","",IF($D63="",0,VLOOKUP($C63,'DATA DE TARIFA'!$A$4:$C$68,3,FALSE)))</f>
        <v>4</v>
      </c>
      <c r="G63" s="66">
        <v>0.0</v>
      </c>
      <c r="H63" s="19">
        <f t="shared" si="1"/>
        <v>8.474576271</v>
      </c>
      <c r="I63" s="19">
        <f t="shared" si="2"/>
        <v>4</v>
      </c>
      <c r="J63" s="67"/>
      <c r="K63" s="44" t="str">
        <f>IF($B63="","",IFERROR(VLOOKUP($B63,Tiendas!$A$4:$B$176,2,FALSE),""))</f>
        <v>ALEXIS</v>
      </c>
      <c r="L63" s="68" t="s">
        <v>296</v>
      </c>
      <c r="M63" s="44" t="str">
        <f>IF($B63="","",IFERROR(VLOOKUP($B63,Tiendas!$A$4:$I$176,9,FALSE),""))</f>
        <v>No</v>
      </c>
      <c r="N63" s="69">
        <f t="shared" si="3"/>
        <v>0</v>
      </c>
      <c r="O63" s="69">
        <f t="shared" si="4"/>
        <v>0</v>
      </c>
    </row>
    <row r="64" ht="15.75" customHeight="1">
      <c r="A64" s="17">
        <v>46023.0</v>
      </c>
      <c r="B64" s="58" t="s">
        <v>200</v>
      </c>
      <c r="C64" s="58" t="s">
        <v>15</v>
      </c>
      <c r="D64" s="59" t="s">
        <v>295</v>
      </c>
      <c r="E64" s="19">
        <f>IF($D64&lt;&gt;"Entregado",0,IF($C64="","",VLOOKUP($C64,'DATA DE TARIFA'!$A$4:$C$68,2,FALSE)/1.18))</f>
        <v>8.474576271</v>
      </c>
      <c r="F64" s="19">
        <f>IF($C64="","",IF($D64="",0,VLOOKUP($C64,'DATA DE TARIFA'!$A$4:$C$68,3,FALSE)))</f>
        <v>4.5</v>
      </c>
      <c r="G64" s="66">
        <v>0.0</v>
      </c>
      <c r="H64" s="19">
        <f t="shared" si="1"/>
        <v>8.474576271</v>
      </c>
      <c r="I64" s="19">
        <f t="shared" si="2"/>
        <v>4.5</v>
      </c>
      <c r="J64" s="67"/>
      <c r="K64" s="44" t="str">
        <f>IF($B64="","",IFERROR(VLOOKUP($B64,Tiendas!$A$4:$B$176,2,FALSE),""))</f>
        <v>ALEXIS</v>
      </c>
      <c r="L64" s="68" t="s">
        <v>296</v>
      </c>
      <c r="M64" s="44" t="str">
        <f>IF($B64="","",IFERROR(VLOOKUP($B64,Tiendas!$A$4:$I$176,9,FALSE),""))</f>
        <v>No</v>
      </c>
      <c r="N64" s="69">
        <f t="shared" si="3"/>
        <v>0</v>
      </c>
      <c r="O64" s="69">
        <f t="shared" si="4"/>
        <v>0</v>
      </c>
    </row>
    <row r="65" ht="15.75" customHeight="1">
      <c r="A65" s="17">
        <v>46023.0</v>
      </c>
      <c r="B65" s="58" t="s">
        <v>200</v>
      </c>
      <c r="C65" s="58" t="s">
        <v>38</v>
      </c>
      <c r="D65" s="59" t="s">
        <v>295</v>
      </c>
      <c r="E65" s="19">
        <f>IF($D65&lt;&gt;"Entregado",0,IF($C65="","",VLOOKUP($C65,'DATA DE TARIFA'!$A$4:$C$68,2,FALSE)/1.18))</f>
        <v>8.474576271</v>
      </c>
      <c r="F65" s="19">
        <f>IF($C65="","",IF($D65="",0,VLOOKUP($C65,'DATA DE TARIFA'!$A$4:$C$68,3,FALSE)))</f>
        <v>4</v>
      </c>
      <c r="G65" s="66">
        <v>0.0</v>
      </c>
      <c r="H65" s="19">
        <f t="shared" si="1"/>
        <v>8.474576271</v>
      </c>
      <c r="I65" s="19">
        <f t="shared" si="2"/>
        <v>4</v>
      </c>
      <c r="J65" s="67"/>
      <c r="K65" s="44" t="str">
        <f>IF($B65="","",IFERROR(VLOOKUP($B65,Tiendas!$A$4:$B$176,2,FALSE),""))</f>
        <v>ALEXIS</v>
      </c>
      <c r="L65" s="68" t="s">
        <v>296</v>
      </c>
      <c r="M65" s="44" t="str">
        <f>IF($B65="","",IFERROR(VLOOKUP($B65,Tiendas!$A$4:$I$176,9,FALSE),""))</f>
        <v>No</v>
      </c>
      <c r="N65" s="69">
        <f t="shared" si="3"/>
        <v>0</v>
      </c>
      <c r="O65" s="69">
        <f t="shared" si="4"/>
        <v>0</v>
      </c>
    </row>
    <row r="66" ht="15.75" customHeight="1">
      <c r="A66" s="17">
        <v>46023.0</v>
      </c>
      <c r="B66" s="58" t="s">
        <v>200</v>
      </c>
      <c r="C66" s="58" t="s">
        <v>26</v>
      </c>
      <c r="D66" s="59" t="s">
        <v>295</v>
      </c>
      <c r="E66" s="19">
        <f>IF($D66&lt;&gt;"Entregado",0,IF($C66="","",VLOOKUP($C66,'DATA DE TARIFA'!$A$4:$C$68,2,FALSE)/1.18))</f>
        <v>10.16949153</v>
      </c>
      <c r="F66" s="19">
        <f>IF($C66="","",IF($D66="",0,VLOOKUP($C66,'DATA DE TARIFA'!$A$4:$C$68,3,FALSE)))</f>
        <v>5</v>
      </c>
      <c r="G66" s="66">
        <v>0.0</v>
      </c>
      <c r="H66" s="19">
        <f t="shared" si="1"/>
        <v>10.16949153</v>
      </c>
      <c r="I66" s="19">
        <f t="shared" si="2"/>
        <v>5</v>
      </c>
      <c r="J66" s="67"/>
      <c r="K66" s="44" t="str">
        <f>IF($B66="","",IFERROR(VLOOKUP($B66,Tiendas!$A$4:$B$176,2,FALSE),""))</f>
        <v>ALEXIS</v>
      </c>
      <c r="L66" s="68" t="s">
        <v>296</v>
      </c>
      <c r="M66" s="44" t="str">
        <f>IF($B66="","",IFERROR(VLOOKUP($B66,Tiendas!$A$4:$I$176,9,FALSE),""))</f>
        <v>No</v>
      </c>
      <c r="N66" s="69">
        <f t="shared" si="3"/>
        <v>0</v>
      </c>
      <c r="O66" s="69">
        <f t="shared" si="4"/>
        <v>0</v>
      </c>
    </row>
    <row r="67" ht="15.75" customHeight="1">
      <c r="A67" s="17">
        <v>46023.0</v>
      </c>
      <c r="B67" s="58" t="s">
        <v>200</v>
      </c>
      <c r="C67" s="58" t="s">
        <v>63</v>
      </c>
      <c r="D67" s="59" t="s">
        <v>295</v>
      </c>
      <c r="E67" s="19">
        <f>IF($D67&lt;&gt;"Entregado",0,IF($C67="","",VLOOKUP($C67,'DATA DE TARIFA'!$A$4:$C$68,2,FALSE)/1.18))</f>
        <v>8.474576271</v>
      </c>
      <c r="F67" s="19">
        <f>IF($C67="","",IF($D67="",0,VLOOKUP($C67,'DATA DE TARIFA'!$A$4:$C$68,3,FALSE)))</f>
        <v>4</v>
      </c>
      <c r="G67" s="66">
        <v>0.0</v>
      </c>
      <c r="H67" s="19">
        <f t="shared" si="1"/>
        <v>8.474576271</v>
      </c>
      <c r="I67" s="19">
        <f t="shared" si="2"/>
        <v>4</v>
      </c>
      <c r="J67" s="67"/>
      <c r="K67" s="44" t="str">
        <f>IF($B67="","",IFERROR(VLOOKUP($B67,Tiendas!$A$4:$B$176,2,FALSE),""))</f>
        <v>ALEXIS</v>
      </c>
      <c r="L67" s="68" t="s">
        <v>296</v>
      </c>
      <c r="M67" s="44" t="str">
        <f>IF($B67="","",IFERROR(VLOOKUP($B67,Tiendas!$A$4:$I$176,9,FALSE),""))</f>
        <v>No</v>
      </c>
      <c r="N67" s="69">
        <f t="shared" si="3"/>
        <v>0</v>
      </c>
      <c r="O67" s="69">
        <f t="shared" si="4"/>
        <v>0</v>
      </c>
    </row>
    <row r="68" ht="15.75" customHeight="1">
      <c r="A68" s="17">
        <v>46023.0</v>
      </c>
      <c r="B68" s="58" t="s">
        <v>200</v>
      </c>
      <c r="C68" s="58" t="s">
        <v>53</v>
      </c>
      <c r="D68" s="59" t="s">
        <v>295</v>
      </c>
      <c r="E68" s="19">
        <f>IF($D68&lt;&gt;"Entregado",0,IF($C68="","",VLOOKUP($C68,'DATA DE TARIFA'!$A$4:$C$68,2,FALSE)/1.18))</f>
        <v>8.474576271</v>
      </c>
      <c r="F68" s="19">
        <f>IF($C68="","",IF($D68="",0,VLOOKUP($C68,'DATA DE TARIFA'!$A$4:$C$68,3,FALSE)))</f>
        <v>4</v>
      </c>
      <c r="G68" s="66">
        <v>0.0</v>
      </c>
      <c r="H68" s="19">
        <f t="shared" si="1"/>
        <v>8.474576271</v>
      </c>
      <c r="I68" s="19">
        <f t="shared" si="2"/>
        <v>4</v>
      </c>
      <c r="J68" s="67"/>
      <c r="K68" s="44" t="str">
        <f>IF($B68="","",IFERROR(VLOOKUP($B68,Tiendas!$A$4:$B$176,2,FALSE),""))</f>
        <v>ALEXIS</v>
      </c>
      <c r="L68" s="68" t="s">
        <v>296</v>
      </c>
      <c r="M68" s="44" t="str">
        <f>IF($B68="","",IFERROR(VLOOKUP($B68,Tiendas!$A$4:$I$176,9,FALSE),""))</f>
        <v>No</v>
      </c>
      <c r="N68" s="69">
        <f t="shared" si="3"/>
        <v>0</v>
      </c>
      <c r="O68" s="69">
        <f t="shared" si="4"/>
        <v>0</v>
      </c>
    </row>
    <row r="69" ht="15.75" customHeight="1">
      <c r="A69" s="17">
        <v>46023.0</v>
      </c>
      <c r="B69" s="58" t="s">
        <v>200</v>
      </c>
      <c r="C69" s="58" t="s">
        <v>30</v>
      </c>
      <c r="D69" s="59" t="s">
        <v>295</v>
      </c>
      <c r="E69" s="19">
        <f>IF($D69&lt;&gt;"Entregado",0,IF($C69="","",VLOOKUP($C69,'DATA DE TARIFA'!$A$4:$C$68,2,FALSE)/1.18))</f>
        <v>8.474576271</v>
      </c>
      <c r="F69" s="19">
        <f>IF($C69="","",IF($D69="",0,VLOOKUP($C69,'DATA DE TARIFA'!$A$4:$C$68,3,FALSE)))</f>
        <v>4.5</v>
      </c>
      <c r="G69" s="66">
        <v>0.0</v>
      </c>
      <c r="H69" s="19">
        <f t="shared" si="1"/>
        <v>8.474576271</v>
      </c>
      <c r="I69" s="19">
        <f t="shared" si="2"/>
        <v>4.5</v>
      </c>
      <c r="J69" s="67"/>
      <c r="K69" s="44" t="str">
        <f>IF($B69="","",IFERROR(VLOOKUP($B69,Tiendas!$A$4:$B$176,2,FALSE),""))</f>
        <v>ALEXIS</v>
      </c>
      <c r="L69" s="68" t="s">
        <v>296</v>
      </c>
      <c r="M69" s="44" t="str">
        <f>IF($B69="","",IFERROR(VLOOKUP($B69,Tiendas!$A$4:$I$176,9,FALSE),""))</f>
        <v>No</v>
      </c>
      <c r="N69" s="69">
        <f t="shared" si="3"/>
        <v>0</v>
      </c>
      <c r="O69" s="69">
        <f t="shared" si="4"/>
        <v>0</v>
      </c>
    </row>
    <row r="70" ht="15.75" customHeight="1">
      <c r="A70" s="17">
        <v>46023.0</v>
      </c>
      <c r="B70" s="58" t="s">
        <v>200</v>
      </c>
      <c r="C70" s="58" t="s">
        <v>15</v>
      </c>
      <c r="D70" s="59" t="s">
        <v>295</v>
      </c>
      <c r="E70" s="19">
        <f>IF($D70&lt;&gt;"Entregado",0,IF($C70="","",VLOOKUP($C70,'DATA DE TARIFA'!$A$4:$C$68,2,FALSE)/1.18))</f>
        <v>8.474576271</v>
      </c>
      <c r="F70" s="19">
        <f>IF($C70="","",IF($D70="",0,VLOOKUP($C70,'DATA DE TARIFA'!$A$4:$C$68,3,FALSE)))</f>
        <v>4.5</v>
      </c>
      <c r="G70" s="66">
        <v>0.0</v>
      </c>
      <c r="H70" s="19">
        <f t="shared" si="1"/>
        <v>8.474576271</v>
      </c>
      <c r="I70" s="19">
        <f t="shared" si="2"/>
        <v>4.5</v>
      </c>
      <c r="J70" s="67"/>
      <c r="K70" s="44" t="str">
        <f>IF($B70="","",IFERROR(VLOOKUP($B70,Tiendas!$A$4:$B$176,2,FALSE),""))</f>
        <v>ALEXIS</v>
      </c>
      <c r="L70" s="68" t="s">
        <v>296</v>
      </c>
      <c r="M70" s="44" t="str">
        <f>IF($B70="","",IFERROR(VLOOKUP($B70,Tiendas!$A$4:$I$176,9,FALSE),""))</f>
        <v>No</v>
      </c>
      <c r="N70" s="69">
        <f t="shared" si="3"/>
        <v>0</v>
      </c>
      <c r="O70" s="69">
        <f t="shared" si="4"/>
        <v>0</v>
      </c>
    </row>
    <row r="71" ht="15.75" customHeight="1">
      <c r="A71" s="17">
        <v>46023.0</v>
      </c>
      <c r="B71" s="58" t="s">
        <v>200</v>
      </c>
      <c r="C71" s="58" t="s">
        <v>15</v>
      </c>
      <c r="D71" s="59" t="s">
        <v>295</v>
      </c>
      <c r="E71" s="19">
        <f>IF($D71&lt;&gt;"Entregado",0,IF($C71="","",VLOOKUP($C71,'DATA DE TARIFA'!$A$4:$C$68,2,FALSE)/1.18))</f>
        <v>8.474576271</v>
      </c>
      <c r="F71" s="19">
        <f>IF($C71="","",IF($D71="",0,VLOOKUP($C71,'DATA DE TARIFA'!$A$4:$C$68,3,FALSE)))</f>
        <v>4.5</v>
      </c>
      <c r="G71" s="66">
        <v>0.0</v>
      </c>
      <c r="H71" s="19">
        <f t="shared" si="1"/>
        <v>8.474576271</v>
      </c>
      <c r="I71" s="19">
        <f t="shared" si="2"/>
        <v>4.5</v>
      </c>
      <c r="J71" s="67"/>
      <c r="K71" s="44" t="str">
        <f>IF($B71="","",IFERROR(VLOOKUP($B71,Tiendas!$A$4:$B$176,2,FALSE),""))</f>
        <v>ALEXIS</v>
      </c>
      <c r="L71" s="68" t="s">
        <v>296</v>
      </c>
      <c r="M71" s="44" t="str">
        <f>IF($B71="","",IFERROR(VLOOKUP($B71,Tiendas!$A$4:$I$176,9,FALSE),""))</f>
        <v>No</v>
      </c>
      <c r="N71" s="69">
        <f t="shared" si="3"/>
        <v>0</v>
      </c>
      <c r="O71" s="69">
        <f t="shared" si="4"/>
        <v>0</v>
      </c>
    </row>
    <row r="72" ht="15.75" customHeight="1">
      <c r="A72" s="17">
        <v>46023.0</v>
      </c>
      <c r="B72" s="58" t="s">
        <v>200</v>
      </c>
      <c r="C72" s="58" t="s">
        <v>55</v>
      </c>
      <c r="D72" s="59" t="s">
        <v>295</v>
      </c>
      <c r="E72" s="19">
        <f>IF($D72&lt;&gt;"Entregado",0,IF($C72="","",VLOOKUP($C72,'DATA DE TARIFA'!$A$4:$C$68,2,FALSE)/1.18))</f>
        <v>8.474576271</v>
      </c>
      <c r="F72" s="19">
        <f>IF($C72="","",IF($D72="",0,VLOOKUP($C72,'DATA DE TARIFA'!$A$4:$C$68,3,FALSE)))</f>
        <v>4</v>
      </c>
      <c r="G72" s="66">
        <v>0.0</v>
      </c>
      <c r="H72" s="19">
        <f t="shared" si="1"/>
        <v>8.474576271</v>
      </c>
      <c r="I72" s="19">
        <f t="shared" si="2"/>
        <v>4</v>
      </c>
      <c r="J72" s="67"/>
      <c r="K72" s="44" t="str">
        <f>IF($B72="","",IFERROR(VLOOKUP($B72,Tiendas!$A$4:$B$176,2,FALSE),""))</f>
        <v>ALEXIS</v>
      </c>
      <c r="L72" s="68" t="s">
        <v>296</v>
      </c>
      <c r="M72" s="44" t="str">
        <f>IF($B72="","",IFERROR(VLOOKUP($B72,Tiendas!$A$4:$I$176,9,FALSE),""))</f>
        <v>No</v>
      </c>
      <c r="N72" s="69">
        <f t="shared" si="3"/>
        <v>0</v>
      </c>
      <c r="O72" s="69">
        <f t="shared" si="4"/>
        <v>0</v>
      </c>
    </row>
    <row r="73" ht="15.75" customHeight="1">
      <c r="A73" s="17">
        <v>46023.0</v>
      </c>
      <c r="B73" s="58" t="s">
        <v>200</v>
      </c>
      <c r="C73" s="58" t="s">
        <v>15</v>
      </c>
      <c r="D73" s="59" t="s">
        <v>295</v>
      </c>
      <c r="E73" s="19">
        <f>IF($D73&lt;&gt;"Entregado",0,IF($C73="","",VLOOKUP($C73,'DATA DE TARIFA'!$A$4:$C$68,2,FALSE)/1.18))</f>
        <v>8.474576271</v>
      </c>
      <c r="F73" s="19">
        <f>IF($C73="","",IF($D73="",0,VLOOKUP($C73,'DATA DE TARIFA'!$A$4:$C$68,3,FALSE)))</f>
        <v>4.5</v>
      </c>
      <c r="G73" s="66">
        <v>0.0</v>
      </c>
      <c r="H73" s="19">
        <f t="shared" si="1"/>
        <v>8.474576271</v>
      </c>
      <c r="I73" s="19">
        <f t="shared" si="2"/>
        <v>4.5</v>
      </c>
      <c r="J73" s="67"/>
      <c r="K73" s="44" t="str">
        <f>IF($B73="","",IFERROR(VLOOKUP($B73,Tiendas!$A$4:$B$176,2,FALSE),""))</f>
        <v>ALEXIS</v>
      </c>
      <c r="L73" s="68" t="s">
        <v>296</v>
      </c>
      <c r="M73" s="44" t="str">
        <f>IF($B73="","",IFERROR(VLOOKUP($B73,Tiendas!$A$4:$I$176,9,FALSE),""))</f>
        <v>No</v>
      </c>
      <c r="N73" s="69">
        <f t="shared" si="3"/>
        <v>0</v>
      </c>
      <c r="O73" s="69">
        <f t="shared" si="4"/>
        <v>0</v>
      </c>
    </row>
    <row r="74" ht="15.75" customHeight="1">
      <c r="A74" s="17">
        <v>46023.0</v>
      </c>
      <c r="B74" s="58" t="s">
        <v>200</v>
      </c>
      <c r="C74" s="58" t="s">
        <v>24</v>
      </c>
      <c r="D74" s="59" t="s">
        <v>295</v>
      </c>
      <c r="E74" s="19">
        <f>IF($D74&lt;&gt;"Entregado",0,IF($C74="","",VLOOKUP($C74,'DATA DE TARIFA'!$A$4:$C$68,2,FALSE)/1.18))</f>
        <v>8.474576271</v>
      </c>
      <c r="F74" s="19">
        <f>IF($C74="","",IF($D74="",0,VLOOKUP($C74,'DATA DE TARIFA'!$A$4:$C$68,3,FALSE)))</f>
        <v>4.5</v>
      </c>
      <c r="G74" s="66">
        <v>0.0</v>
      </c>
      <c r="H74" s="19">
        <f t="shared" si="1"/>
        <v>8.474576271</v>
      </c>
      <c r="I74" s="19">
        <f t="shared" si="2"/>
        <v>4.5</v>
      </c>
      <c r="J74" s="67"/>
      <c r="K74" s="44" t="str">
        <f>IF($B74="","",IFERROR(VLOOKUP($B74,Tiendas!$A$4:$B$176,2,FALSE),""))</f>
        <v>ALEXIS</v>
      </c>
      <c r="L74" s="68" t="s">
        <v>296</v>
      </c>
      <c r="M74" s="44" t="str">
        <f>IF($B74="","",IFERROR(VLOOKUP($B74,Tiendas!$A$4:$I$176,9,FALSE),""))</f>
        <v>No</v>
      </c>
      <c r="N74" s="69">
        <f t="shared" si="3"/>
        <v>0</v>
      </c>
      <c r="O74" s="69">
        <f t="shared" si="4"/>
        <v>0</v>
      </c>
    </row>
    <row r="75" ht="15.75" customHeight="1">
      <c r="A75" s="17">
        <v>46023.0</v>
      </c>
      <c r="B75" s="58" t="s">
        <v>200</v>
      </c>
      <c r="C75" s="58" t="s">
        <v>47</v>
      </c>
      <c r="D75" s="59" t="s">
        <v>295</v>
      </c>
      <c r="E75" s="19">
        <f>IF($D75&lt;&gt;"Entregado",0,IF($C75="","",VLOOKUP($C75,'DATA DE TARIFA'!$A$4:$C$68,2,FALSE)/1.18))</f>
        <v>10.16949153</v>
      </c>
      <c r="F75" s="19">
        <f>IF($C75="","",IF($D75="",0,VLOOKUP($C75,'DATA DE TARIFA'!$A$4:$C$68,3,FALSE)))</f>
        <v>5.5</v>
      </c>
      <c r="G75" s="66">
        <v>0.0</v>
      </c>
      <c r="H75" s="19">
        <f t="shared" si="1"/>
        <v>10.16949153</v>
      </c>
      <c r="I75" s="19">
        <f t="shared" si="2"/>
        <v>5.5</v>
      </c>
      <c r="J75" s="67"/>
      <c r="K75" s="44" t="str">
        <f>IF($B75="","",IFERROR(VLOOKUP($B75,Tiendas!$A$4:$B$176,2,FALSE),""))</f>
        <v>ALEXIS</v>
      </c>
      <c r="L75" s="68" t="s">
        <v>296</v>
      </c>
      <c r="M75" s="44" t="str">
        <f>IF($B75="","",IFERROR(VLOOKUP($B75,Tiendas!$A$4:$I$176,9,FALSE),""))</f>
        <v>No</v>
      </c>
      <c r="N75" s="69">
        <f t="shared" si="3"/>
        <v>0</v>
      </c>
      <c r="O75" s="69">
        <f t="shared" si="4"/>
        <v>0</v>
      </c>
    </row>
    <row r="76" ht="15.75" customHeight="1">
      <c r="A76" s="17">
        <v>46023.0</v>
      </c>
      <c r="B76" s="58" t="s">
        <v>200</v>
      </c>
      <c r="C76" s="58" t="s">
        <v>15</v>
      </c>
      <c r="D76" s="59" t="s">
        <v>295</v>
      </c>
      <c r="E76" s="19">
        <f>IF($D76&lt;&gt;"Entregado",0,IF($C76="","",VLOOKUP($C76,'DATA DE TARIFA'!$A$4:$C$68,2,FALSE)/1.18))</f>
        <v>8.474576271</v>
      </c>
      <c r="F76" s="19">
        <f>IF($C76="","",IF($D76="",0,VLOOKUP($C76,'DATA DE TARIFA'!$A$4:$C$68,3,FALSE)))</f>
        <v>4.5</v>
      </c>
      <c r="G76" s="66">
        <v>0.0</v>
      </c>
      <c r="H76" s="19">
        <f t="shared" si="1"/>
        <v>8.474576271</v>
      </c>
      <c r="I76" s="19">
        <f t="shared" si="2"/>
        <v>4.5</v>
      </c>
      <c r="J76" s="67"/>
      <c r="K76" s="44" t="str">
        <f>IF($B76="","",IFERROR(VLOOKUP($B76,Tiendas!$A$4:$B$176,2,FALSE),""))</f>
        <v>ALEXIS</v>
      </c>
      <c r="L76" s="68" t="s">
        <v>296</v>
      </c>
      <c r="M76" s="44" t="str">
        <f>IF($B76="","",IFERROR(VLOOKUP($B76,Tiendas!$A$4:$I$176,9,FALSE),""))</f>
        <v>No</v>
      </c>
      <c r="N76" s="69">
        <f t="shared" si="3"/>
        <v>0</v>
      </c>
      <c r="O76" s="69">
        <f t="shared" si="4"/>
        <v>0</v>
      </c>
    </row>
    <row r="77" ht="15.75" customHeight="1">
      <c r="A77" s="17">
        <v>46023.0</v>
      </c>
      <c r="B77" s="58" t="s">
        <v>200</v>
      </c>
      <c r="C77" s="58" t="s">
        <v>24</v>
      </c>
      <c r="D77" s="59" t="s">
        <v>295</v>
      </c>
      <c r="E77" s="19">
        <f>IF($D77&lt;&gt;"Entregado",0,IF($C77="","",VLOOKUP($C77,'DATA DE TARIFA'!$A$4:$C$68,2,FALSE)/1.18))</f>
        <v>8.474576271</v>
      </c>
      <c r="F77" s="19">
        <f>IF($C77="","",IF($D77="",0,VLOOKUP($C77,'DATA DE TARIFA'!$A$4:$C$68,3,FALSE)))</f>
        <v>4.5</v>
      </c>
      <c r="G77" s="66">
        <v>0.0</v>
      </c>
      <c r="H77" s="19">
        <f t="shared" si="1"/>
        <v>8.474576271</v>
      </c>
      <c r="I77" s="19">
        <f t="shared" si="2"/>
        <v>4.5</v>
      </c>
      <c r="J77" s="67"/>
      <c r="K77" s="44" t="str">
        <f>IF($B77="","",IFERROR(VLOOKUP($B77,Tiendas!$A$4:$B$176,2,FALSE),""))</f>
        <v>ALEXIS</v>
      </c>
      <c r="L77" s="68" t="s">
        <v>296</v>
      </c>
      <c r="M77" s="44" t="str">
        <f>IF($B77="","",IFERROR(VLOOKUP($B77,Tiendas!$A$4:$I$176,9,FALSE),""))</f>
        <v>No</v>
      </c>
      <c r="N77" s="69">
        <f t="shared" si="3"/>
        <v>0</v>
      </c>
      <c r="O77" s="69">
        <f t="shared" si="4"/>
        <v>0</v>
      </c>
    </row>
    <row r="78" ht="15.75" customHeight="1">
      <c r="A78" s="17">
        <v>46023.0</v>
      </c>
      <c r="B78" s="58" t="s">
        <v>200</v>
      </c>
      <c r="C78" s="58" t="s">
        <v>40</v>
      </c>
      <c r="D78" s="59" t="s">
        <v>295</v>
      </c>
      <c r="E78" s="19">
        <f>IF($D78&lt;&gt;"Entregado",0,IF($C78="","",VLOOKUP($C78,'DATA DE TARIFA'!$A$4:$C$68,2,FALSE)/1.18))</f>
        <v>8.474576271</v>
      </c>
      <c r="F78" s="19">
        <f>IF($C78="","",IF($D78="",0,VLOOKUP($C78,'DATA DE TARIFA'!$A$4:$C$68,3,FALSE)))</f>
        <v>4</v>
      </c>
      <c r="G78" s="66">
        <v>1.0</v>
      </c>
      <c r="H78" s="19">
        <f t="shared" si="1"/>
        <v>8.474576271</v>
      </c>
      <c r="I78" s="19">
        <f t="shared" si="2"/>
        <v>5</v>
      </c>
      <c r="J78" s="67"/>
      <c r="K78" s="44" t="str">
        <f>IF($B78="","",IFERROR(VLOOKUP($B78,Tiendas!$A$4:$B$176,2,FALSE),""))</f>
        <v>ALEXIS</v>
      </c>
      <c r="L78" s="68" t="s">
        <v>296</v>
      </c>
      <c r="M78" s="44" t="str">
        <f>IF($B78="","",IFERROR(VLOOKUP($B78,Tiendas!$A$4:$I$176,9,FALSE),""))</f>
        <v>No</v>
      </c>
      <c r="N78" s="69">
        <f t="shared" si="3"/>
        <v>0</v>
      </c>
      <c r="O78" s="69">
        <f t="shared" si="4"/>
        <v>0</v>
      </c>
    </row>
    <row r="79" ht="15.75" customHeight="1">
      <c r="A79" s="17">
        <v>46023.0</v>
      </c>
      <c r="B79" s="58" t="s">
        <v>200</v>
      </c>
      <c r="C79" s="58" t="s">
        <v>40</v>
      </c>
      <c r="D79" s="59" t="s">
        <v>295</v>
      </c>
      <c r="E79" s="19">
        <f>IF($D79&lt;&gt;"Entregado",0,IF($C79="","",VLOOKUP($C79,'DATA DE TARIFA'!$A$4:$C$68,2,FALSE)/1.18))</f>
        <v>8.474576271</v>
      </c>
      <c r="F79" s="19">
        <f>IF($C79="","",IF($D79="",0,VLOOKUP($C79,'DATA DE TARIFA'!$A$4:$C$68,3,FALSE)))</f>
        <v>4</v>
      </c>
      <c r="G79" s="66">
        <v>0.0</v>
      </c>
      <c r="H79" s="19">
        <f t="shared" si="1"/>
        <v>8.474576271</v>
      </c>
      <c r="I79" s="19">
        <f t="shared" si="2"/>
        <v>4</v>
      </c>
      <c r="J79" s="67"/>
      <c r="K79" s="44" t="str">
        <f>IF($B79="","",IFERROR(VLOOKUP($B79,Tiendas!$A$4:$B$176,2,FALSE),""))</f>
        <v>ALEXIS</v>
      </c>
      <c r="L79" s="68" t="s">
        <v>296</v>
      </c>
      <c r="M79" s="44" t="str">
        <f>IF($B79="","",IFERROR(VLOOKUP($B79,Tiendas!$A$4:$I$176,9,FALSE),""))</f>
        <v>No</v>
      </c>
      <c r="N79" s="69">
        <f t="shared" si="3"/>
        <v>0</v>
      </c>
      <c r="O79" s="69">
        <f t="shared" si="4"/>
        <v>0</v>
      </c>
    </row>
    <row r="80" ht="15.75" customHeight="1">
      <c r="A80" s="17">
        <v>46023.0</v>
      </c>
      <c r="B80" s="58" t="s">
        <v>200</v>
      </c>
      <c r="C80" s="58" t="s">
        <v>15</v>
      </c>
      <c r="D80" s="59" t="s">
        <v>295</v>
      </c>
      <c r="E80" s="19">
        <f>IF($D80&lt;&gt;"Entregado",0,IF($C80="","",VLOOKUP($C80,'DATA DE TARIFA'!$A$4:$C$68,2,FALSE)/1.18))</f>
        <v>8.474576271</v>
      </c>
      <c r="F80" s="19">
        <f>IF($C80="","",IF($D80="",0,VLOOKUP($C80,'DATA DE TARIFA'!$A$4:$C$68,3,FALSE)))</f>
        <v>4.5</v>
      </c>
      <c r="G80" s="66">
        <v>0.0</v>
      </c>
      <c r="H80" s="19">
        <f t="shared" si="1"/>
        <v>8.474576271</v>
      </c>
      <c r="I80" s="19">
        <f t="shared" si="2"/>
        <v>4.5</v>
      </c>
      <c r="J80" s="67"/>
      <c r="K80" s="44" t="str">
        <f>IF($B80="","",IFERROR(VLOOKUP($B80,Tiendas!$A$4:$B$176,2,FALSE),""))</f>
        <v>ALEXIS</v>
      </c>
      <c r="L80" s="68" t="s">
        <v>296</v>
      </c>
      <c r="M80" s="44" t="str">
        <f>IF($B80="","",IFERROR(VLOOKUP($B80,Tiendas!$A$4:$I$176,9,FALSE),""))</f>
        <v>No</v>
      </c>
      <c r="N80" s="69">
        <f t="shared" si="3"/>
        <v>0</v>
      </c>
      <c r="O80" s="69">
        <f t="shared" si="4"/>
        <v>0</v>
      </c>
    </row>
    <row r="81" ht="15.75" customHeight="1">
      <c r="A81" s="17">
        <v>46023.0</v>
      </c>
      <c r="B81" s="58" t="s">
        <v>200</v>
      </c>
      <c r="C81" s="58" t="s">
        <v>15</v>
      </c>
      <c r="D81" s="59" t="s">
        <v>295</v>
      </c>
      <c r="E81" s="19">
        <f>IF($D81&lt;&gt;"Entregado",0,IF($C81="","",VLOOKUP($C81,'DATA DE TARIFA'!$A$4:$C$68,2,FALSE)/1.18))</f>
        <v>8.474576271</v>
      </c>
      <c r="F81" s="19">
        <f>IF($C81="","",IF($D81="",0,VLOOKUP($C81,'DATA DE TARIFA'!$A$4:$C$68,3,FALSE)))</f>
        <v>4.5</v>
      </c>
      <c r="G81" s="66">
        <v>0.0</v>
      </c>
      <c r="H81" s="19">
        <f t="shared" si="1"/>
        <v>8.474576271</v>
      </c>
      <c r="I81" s="19">
        <f t="shared" si="2"/>
        <v>4.5</v>
      </c>
      <c r="J81" s="67"/>
      <c r="K81" s="44" t="str">
        <f>IF($B81="","",IFERROR(VLOOKUP($B81,Tiendas!$A$4:$B$176,2,FALSE),""))</f>
        <v>ALEXIS</v>
      </c>
      <c r="L81" s="68" t="s">
        <v>296</v>
      </c>
      <c r="M81" s="44" t="str">
        <f>IF($B81="","",IFERROR(VLOOKUP($B81,Tiendas!$A$4:$I$176,9,FALSE),""))</f>
        <v>No</v>
      </c>
      <c r="N81" s="69">
        <f t="shared" si="3"/>
        <v>0</v>
      </c>
      <c r="O81" s="69">
        <f t="shared" si="4"/>
        <v>0</v>
      </c>
    </row>
    <row r="82" ht="15.75" customHeight="1">
      <c r="A82" s="17">
        <v>46023.0</v>
      </c>
      <c r="B82" s="58" t="s">
        <v>200</v>
      </c>
      <c r="C82" s="58" t="s">
        <v>76</v>
      </c>
      <c r="D82" s="59" t="s">
        <v>295</v>
      </c>
      <c r="E82" s="19">
        <f>IF($D82&lt;&gt;"Entregado",0,IF($C82="","",VLOOKUP($C82,'DATA DE TARIFA'!$A$4:$C$68,2,FALSE)/1.18))</f>
        <v>10.16949153</v>
      </c>
      <c r="F82" s="19">
        <f>IF($C82="","",IF($D82="",0,VLOOKUP($C82,'DATA DE TARIFA'!$A$4:$C$68,3,FALSE)))</f>
        <v>4.5</v>
      </c>
      <c r="G82" s="66">
        <v>0.0</v>
      </c>
      <c r="H82" s="19">
        <f t="shared" si="1"/>
        <v>10.16949153</v>
      </c>
      <c r="I82" s="19">
        <f t="shared" si="2"/>
        <v>4.5</v>
      </c>
      <c r="J82" s="67"/>
      <c r="K82" s="44" t="str">
        <f>IF($B82="","",IFERROR(VLOOKUP($B82,Tiendas!$A$4:$B$176,2,FALSE),""))</f>
        <v>ALEXIS</v>
      </c>
      <c r="L82" s="68" t="s">
        <v>296</v>
      </c>
      <c r="M82" s="44" t="str">
        <f>IF($B82="","",IFERROR(VLOOKUP($B82,Tiendas!$A$4:$I$176,9,FALSE),""))</f>
        <v>No</v>
      </c>
      <c r="N82" s="69">
        <f t="shared" si="3"/>
        <v>0</v>
      </c>
      <c r="O82" s="69">
        <f t="shared" si="4"/>
        <v>0</v>
      </c>
    </row>
    <row r="83" ht="15.75" customHeight="1">
      <c r="A83" s="17">
        <v>46023.0</v>
      </c>
      <c r="B83" s="58" t="s">
        <v>200</v>
      </c>
      <c r="C83" s="58" t="s">
        <v>40</v>
      </c>
      <c r="D83" s="59" t="s">
        <v>295</v>
      </c>
      <c r="E83" s="19">
        <f>IF($D83&lt;&gt;"Entregado",0,IF($C83="","",VLOOKUP($C83,'DATA DE TARIFA'!$A$4:$C$68,2,FALSE)/1.18))</f>
        <v>8.474576271</v>
      </c>
      <c r="F83" s="19">
        <f>IF($C83="","",IF($D83="",0,VLOOKUP($C83,'DATA DE TARIFA'!$A$4:$C$68,3,FALSE)))</f>
        <v>4</v>
      </c>
      <c r="G83" s="66">
        <v>0.0</v>
      </c>
      <c r="H83" s="19">
        <f t="shared" si="1"/>
        <v>8.474576271</v>
      </c>
      <c r="I83" s="19">
        <f t="shared" si="2"/>
        <v>4</v>
      </c>
      <c r="J83" s="67"/>
      <c r="K83" s="44" t="str">
        <f>IF($B83="","",IFERROR(VLOOKUP($B83,Tiendas!$A$4:$B$176,2,FALSE),""))</f>
        <v>ALEXIS</v>
      </c>
      <c r="L83" s="68" t="s">
        <v>296</v>
      </c>
      <c r="M83" s="44" t="str">
        <f>IF($B83="","",IFERROR(VLOOKUP($B83,Tiendas!$A$4:$I$176,9,FALSE),""))</f>
        <v>No</v>
      </c>
      <c r="N83" s="69">
        <f t="shared" si="3"/>
        <v>0</v>
      </c>
      <c r="O83" s="69">
        <f t="shared" si="4"/>
        <v>0</v>
      </c>
    </row>
    <row r="84" ht="15.75" customHeight="1">
      <c r="A84" s="17">
        <v>46023.0</v>
      </c>
      <c r="B84" s="58" t="s">
        <v>200</v>
      </c>
      <c r="C84" s="58" t="s">
        <v>15</v>
      </c>
      <c r="D84" s="59" t="s">
        <v>295</v>
      </c>
      <c r="E84" s="19">
        <f>IF($D84&lt;&gt;"Entregado",0,IF($C84="","",VLOOKUP($C84,'DATA DE TARIFA'!$A$4:$C$68,2,FALSE)/1.18))</f>
        <v>8.474576271</v>
      </c>
      <c r="F84" s="19">
        <f>IF($C84="","",IF($D84="",0,VLOOKUP($C84,'DATA DE TARIFA'!$A$4:$C$68,3,FALSE)))</f>
        <v>4.5</v>
      </c>
      <c r="G84" s="66">
        <v>0.0</v>
      </c>
      <c r="H84" s="19">
        <f t="shared" si="1"/>
        <v>8.474576271</v>
      </c>
      <c r="I84" s="19">
        <f t="shared" si="2"/>
        <v>4.5</v>
      </c>
      <c r="J84" s="67"/>
      <c r="K84" s="44" t="str">
        <f>IF($B84="","",IFERROR(VLOOKUP($B84,Tiendas!$A$4:$B$176,2,FALSE),""))</f>
        <v>ALEXIS</v>
      </c>
      <c r="L84" s="68" t="s">
        <v>296</v>
      </c>
      <c r="M84" s="44" t="str">
        <f>IF($B84="","",IFERROR(VLOOKUP($B84,Tiendas!$A$4:$I$176,9,FALSE),""))</f>
        <v>No</v>
      </c>
      <c r="N84" s="69">
        <f t="shared" si="3"/>
        <v>0</v>
      </c>
      <c r="O84" s="69">
        <f t="shared" si="4"/>
        <v>0</v>
      </c>
    </row>
    <row r="85" ht="15.75" customHeight="1">
      <c r="A85" s="17">
        <v>46023.0</v>
      </c>
      <c r="B85" s="58" t="s">
        <v>200</v>
      </c>
      <c r="C85" s="58" t="s">
        <v>34</v>
      </c>
      <c r="D85" s="59" t="s">
        <v>295</v>
      </c>
      <c r="E85" s="19">
        <f>IF($D85&lt;&gt;"Entregado",0,IF($C85="","",VLOOKUP($C85,'DATA DE TARIFA'!$A$4:$C$68,2,FALSE)/1.18))</f>
        <v>10.16949153</v>
      </c>
      <c r="F85" s="19">
        <f>IF($C85="","",IF($D85="",0,VLOOKUP($C85,'DATA DE TARIFA'!$A$4:$C$68,3,FALSE)))</f>
        <v>4.5</v>
      </c>
      <c r="G85" s="66">
        <v>0.0</v>
      </c>
      <c r="H85" s="19">
        <f t="shared" si="1"/>
        <v>10.16949153</v>
      </c>
      <c r="I85" s="19">
        <f t="shared" si="2"/>
        <v>4.5</v>
      </c>
      <c r="J85" s="67"/>
      <c r="K85" s="44" t="str">
        <f>IF($B85="","",IFERROR(VLOOKUP($B85,Tiendas!$A$4:$B$176,2,FALSE),""))</f>
        <v>ALEXIS</v>
      </c>
      <c r="L85" s="68" t="s">
        <v>296</v>
      </c>
      <c r="M85" s="44" t="str">
        <f>IF($B85="","",IFERROR(VLOOKUP($B85,Tiendas!$A$4:$I$176,9,FALSE),""))</f>
        <v>No</v>
      </c>
      <c r="N85" s="69">
        <f t="shared" si="3"/>
        <v>0</v>
      </c>
      <c r="O85" s="69">
        <f t="shared" si="4"/>
        <v>0</v>
      </c>
    </row>
    <row r="86" ht="15.75" customHeight="1">
      <c r="A86" s="17">
        <v>46023.0</v>
      </c>
      <c r="B86" s="58" t="s">
        <v>200</v>
      </c>
      <c r="C86" s="58" t="s">
        <v>40</v>
      </c>
      <c r="D86" s="59" t="s">
        <v>295</v>
      </c>
      <c r="E86" s="19">
        <f>IF($D86&lt;&gt;"Entregado",0,IF($C86="","",VLOOKUP($C86,'DATA DE TARIFA'!$A$4:$C$68,2,FALSE)/1.18))</f>
        <v>8.474576271</v>
      </c>
      <c r="F86" s="19">
        <f>IF($C86="","",IF($D86="",0,VLOOKUP($C86,'DATA DE TARIFA'!$A$4:$C$68,3,FALSE)))</f>
        <v>4</v>
      </c>
      <c r="G86" s="66">
        <v>0.0</v>
      </c>
      <c r="H86" s="19">
        <f t="shared" si="1"/>
        <v>8.474576271</v>
      </c>
      <c r="I86" s="19">
        <f t="shared" si="2"/>
        <v>4</v>
      </c>
      <c r="J86" s="67"/>
      <c r="K86" s="44" t="str">
        <f>IF($B86="","",IFERROR(VLOOKUP($B86,Tiendas!$A$4:$B$176,2,FALSE),""))</f>
        <v>ALEXIS</v>
      </c>
      <c r="L86" s="68" t="s">
        <v>296</v>
      </c>
      <c r="M86" s="44" t="str">
        <f>IF($B86="","",IFERROR(VLOOKUP($B86,Tiendas!$A$4:$I$176,9,FALSE),""))</f>
        <v>No</v>
      </c>
      <c r="N86" s="69">
        <f t="shared" si="3"/>
        <v>0</v>
      </c>
      <c r="O86" s="69">
        <f t="shared" si="4"/>
        <v>0</v>
      </c>
    </row>
    <row r="87" ht="15.75" customHeight="1">
      <c r="A87" s="17">
        <v>46023.0</v>
      </c>
      <c r="B87" s="58" t="s">
        <v>200</v>
      </c>
      <c r="C87" s="58" t="s">
        <v>60</v>
      </c>
      <c r="D87" s="59" t="s">
        <v>295</v>
      </c>
      <c r="E87" s="19">
        <f>IF($D87&lt;&gt;"Entregado",0,IF($C87="","",VLOOKUP($C87,'DATA DE TARIFA'!$A$4:$C$68,2,FALSE)/1.18))</f>
        <v>8.474576271</v>
      </c>
      <c r="F87" s="19">
        <f>IF($C87="","",IF($D87="",0,VLOOKUP($C87,'DATA DE TARIFA'!$A$4:$C$68,3,FALSE)))</f>
        <v>4</v>
      </c>
      <c r="G87" s="66">
        <v>0.0</v>
      </c>
      <c r="H87" s="19">
        <f t="shared" si="1"/>
        <v>8.474576271</v>
      </c>
      <c r="I87" s="19">
        <f t="shared" si="2"/>
        <v>4</v>
      </c>
      <c r="J87" s="67"/>
      <c r="K87" s="44" t="str">
        <f>IF($B87="","",IFERROR(VLOOKUP($B87,Tiendas!$A$4:$B$176,2,FALSE),""))</f>
        <v>ALEXIS</v>
      </c>
      <c r="L87" s="68" t="s">
        <v>296</v>
      </c>
      <c r="M87" s="44" t="str">
        <f>IF($B87="","",IFERROR(VLOOKUP($B87,Tiendas!$A$4:$I$176,9,FALSE),""))</f>
        <v>No</v>
      </c>
      <c r="N87" s="69">
        <f t="shared" si="3"/>
        <v>0</v>
      </c>
      <c r="O87" s="69">
        <f t="shared" si="4"/>
        <v>0</v>
      </c>
    </row>
    <row r="88" ht="15.75" customHeight="1">
      <c r="A88" s="17">
        <v>46023.0</v>
      </c>
      <c r="B88" s="58" t="s">
        <v>200</v>
      </c>
      <c r="C88" s="58" t="s">
        <v>36</v>
      </c>
      <c r="D88" s="59" t="s">
        <v>295</v>
      </c>
      <c r="E88" s="19">
        <f>IF($D88&lt;&gt;"Entregado",0,IF($C88="","",VLOOKUP($C88,'DATA DE TARIFA'!$A$4:$C$68,2,FALSE)/1.18))</f>
        <v>10.16949153</v>
      </c>
      <c r="F88" s="19">
        <f>IF($C88="","",IF($D88="",0,VLOOKUP($C88,'DATA DE TARIFA'!$A$4:$C$68,3,FALSE)))</f>
        <v>4.5</v>
      </c>
      <c r="G88" s="66">
        <v>0.0</v>
      </c>
      <c r="H88" s="19">
        <f t="shared" si="1"/>
        <v>10.16949153</v>
      </c>
      <c r="I88" s="19">
        <f t="shared" si="2"/>
        <v>4.5</v>
      </c>
      <c r="J88" s="67"/>
      <c r="K88" s="44" t="str">
        <f>IF($B88="","",IFERROR(VLOOKUP($B88,Tiendas!$A$4:$B$176,2,FALSE),""))</f>
        <v>ALEXIS</v>
      </c>
      <c r="L88" s="68" t="s">
        <v>296</v>
      </c>
      <c r="M88" s="44" t="str">
        <f>IF($B88="","",IFERROR(VLOOKUP($B88,Tiendas!$A$4:$I$176,9,FALSE),""))</f>
        <v>No</v>
      </c>
      <c r="N88" s="69">
        <f t="shared" si="3"/>
        <v>0</v>
      </c>
      <c r="O88" s="69">
        <f t="shared" si="4"/>
        <v>0</v>
      </c>
    </row>
    <row r="89" ht="15.75" customHeight="1">
      <c r="A89" s="17">
        <v>46023.0</v>
      </c>
      <c r="B89" s="58" t="s">
        <v>200</v>
      </c>
      <c r="C89" s="58" t="s">
        <v>15</v>
      </c>
      <c r="D89" s="59" t="s">
        <v>295</v>
      </c>
      <c r="E89" s="19">
        <f>IF($D89&lt;&gt;"Entregado",0,IF($C89="","",VLOOKUP($C89,'DATA DE TARIFA'!$A$4:$C$68,2,FALSE)/1.18))</f>
        <v>8.474576271</v>
      </c>
      <c r="F89" s="19">
        <f>IF($C89="","",IF($D89="",0,VLOOKUP($C89,'DATA DE TARIFA'!$A$4:$C$68,3,FALSE)))</f>
        <v>4.5</v>
      </c>
      <c r="G89" s="66">
        <v>0.0</v>
      </c>
      <c r="H89" s="19">
        <f t="shared" si="1"/>
        <v>8.474576271</v>
      </c>
      <c r="I89" s="19">
        <f t="shared" si="2"/>
        <v>4.5</v>
      </c>
      <c r="J89" s="67"/>
      <c r="K89" s="44" t="str">
        <f>IF($B89="","",IFERROR(VLOOKUP($B89,Tiendas!$A$4:$B$176,2,FALSE),""))</f>
        <v>ALEXIS</v>
      </c>
      <c r="L89" s="68" t="s">
        <v>296</v>
      </c>
      <c r="M89" s="44" t="str">
        <f>IF($B89="","",IFERROR(VLOOKUP($B89,Tiendas!$A$4:$I$176,9,FALSE),""))</f>
        <v>No</v>
      </c>
      <c r="N89" s="69">
        <f t="shared" si="3"/>
        <v>0</v>
      </c>
      <c r="O89" s="69">
        <f t="shared" si="4"/>
        <v>0</v>
      </c>
    </row>
    <row r="90" ht="15.75" customHeight="1">
      <c r="A90" s="17">
        <v>46023.0</v>
      </c>
      <c r="B90" s="58" t="s">
        <v>200</v>
      </c>
      <c r="C90" s="58" t="s">
        <v>70</v>
      </c>
      <c r="D90" s="59" t="s">
        <v>295</v>
      </c>
      <c r="E90" s="19">
        <f>IF($D90&lt;&gt;"Entregado",0,IF($C90="","",VLOOKUP($C90,'DATA DE TARIFA'!$A$4:$C$68,2,FALSE)/1.18))</f>
        <v>8.474576271</v>
      </c>
      <c r="F90" s="19">
        <f>IF($C90="","",IF($D90="",0,VLOOKUP($C90,'DATA DE TARIFA'!$A$4:$C$68,3,FALSE)))</f>
        <v>4</v>
      </c>
      <c r="G90" s="66">
        <v>0.0</v>
      </c>
      <c r="H90" s="19">
        <f t="shared" si="1"/>
        <v>8.474576271</v>
      </c>
      <c r="I90" s="19">
        <f t="shared" si="2"/>
        <v>4</v>
      </c>
      <c r="J90" s="67"/>
      <c r="K90" s="44" t="str">
        <f>IF($B90="","",IFERROR(VLOOKUP($B90,Tiendas!$A$4:$B$176,2,FALSE),""))</f>
        <v>ALEXIS</v>
      </c>
      <c r="L90" s="68" t="s">
        <v>296</v>
      </c>
      <c r="M90" s="44" t="str">
        <f>IF($B90="","",IFERROR(VLOOKUP($B90,Tiendas!$A$4:$I$176,9,FALSE),""))</f>
        <v>No</v>
      </c>
      <c r="N90" s="69">
        <f t="shared" si="3"/>
        <v>0</v>
      </c>
      <c r="O90" s="69">
        <f t="shared" si="4"/>
        <v>0</v>
      </c>
    </row>
    <row r="91" ht="15.75" customHeight="1">
      <c r="A91" s="17">
        <v>46023.0</v>
      </c>
      <c r="B91" s="58" t="s">
        <v>200</v>
      </c>
      <c r="C91" s="58" t="s">
        <v>63</v>
      </c>
      <c r="D91" s="59" t="s">
        <v>295</v>
      </c>
      <c r="E91" s="19">
        <f>IF($D91&lt;&gt;"Entregado",0,IF($C91="","",VLOOKUP($C91,'DATA DE TARIFA'!$A$4:$C$68,2,FALSE)/1.18))</f>
        <v>8.474576271</v>
      </c>
      <c r="F91" s="19">
        <f>IF($C91="","",IF($D91="",0,VLOOKUP($C91,'DATA DE TARIFA'!$A$4:$C$68,3,FALSE)))</f>
        <v>4</v>
      </c>
      <c r="G91" s="66">
        <v>0.0</v>
      </c>
      <c r="H91" s="19">
        <f t="shared" si="1"/>
        <v>8.474576271</v>
      </c>
      <c r="I91" s="19">
        <f t="shared" si="2"/>
        <v>4</v>
      </c>
      <c r="J91" s="67"/>
      <c r="K91" s="44" t="str">
        <f>IF($B91="","",IFERROR(VLOOKUP($B91,Tiendas!$A$4:$B$176,2,FALSE),""))</f>
        <v>ALEXIS</v>
      </c>
      <c r="L91" s="68" t="s">
        <v>296</v>
      </c>
      <c r="M91" s="44" t="str">
        <f>IF($B91="","",IFERROR(VLOOKUP($B91,Tiendas!$A$4:$I$176,9,FALSE),""))</f>
        <v>No</v>
      </c>
      <c r="N91" s="69">
        <f t="shared" si="3"/>
        <v>0</v>
      </c>
      <c r="O91" s="69">
        <f t="shared" si="4"/>
        <v>0</v>
      </c>
    </row>
    <row r="92" ht="15.75" customHeight="1">
      <c r="A92" s="17">
        <v>46023.0</v>
      </c>
      <c r="B92" s="58" t="s">
        <v>200</v>
      </c>
      <c r="C92" s="58" t="s">
        <v>21</v>
      </c>
      <c r="D92" s="59" t="s">
        <v>295</v>
      </c>
      <c r="E92" s="19">
        <f>IF($D92&lt;&gt;"Entregado",0,IF($C92="","",VLOOKUP($C92,'DATA DE TARIFA'!$A$4:$C$68,2,FALSE)/1.18))</f>
        <v>10.16949153</v>
      </c>
      <c r="F92" s="19">
        <f>IF($C92="","",IF($D92="",0,VLOOKUP($C92,'DATA DE TARIFA'!$A$4:$C$68,3,FALSE)))</f>
        <v>4.5</v>
      </c>
      <c r="G92" s="66">
        <v>0.0</v>
      </c>
      <c r="H92" s="19">
        <f t="shared" si="1"/>
        <v>10.16949153</v>
      </c>
      <c r="I92" s="19">
        <f t="shared" si="2"/>
        <v>4.5</v>
      </c>
      <c r="J92" s="67"/>
      <c r="K92" s="44" t="str">
        <f>IF($B92="","",IFERROR(VLOOKUP($B92,Tiendas!$A$4:$B$176,2,FALSE),""))</f>
        <v>ALEXIS</v>
      </c>
      <c r="L92" s="68" t="s">
        <v>296</v>
      </c>
      <c r="M92" s="44" t="str">
        <f>IF($B92="","",IFERROR(VLOOKUP($B92,Tiendas!$A$4:$I$176,9,FALSE),""))</f>
        <v>No</v>
      </c>
      <c r="N92" s="69">
        <f t="shared" si="3"/>
        <v>0</v>
      </c>
      <c r="O92" s="69">
        <f t="shared" si="4"/>
        <v>0</v>
      </c>
    </row>
    <row r="93" ht="15.75" customHeight="1">
      <c r="A93" s="17">
        <v>46023.0</v>
      </c>
      <c r="B93" s="58" t="s">
        <v>200</v>
      </c>
      <c r="C93" s="58" t="s">
        <v>15</v>
      </c>
      <c r="D93" s="59" t="s">
        <v>295</v>
      </c>
      <c r="E93" s="19">
        <f>IF($D93&lt;&gt;"Entregado",0,IF($C93="","",VLOOKUP($C93,'DATA DE TARIFA'!$A$4:$C$68,2,FALSE)/1.18))</f>
        <v>8.474576271</v>
      </c>
      <c r="F93" s="19">
        <f>IF($C93="","",IF($D93="",0,VLOOKUP($C93,'DATA DE TARIFA'!$A$4:$C$68,3,FALSE)))</f>
        <v>4.5</v>
      </c>
      <c r="G93" s="66">
        <v>0.0</v>
      </c>
      <c r="H93" s="19">
        <f t="shared" si="1"/>
        <v>8.474576271</v>
      </c>
      <c r="I93" s="19">
        <f t="shared" si="2"/>
        <v>4.5</v>
      </c>
      <c r="J93" s="67"/>
      <c r="K93" s="44" t="str">
        <f>IF($B93="","",IFERROR(VLOOKUP($B93,Tiendas!$A$4:$B$176,2,FALSE),""))</f>
        <v>ALEXIS</v>
      </c>
      <c r="L93" s="68" t="s">
        <v>296</v>
      </c>
      <c r="M93" s="44" t="str">
        <f>IF($B93="","",IFERROR(VLOOKUP($B93,Tiendas!$A$4:$I$176,9,FALSE),""))</f>
        <v>No</v>
      </c>
      <c r="N93" s="69">
        <f t="shared" si="3"/>
        <v>0</v>
      </c>
      <c r="O93" s="69">
        <f t="shared" si="4"/>
        <v>0</v>
      </c>
    </row>
    <row r="94" ht="15.75" customHeight="1">
      <c r="A94" s="17">
        <v>46023.0</v>
      </c>
      <c r="B94" s="58" t="s">
        <v>200</v>
      </c>
      <c r="C94" s="58" t="s">
        <v>57</v>
      </c>
      <c r="D94" s="59" t="s">
        <v>295</v>
      </c>
      <c r="E94" s="19">
        <f>IF($D94&lt;&gt;"Entregado",0,IF($C94="","",VLOOKUP($C94,'DATA DE TARIFA'!$A$4:$C$68,2,FALSE)/1.18))</f>
        <v>8.474576271</v>
      </c>
      <c r="F94" s="19">
        <f>IF($C94="","",IF($D94="",0,VLOOKUP($C94,'DATA DE TARIFA'!$A$4:$C$68,3,FALSE)))</f>
        <v>4.5</v>
      </c>
      <c r="G94" s="66">
        <v>0.0</v>
      </c>
      <c r="H94" s="19">
        <f t="shared" si="1"/>
        <v>8.474576271</v>
      </c>
      <c r="I94" s="19">
        <f t="shared" si="2"/>
        <v>4.5</v>
      </c>
      <c r="J94" s="67"/>
      <c r="K94" s="44" t="str">
        <f>IF($B94="","",IFERROR(VLOOKUP($B94,Tiendas!$A$4:$B$176,2,FALSE),""))</f>
        <v>ALEXIS</v>
      </c>
      <c r="L94" s="68" t="s">
        <v>296</v>
      </c>
      <c r="M94" s="44" t="str">
        <f>IF($B94="","",IFERROR(VLOOKUP($B94,Tiendas!$A$4:$I$176,9,FALSE),""))</f>
        <v>No</v>
      </c>
      <c r="N94" s="69">
        <f t="shared" si="3"/>
        <v>0</v>
      </c>
      <c r="O94" s="69">
        <f t="shared" si="4"/>
        <v>0</v>
      </c>
    </row>
    <row r="95" ht="15.75" customHeight="1">
      <c r="A95" s="17">
        <v>46023.0</v>
      </c>
      <c r="B95" s="58" t="s">
        <v>200</v>
      </c>
      <c r="C95" s="58" t="s">
        <v>15</v>
      </c>
      <c r="D95" s="59" t="s">
        <v>295</v>
      </c>
      <c r="E95" s="19">
        <f>IF($D95&lt;&gt;"Entregado",0,IF($C95="","",VLOOKUP($C95,'DATA DE TARIFA'!$A$4:$C$68,2,FALSE)/1.18))</f>
        <v>8.474576271</v>
      </c>
      <c r="F95" s="19">
        <f>IF($C95="","",IF($D95="",0,VLOOKUP($C95,'DATA DE TARIFA'!$A$4:$C$68,3,FALSE)))</f>
        <v>4.5</v>
      </c>
      <c r="G95" s="66">
        <v>0.0</v>
      </c>
      <c r="H95" s="19">
        <f t="shared" si="1"/>
        <v>8.474576271</v>
      </c>
      <c r="I95" s="19">
        <f t="shared" si="2"/>
        <v>4.5</v>
      </c>
      <c r="J95" s="67"/>
      <c r="K95" s="44" t="str">
        <f>IF($B95="","",IFERROR(VLOOKUP($B95,Tiendas!$A$4:$B$176,2,FALSE),""))</f>
        <v>ALEXIS</v>
      </c>
      <c r="L95" s="68" t="s">
        <v>296</v>
      </c>
      <c r="M95" s="44" t="str">
        <f>IF($B95="","",IFERROR(VLOOKUP($B95,Tiendas!$A$4:$I$176,9,FALSE),""))</f>
        <v>No</v>
      </c>
      <c r="N95" s="69">
        <f t="shared" si="3"/>
        <v>0</v>
      </c>
      <c r="O95" s="69">
        <f t="shared" si="4"/>
        <v>0</v>
      </c>
    </row>
    <row r="96" ht="15.75" customHeight="1">
      <c r="A96" s="17">
        <v>46023.0</v>
      </c>
      <c r="B96" s="58" t="s">
        <v>200</v>
      </c>
      <c r="C96" s="58" t="s">
        <v>38</v>
      </c>
      <c r="D96" s="59" t="s">
        <v>295</v>
      </c>
      <c r="E96" s="19">
        <f>IF($D96&lt;&gt;"Entregado",0,IF($C96="","",VLOOKUP($C96,'DATA DE TARIFA'!$A$4:$C$68,2,FALSE)/1.18))</f>
        <v>8.474576271</v>
      </c>
      <c r="F96" s="19">
        <f>IF($C96="","",IF($D96="",0,VLOOKUP($C96,'DATA DE TARIFA'!$A$4:$C$68,3,FALSE)))</f>
        <v>4</v>
      </c>
      <c r="G96" s="66">
        <v>0.0</v>
      </c>
      <c r="H96" s="19">
        <f t="shared" si="1"/>
        <v>8.474576271</v>
      </c>
      <c r="I96" s="19">
        <f t="shared" si="2"/>
        <v>4</v>
      </c>
      <c r="J96" s="67"/>
      <c r="K96" s="44" t="str">
        <f>IF($B96="","",IFERROR(VLOOKUP($B96,Tiendas!$A$4:$B$176,2,FALSE),""))</f>
        <v>ALEXIS</v>
      </c>
      <c r="L96" s="68" t="s">
        <v>296</v>
      </c>
      <c r="M96" s="44" t="str">
        <f>IF($B96="","",IFERROR(VLOOKUP($B96,Tiendas!$A$4:$I$176,9,FALSE),""))</f>
        <v>No</v>
      </c>
      <c r="N96" s="69">
        <f t="shared" si="3"/>
        <v>0</v>
      </c>
      <c r="O96" s="69">
        <f t="shared" si="4"/>
        <v>0</v>
      </c>
    </row>
    <row r="97" ht="15.75" customHeight="1">
      <c r="A97" s="17">
        <v>46023.0</v>
      </c>
      <c r="B97" s="58" t="s">
        <v>200</v>
      </c>
      <c r="C97" s="58" t="s">
        <v>70</v>
      </c>
      <c r="D97" s="59" t="s">
        <v>295</v>
      </c>
      <c r="E97" s="19">
        <f>IF($D97&lt;&gt;"Entregado",0,IF($C97="","",VLOOKUP($C97,'DATA DE TARIFA'!$A$4:$C$68,2,FALSE)/1.18))</f>
        <v>8.474576271</v>
      </c>
      <c r="F97" s="19">
        <f>IF($C97="","",IF($D97="",0,VLOOKUP($C97,'DATA DE TARIFA'!$A$4:$C$68,3,FALSE)))</f>
        <v>4</v>
      </c>
      <c r="G97" s="66">
        <v>0.0</v>
      </c>
      <c r="H97" s="19">
        <f t="shared" si="1"/>
        <v>8.474576271</v>
      </c>
      <c r="I97" s="19">
        <f t="shared" si="2"/>
        <v>4</v>
      </c>
      <c r="J97" s="67"/>
      <c r="K97" s="44" t="str">
        <f>IF($B97="","",IFERROR(VLOOKUP($B97,Tiendas!$A$4:$B$176,2,FALSE),""))</f>
        <v>ALEXIS</v>
      </c>
      <c r="L97" s="68" t="s">
        <v>296</v>
      </c>
      <c r="M97" s="44" t="str">
        <f>IF($B97="","",IFERROR(VLOOKUP($B97,Tiendas!$A$4:$I$176,9,FALSE),""))</f>
        <v>No</v>
      </c>
      <c r="N97" s="69">
        <f t="shared" si="3"/>
        <v>0</v>
      </c>
      <c r="O97" s="69">
        <f t="shared" si="4"/>
        <v>0</v>
      </c>
    </row>
    <row r="98" ht="15.75" customHeight="1">
      <c r="A98" s="17">
        <v>46023.0</v>
      </c>
      <c r="B98" s="58" t="s">
        <v>200</v>
      </c>
      <c r="C98" s="58" t="s">
        <v>38</v>
      </c>
      <c r="D98" s="59" t="s">
        <v>295</v>
      </c>
      <c r="E98" s="19">
        <f>IF($D98&lt;&gt;"Entregado",0,IF($C98="","",VLOOKUP($C98,'DATA DE TARIFA'!$A$4:$C$68,2,FALSE)/1.18))</f>
        <v>8.474576271</v>
      </c>
      <c r="F98" s="19">
        <f>IF($C98="","",IF($D98="",0,VLOOKUP($C98,'DATA DE TARIFA'!$A$4:$C$68,3,FALSE)))</f>
        <v>4</v>
      </c>
      <c r="G98" s="66">
        <v>0.0</v>
      </c>
      <c r="H98" s="19">
        <f t="shared" si="1"/>
        <v>8.474576271</v>
      </c>
      <c r="I98" s="19">
        <f t="shared" si="2"/>
        <v>4</v>
      </c>
      <c r="J98" s="67"/>
      <c r="K98" s="44" t="str">
        <f>IF($B98="","",IFERROR(VLOOKUP($B98,Tiendas!$A$4:$B$176,2,FALSE),""))</f>
        <v>ALEXIS</v>
      </c>
      <c r="L98" s="68" t="s">
        <v>296</v>
      </c>
      <c r="M98" s="44" t="str">
        <f>IF($B98="","",IFERROR(VLOOKUP($B98,Tiendas!$A$4:$I$176,9,FALSE),""))</f>
        <v>No</v>
      </c>
      <c r="N98" s="69">
        <f t="shared" si="3"/>
        <v>0</v>
      </c>
      <c r="O98" s="69">
        <f t="shared" si="4"/>
        <v>0</v>
      </c>
    </row>
    <row r="99" ht="15.75" customHeight="1">
      <c r="A99" s="17">
        <v>46023.0</v>
      </c>
      <c r="B99" s="58" t="s">
        <v>200</v>
      </c>
      <c r="C99" s="58" t="s">
        <v>15</v>
      </c>
      <c r="D99" s="59" t="s">
        <v>295</v>
      </c>
      <c r="E99" s="19">
        <f>IF($D99&lt;&gt;"Entregado",0,IF($C99="","",VLOOKUP($C99,'DATA DE TARIFA'!$A$4:$C$68,2,FALSE)/1.18))</f>
        <v>8.474576271</v>
      </c>
      <c r="F99" s="19">
        <f>IF($C99="","",IF($D99="",0,VLOOKUP($C99,'DATA DE TARIFA'!$A$4:$C$68,3,FALSE)))</f>
        <v>4.5</v>
      </c>
      <c r="G99" s="66">
        <v>0.0</v>
      </c>
      <c r="H99" s="19">
        <f t="shared" si="1"/>
        <v>8.474576271</v>
      </c>
      <c r="I99" s="19">
        <f t="shared" si="2"/>
        <v>4.5</v>
      </c>
      <c r="J99" s="67"/>
      <c r="K99" s="44" t="str">
        <f>IF($B99="","",IFERROR(VLOOKUP($B99,Tiendas!$A$4:$B$176,2,FALSE),""))</f>
        <v>ALEXIS</v>
      </c>
      <c r="L99" s="68" t="s">
        <v>296</v>
      </c>
      <c r="M99" s="44" t="str">
        <f>IF($B99="","",IFERROR(VLOOKUP($B99,Tiendas!$A$4:$I$176,9,FALSE),""))</f>
        <v>No</v>
      </c>
      <c r="N99" s="69">
        <f t="shared" si="3"/>
        <v>0</v>
      </c>
      <c r="O99" s="69">
        <f t="shared" si="4"/>
        <v>0</v>
      </c>
    </row>
    <row r="100" ht="15.75" customHeight="1">
      <c r="A100" s="17">
        <v>46023.0</v>
      </c>
      <c r="B100" s="58" t="s">
        <v>200</v>
      </c>
      <c r="C100" s="58" t="s">
        <v>53</v>
      </c>
      <c r="D100" s="59" t="s">
        <v>295</v>
      </c>
      <c r="E100" s="19">
        <f>IF($D100&lt;&gt;"Entregado",0,IF($C100="","",VLOOKUP($C100,'DATA DE TARIFA'!$A$4:$C$68,2,FALSE)/1.18))</f>
        <v>8.474576271</v>
      </c>
      <c r="F100" s="19">
        <f>IF($C100="","",IF($D100="",0,VLOOKUP($C100,'DATA DE TARIFA'!$A$4:$C$68,3,FALSE)))</f>
        <v>4</v>
      </c>
      <c r="G100" s="66">
        <v>0.0</v>
      </c>
      <c r="H100" s="19">
        <f t="shared" si="1"/>
        <v>8.474576271</v>
      </c>
      <c r="I100" s="19">
        <f t="shared" si="2"/>
        <v>4</v>
      </c>
      <c r="J100" s="67"/>
      <c r="K100" s="44" t="str">
        <f>IF($B100="","",IFERROR(VLOOKUP($B100,Tiendas!$A$4:$B$176,2,FALSE),""))</f>
        <v>ALEXIS</v>
      </c>
      <c r="L100" s="68" t="s">
        <v>296</v>
      </c>
      <c r="M100" s="44" t="str">
        <f>IF($B100="","",IFERROR(VLOOKUP($B100,Tiendas!$A$4:$I$176,9,FALSE),""))</f>
        <v>No</v>
      </c>
      <c r="N100" s="69">
        <f t="shared" si="3"/>
        <v>0</v>
      </c>
      <c r="O100" s="69">
        <f t="shared" si="4"/>
        <v>0</v>
      </c>
    </row>
    <row r="101" ht="15.75" customHeight="1">
      <c r="A101" s="17">
        <v>46023.0</v>
      </c>
      <c r="B101" s="58" t="s">
        <v>200</v>
      </c>
      <c r="C101" s="58" t="s">
        <v>15</v>
      </c>
      <c r="D101" s="59" t="s">
        <v>295</v>
      </c>
      <c r="E101" s="19">
        <f>IF($D101&lt;&gt;"Entregado",0,IF($C101="","",VLOOKUP($C101,'DATA DE TARIFA'!$A$4:$C$68,2,FALSE)/1.18))</f>
        <v>8.474576271</v>
      </c>
      <c r="F101" s="19">
        <f>IF($C101="","",IF($D101="",0,VLOOKUP($C101,'DATA DE TARIFA'!$A$4:$C$68,3,FALSE)))</f>
        <v>4.5</v>
      </c>
      <c r="G101" s="66">
        <v>0.0</v>
      </c>
      <c r="H101" s="19">
        <f t="shared" si="1"/>
        <v>8.474576271</v>
      </c>
      <c r="I101" s="19">
        <f t="shared" si="2"/>
        <v>4.5</v>
      </c>
      <c r="J101" s="67"/>
      <c r="K101" s="44" t="str">
        <f>IF($B101="","",IFERROR(VLOOKUP($B101,Tiendas!$A$4:$B$176,2,FALSE),""))</f>
        <v>ALEXIS</v>
      </c>
      <c r="L101" s="68" t="s">
        <v>296</v>
      </c>
      <c r="M101" s="44" t="str">
        <f>IF($B101="","",IFERROR(VLOOKUP($B101,Tiendas!$A$4:$I$176,9,FALSE),""))</f>
        <v>No</v>
      </c>
      <c r="N101" s="69">
        <f t="shared" si="3"/>
        <v>0</v>
      </c>
      <c r="O101" s="69">
        <f t="shared" si="4"/>
        <v>0</v>
      </c>
    </row>
    <row r="102" ht="15.75" customHeight="1">
      <c r="A102" s="17">
        <v>46023.0</v>
      </c>
      <c r="B102" s="58" t="s">
        <v>200</v>
      </c>
      <c r="C102" s="58" t="s">
        <v>15</v>
      </c>
      <c r="D102" s="59" t="s">
        <v>295</v>
      </c>
      <c r="E102" s="19">
        <f>IF($D102&lt;&gt;"Entregado",0,IF($C102="","",VLOOKUP($C102,'DATA DE TARIFA'!$A$4:$C$68,2,FALSE)/1.18))</f>
        <v>8.474576271</v>
      </c>
      <c r="F102" s="19">
        <f>IF($C102="","",IF($D102="",0,VLOOKUP($C102,'DATA DE TARIFA'!$A$4:$C$68,3,FALSE)))</f>
        <v>4.5</v>
      </c>
      <c r="G102" s="66">
        <v>0.0</v>
      </c>
      <c r="H102" s="19">
        <f t="shared" si="1"/>
        <v>8.474576271</v>
      </c>
      <c r="I102" s="19">
        <f t="shared" si="2"/>
        <v>4.5</v>
      </c>
      <c r="J102" s="67"/>
      <c r="K102" s="44" t="str">
        <f>IF($B102="","",IFERROR(VLOOKUP($B102,Tiendas!$A$4:$B$176,2,FALSE),""))</f>
        <v>ALEXIS</v>
      </c>
      <c r="L102" s="68" t="s">
        <v>296</v>
      </c>
      <c r="M102" s="44" t="str">
        <f>IF($B102="","",IFERROR(VLOOKUP($B102,Tiendas!$A$4:$I$176,9,FALSE),""))</f>
        <v>No</v>
      </c>
      <c r="N102" s="69">
        <f t="shared" si="3"/>
        <v>0</v>
      </c>
      <c r="O102" s="69">
        <f t="shared" si="4"/>
        <v>0</v>
      </c>
    </row>
    <row r="103" ht="15.75" customHeight="1">
      <c r="A103" s="17">
        <v>46023.0</v>
      </c>
      <c r="B103" s="44" t="s">
        <v>236</v>
      </c>
      <c r="C103" s="58" t="s">
        <v>36</v>
      </c>
      <c r="D103" s="59" t="s">
        <v>295</v>
      </c>
      <c r="E103" s="19">
        <f>IF($D103&lt;&gt;"Entregado",0,IF($C103="","",VLOOKUP($C103,'DATA DE TARIFA'!$A$4:$C$68,2,FALSE)/1.18))</f>
        <v>10.16949153</v>
      </c>
      <c r="F103" s="19">
        <f>IF($C103="","",IF($D103="",0,VLOOKUP($C103,'DATA DE TARIFA'!$A$4:$C$68,3,FALSE)))</f>
        <v>4.5</v>
      </c>
      <c r="G103" s="66">
        <v>0.0</v>
      </c>
      <c r="H103" s="19">
        <f t="shared" si="1"/>
        <v>10.16949153</v>
      </c>
      <c r="I103" s="19">
        <f t="shared" si="2"/>
        <v>4.5</v>
      </c>
      <c r="J103" s="67"/>
      <c r="K103" s="44" t="str">
        <f>IF($B103="","",IFERROR(VLOOKUP($B103,Tiendas!$A$4:$B$176,2,FALSE),""))</f>
        <v>ALEXIS</v>
      </c>
      <c r="L103" s="68" t="s">
        <v>296</v>
      </c>
      <c r="M103" s="44" t="str">
        <f>IF($B103="","",IFERROR(VLOOKUP($B103,Tiendas!$A$4:$I$176,9,FALSE),""))</f>
        <v>No</v>
      </c>
      <c r="N103" s="69">
        <f t="shared" si="3"/>
        <v>0</v>
      </c>
      <c r="O103" s="69">
        <f t="shared" si="4"/>
        <v>0</v>
      </c>
    </row>
    <row r="104" ht="15.75" customHeight="1">
      <c r="A104" s="17">
        <v>46023.0</v>
      </c>
      <c r="B104" s="44" t="s">
        <v>236</v>
      </c>
      <c r="C104" s="58" t="s">
        <v>67</v>
      </c>
      <c r="D104" s="59" t="s">
        <v>295</v>
      </c>
      <c r="E104" s="19">
        <f>IF($D104&lt;&gt;"Entregado",0,IF($C104="","",VLOOKUP($C104,'DATA DE TARIFA'!$A$4:$C$68,2,FALSE)/1.18))</f>
        <v>10.16949153</v>
      </c>
      <c r="F104" s="19">
        <f>IF($C104="","",IF($D104="",0,VLOOKUP($C104,'DATA DE TARIFA'!$A$4:$C$68,3,FALSE)))</f>
        <v>5.5</v>
      </c>
      <c r="G104" s="66">
        <v>0.0</v>
      </c>
      <c r="H104" s="19">
        <f t="shared" si="1"/>
        <v>10.16949153</v>
      </c>
      <c r="I104" s="19">
        <f t="shared" si="2"/>
        <v>5.5</v>
      </c>
      <c r="J104" s="67"/>
      <c r="K104" s="44" t="str">
        <f>IF($B104="","",IFERROR(VLOOKUP($B104,Tiendas!$A$4:$B$176,2,FALSE),""))</f>
        <v>ALEXIS</v>
      </c>
      <c r="L104" s="68" t="s">
        <v>296</v>
      </c>
      <c r="M104" s="44" t="str">
        <f>IF($B104="","",IFERROR(VLOOKUP($B104,Tiendas!$A$4:$I$176,9,FALSE),""))</f>
        <v>No</v>
      </c>
      <c r="N104" s="69">
        <f t="shared" si="3"/>
        <v>0</v>
      </c>
      <c r="O104" s="69">
        <f t="shared" si="4"/>
        <v>0</v>
      </c>
    </row>
    <row r="105" ht="15.75" customHeight="1">
      <c r="A105" s="17">
        <v>46023.0</v>
      </c>
      <c r="B105" s="44" t="s">
        <v>236</v>
      </c>
      <c r="C105" s="58" t="s">
        <v>70</v>
      </c>
      <c r="D105" s="59" t="s">
        <v>295</v>
      </c>
      <c r="E105" s="19">
        <f>IF($D105&lt;&gt;"Entregado",0,IF($C105="","",VLOOKUP($C105,'DATA DE TARIFA'!$A$4:$C$68,2,FALSE)/1.18))</f>
        <v>8.474576271</v>
      </c>
      <c r="F105" s="19">
        <f>IF($C105="","",IF($D105="",0,VLOOKUP($C105,'DATA DE TARIFA'!$A$4:$C$68,3,FALSE)))</f>
        <v>4</v>
      </c>
      <c r="G105" s="66">
        <v>4.0</v>
      </c>
      <c r="H105" s="19">
        <f t="shared" si="1"/>
        <v>8.474576271</v>
      </c>
      <c r="I105" s="19">
        <f t="shared" si="2"/>
        <v>8</v>
      </c>
      <c r="J105" s="67"/>
      <c r="K105" s="44" t="str">
        <f>IF($B105="","",IFERROR(VLOOKUP($B105,Tiendas!$A$4:$B$176,2,FALSE),""))</f>
        <v>ALEXIS</v>
      </c>
      <c r="L105" s="68" t="s">
        <v>296</v>
      </c>
      <c r="M105" s="44" t="str">
        <f>IF($B105="","",IFERROR(VLOOKUP($B105,Tiendas!$A$4:$I$176,9,FALSE),""))</f>
        <v>No</v>
      </c>
      <c r="N105" s="69">
        <f t="shared" si="3"/>
        <v>0</v>
      </c>
      <c r="O105" s="69">
        <f t="shared" si="4"/>
        <v>0</v>
      </c>
    </row>
    <row r="106" ht="15.75" customHeight="1">
      <c r="A106" s="17">
        <v>46023.0</v>
      </c>
      <c r="B106" s="44" t="s">
        <v>236</v>
      </c>
      <c r="C106" s="58" t="s">
        <v>46</v>
      </c>
      <c r="D106" s="59" t="s">
        <v>295</v>
      </c>
      <c r="E106" s="19">
        <f>IF($D106&lt;&gt;"Entregado",0,IF($C106="","",VLOOKUP($C106,'DATA DE TARIFA'!$A$4:$C$68,2,FALSE)/1.18))</f>
        <v>10.16949153</v>
      </c>
      <c r="F106" s="19">
        <f>IF($C106="","",IF($D106="",0,VLOOKUP($C106,'DATA DE TARIFA'!$A$4:$C$68,3,FALSE)))</f>
        <v>4.5</v>
      </c>
      <c r="G106" s="66">
        <v>4.0</v>
      </c>
      <c r="H106" s="19">
        <f t="shared" si="1"/>
        <v>10.16949153</v>
      </c>
      <c r="I106" s="19">
        <f t="shared" si="2"/>
        <v>8.5</v>
      </c>
      <c r="J106" s="67"/>
      <c r="K106" s="44" t="str">
        <f>IF($B106="","",IFERROR(VLOOKUP($B106,Tiendas!$A$4:$B$176,2,FALSE),""))</f>
        <v>ALEXIS</v>
      </c>
      <c r="L106" s="68" t="s">
        <v>296</v>
      </c>
      <c r="M106" s="44" t="str">
        <f>IF($B106="","",IFERROR(VLOOKUP($B106,Tiendas!$A$4:$I$176,9,FALSE),""))</f>
        <v>No</v>
      </c>
      <c r="N106" s="69">
        <f t="shared" si="3"/>
        <v>0</v>
      </c>
      <c r="O106" s="69">
        <f t="shared" si="4"/>
        <v>0</v>
      </c>
    </row>
    <row r="107" ht="15.75" customHeight="1">
      <c r="A107" s="17">
        <v>46023.0</v>
      </c>
      <c r="B107" s="44" t="s">
        <v>236</v>
      </c>
      <c r="C107" s="58" t="s">
        <v>15</v>
      </c>
      <c r="D107" s="59" t="s">
        <v>295</v>
      </c>
      <c r="E107" s="19">
        <f>IF($D107&lt;&gt;"Entregado",0,IF($C107="","",VLOOKUP($C107,'DATA DE TARIFA'!$A$4:$C$68,2,FALSE)/1.18))</f>
        <v>8.474576271</v>
      </c>
      <c r="F107" s="19">
        <f>IF($C107="","",IF($D107="",0,VLOOKUP($C107,'DATA DE TARIFA'!$A$4:$C$68,3,FALSE)))</f>
        <v>4.5</v>
      </c>
      <c r="G107" s="66">
        <v>0.0</v>
      </c>
      <c r="H107" s="19">
        <f t="shared" si="1"/>
        <v>8.474576271</v>
      </c>
      <c r="I107" s="19">
        <f t="shared" si="2"/>
        <v>4.5</v>
      </c>
      <c r="J107" s="67"/>
      <c r="K107" s="44" t="str">
        <f>IF($B107="","",IFERROR(VLOOKUP($B107,Tiendas!$A$4:$B$176,2,FALSE),""))</f>
        <v>ALEXIS</v>
      </c>
      <c r="L107" s="68" t="s">
        <v>296</v>
      </c>
      <c r="M107" s="44" t="str">
        <f>IF($B107="","",IFERROR(VLOOKUP($B107,Tiendas!$A$4:$I$176,9,FALSE),""))</f>
        <v>No</v>
      </c>
      <c r="N107" s="69">
        <f t="shared" si="3"/>
        <v>0</v>
      </c>
      <c r="O107" s="69">
        <f t="shared" si="4"/>
        <v>0</v>
      </c>
    </row>
    <row r="108" ht="15.75" customHeight="1">
      <c r="A108" s="17">
        <v>46023.0</v>
      </c>
      <c r="B108" s="44" t="s">
        <v>236</v>
      </c>
      <c r="C108" s="58" t="s">
        <v>26</v>
      </c>
      <c r="D108" s="59" t="s">
        <v>295</v>
      </c>
      <c r="E108" s="19">
        <f>IF($D108&lt;&gt;"Entregado",0,IF($C108="","",VLOOKUP($C108,'DATA DE TARIFA'!$A$4:$C$68,2,FALSE)/1.18))</f>
        <v>10.16949153</v>
      </c>
      <c r="F108" s="19">
        <f>IF($C108="","",IF($D108="",0,VLOOKUP($C108,'DATA DE TARIFA'!$A$4:$C$68,3,FALSE)))</f>
        <v>5</v>
      </c>
      <c r="G108" s="66">
        <v>0.0</v>
      </c>
      <c r="H108" s="19">
        <f t="shared" si="1"/>
        <v>10.16949153</v>
      </c>
      <c r="I108" s="19">
        <f t="shared" si="2"/>
        <v>5</v>
      </c>
      <c r="J108" s="67"/>
      <c r="K108" s="44" t="str">
        <f>IF($B108="","",IFERROR(VLOOKUP($B108,Tiendas!$A$4:$B$176,2,FALSE),""))</f>
        <v>ALEXIS</v>
      </c>
      <c r="L108" s="68" t="s">
        <v>296</v>
      </c>
      <c r="M108" s="44" t="str">
        <f>IF($B108="","",IFERROR(VLOOKUP($B108,Tiendas!$A$4:$I$176,9,FALSE),""))</f>
        <v>No</v>
      </c>
      <c r="N108" s="69">
        <f t="shared" si="3"/>
        <v>0</v>
      </c>
      <c r="O108" s="69">
        <f t="shared" si="4"/>
        <v>0</v>
      </c>
    </row>
    <row r="109" ht="15.75" customHeight="1">
      <c r="A109" s="17">
        <v>46023.0</v>
      </c>
      <c r="B109" s="44" t="s">
        <v>236</v>
      </c>
      <c r="C109" s="58" t="s">
        <v>34</v>
      </c>
      <c r="D109" s="59" t="s">
        <v>295</v>
      </c>
      <c r="E109" s="19">
        <f>IF($D109&lt;&gt;"Entregado",0,IF($C109="","",VLOOKUP($C109,'DATA DE TARIFA'!$A$4:$C$68,2,FALSE)/1.18))</f>
        <v>10.16949153</v>
      </c>
      <c r="F109" s="19">
        <f>IF($C109="","",IF($D109="",0,VLOOKUP($C109,'DATA DE TARIFA'!$A$4:$C$68,3,FALSE)))</f>
        <v>4.5</v>
      </c>
      <c r="G109" s="66">
        <v>5.0</v>
      </c>
      <c r="H109" s="19">
        <f t="shared" si="1"/>
        <v>10.16949153</v>
      </c>
      <c r="I109" s="19">
        <f t="shared" si="2"/>
        <v>9.5</v>
      </c>
      <c r="J109" s="67"/>
      <c r="K109" s="44" t="str">
        <f>IF($B109="","",IFERROR(VLOOKUP($B109,Tiendas!$A$4:$B$176,2,FALSE),""))</f>
        <v>ALEXIS</v>
      </c>
      <c r="L109" s="68" t="s">
        <v>296</v>
      </c>
      <c r="M109" s="44" t="str">
        <f>IF($B109="","",IFERROR(VLOOKUP($B109,Tiendas!$A$4:$I$176,9,FALSE),""))</f>
        <v>No</v>
      </c>
      <c r="N109" s="69">
        <f t="shared" si="3"/>
        <v>0</v>
      </c>
      <c r="O109" s="69">
        <f t="shared" si="4"/>
        <v>0</v>
      </c>
    </row>
    <row r="110" ht="15.75" customHeight="1">
      <c r="A110" s="17">
        <v>46023.0</v>
      </c>
      <c r="B110" s="44" t="s">
        <v>236</v>
      </c>
      <c r="C110" s="58" t="s">
        <v>98</v>
      </c>
      <c r="D110" s="59" t="s">
        <v>295</v>
      </c>
      <c r="E110" s="19">
        <f>IF($D110&lt;&gt;"Entregado",0,IF($C110="","",VLOOKUP($C110,'DATA DE TARIFA'!$A$4:$C$68,2,FALSE)/1.18))</f>
        <v>23.72881356</v>
      </c>
      <c r="F110" s="19">
        <f>IF($C110="","",IF($D110="",0,VLOOKUP($C110,'DATA DE TARIFA'!$A$4:$C$68,3,FALSE)))</f>
        <v>15</v>
      </c>
      <c r="G110" s="66">
        <v>0.0</v>
      </c>
      <c r="H110" s="19">
        <f t="shared" si="1"/>
        <v>23.72881356</v>
      </c>
      <c r="I110" s="19">
        <f t="shared" si="2"/>
        <v>15</v>
      </c>
      <c r="J110" s="67"/>
      <c r="K110" s="44" t="str">
        <f>IF($B110="","",IFERROR(VLOOKUP($B110,Tiendas!$A$4:$B$176,2,FALSE),""))</f>
        <v>ALEXIS</v>
      </c>
      <c r="L110" s="68" t="s">
        <v>296</v>
      </c>
      <c r="M110" s="44" t="str">
        <f>IF($B110="","",IFERROR(VLOOKUP($B110,Tiendas!$A$4:$I$176,9,FALSE),""))</f>
        <v>No</v>
      </c>
      <c r="N110" s="69">
        <f t="shared" si="3"/>
        <v>0</v>
      </c>
      <c r="O110" s="69">
        <f t="shared" si="4"/>
        <v>0</v>
      </c>
    </row>
    <row r="111" ht="15.75" customHeight="1">
      <c r="A111" s="17">
        <v>46023.0</v>
      </c>
      <c r="B111" s="44" t="s">
        <v>236</v>
      </c>
      <c r="C111" s="58" t="s">
        <v>47</v>
      </c>
      <c r="D111" s="59" t="s">
        <v>295</v>
      </c>
      <c r="E111" s="19">
        <f>IF($D111&lt;&gt;"Entregado",0,IF($C111="","",VLOOKUP($C111,'DATA DE TARIFA'!$A$4:$C$68,2,FALSE)/1.18))</f>
        <v>10.16949153</v>
      </c>
      <c r="F111" s="19">
        <f>IF($C111="","",IF($D111="",0,VLOOKUP($C111,'DATA DE TARIFA'!$A$4:$C$68,3,FALSE)))</f>
        <v>5.5</v>
      </c>
      <c r="G111" s="66">
        <v>0.0</v>
      </c>
      <c r="H111" s="19">
        <f t="shared" si="1"/>
        <v>10.16949153</v>
      </c>
      <c r="I111" s="19">
        <f t="shared" si="2"/>
        <v>5.5</v>
      </c>
      <c r="J111" s="67"/>
      <c r="K111" s="44" t="str">
        <f>IF($B111="","",IFERROR(VLOOKUP($B111,Tiendas!$A$4:$B$176,2,FALSE),""))</f>
        <v>ALEXIS</v>
      </c>
      <c r="L111" s="68" t="s">
        <v>296</v>
      </c>
      <c r="M111" s="44" t="str">
        <f>IF($B111="","",IFERROR(VLOOKUP($B111,Tiendas!$A$4:$I$176,9,FALSE),""))</f>
        <v>No</v>
      </c>
      <c r="N111" s="69">
        <f t="shared" si="3"/>
        <v>0</v>
      </c>
      <c r="O111" s="69">
        <f t="shared" si="4"/>
        <v>0</v>
      </c>
    </row>
    <row r="112" ht="15.75" customHeight="1">
      <c r="A112" s="17">
        <v>46023.0</v>
      </c>
      <c r="B112" s="44" t="s">
        <v>236</v>
      </c>
      <c r="C112" s="58" t="s">
        <v>58</v>
      </c>
      <c r="D112" s="59" t="s">
        <v>295</v>
      </c>
      <c r="E112" s="19">
        <f>IF($D112&lt;&gt;"Entregado",0,IF($C112="","",VLOOKUP($C112,'DATA DE TARIFA'!$A$4:$C$68,2,FALSE)/1.18))</f>
        <v>8.474576271</v>
      </c>
      <c r="F112" s="19">
        <f>IF($C112="","",IF($D112="",0,VLOOKUP($C112,'DATA DE TARIFA'!$A$4:$C$68,3,FALSE)))</f>
        <v>4</v>
      </c>
      <c r="G112" s="66">
        <v>1.0</v>
      </c>
      <c r="H112" s="19">
        <f t="shared" si="1"/>
        <v>8.474576271</v>
      </c>
      <c r="I112" s="19">
        <f t="shared" si="2"/>
        <v>5</v>
      </c>
      <c r="J112" s="67"/>
      <c r="K112" s="44" t="str">
        <f>IF($B112="","",IFERROR(VLOOKUP($B112,Tiendas!$A$4:$B$176,2,FALSE),""))</f>
        <v>ALEXIS</v>
      </c>
      <c r="L112" s="68" t="s">
        <v>296</v>
      </c>
      <c r="M112" s="44" t="str">
        <f>IF($B112="","",IFERROR(VLOOKUP($B112,Tiendas!$A$4:$I$176,9,FALSE),""))</f>
        <v>No</v>
      </c>
      <c r="N112" s="69">
        <f t="shared" si="3"/>
        <v>0</v>
      </c>
      <c r="O112" s="69">
        <f t="shared" si="4"/>
        <v>0</v>
      </c>
    </row>
    <row r="113" ht="15.75" customHeight="1">
      <c r="A113" s="17">
        <v>46023.0</v>
      </c>
      <c r="B113" s="44" t="s">
        <v>236</v>
      </c>
      <c r="C113" s="58" t="s">
        <v>30</v>
      </c>
      <c r="D113" s="59" t="s">
        <v>295</v>
      </c>
      <c r="E113" s="19">
        <f>IF($D113&lt;&gt;"Entregado",0,IF($C113="","",VLOOKUP($C113,'DATA DE TARIFA'!$A$4:$C$68,2,FALSE)/1.18))</f>
        <v>8.474576271</v>
      </c>
      <c r="F113" s="19">
        <f>IF($C113="","",IF($D113="",0,VLOOKUP($C113,'DATA DE TARIFA'!$A$4:$C$68,3,FALSE)))</f>
        <v>4.5</v>
      </c>
      <c r="G113" s="66">
        <v>0.0</v>
      </c>
      <c r="H113" s="19">
        <f t="shared" si="1"/>
        <v>8.474576271</v>
      </c>
      <c r="I113" s="19">
        <f t="shared" si="2"/>
        <v>4.5</v>
      </c>
      <c r="J113" s="67"/>
      <c r="K113" s="44" t="str">
        <f>IF($B113="","",IFERROR(VLOOKUP($B113,Tiendas!$A$4:$B$176,2,FALSE),""))</f>
        <v>ALEXIS</v>
      </c>
      <c r="L113" s="68" t="s">
        <v>296</v>
      </c>
      <c r="M113" s="44" t="str">
        <f>IF($B113="","",IFERROR(VLOOKUP($B113,Tiendas!$A$4:$I$176,9,FALSE),""))</f>
        <v>No</v>
      </c>
      <c r="N113" s="69">
        <f t="shared" si="3"/>
        <v>0</v>
      </c>
      <c r="O113" s="69">
        <f t="shared" si="4"/>
        <v>0</v>
      </c>
    </row>
    <row r="114" ht="15.75" customHeight="1">
      <c r="A114" s="17">
        <v>46023.0</v>
      </c>
      <c r="B114" s="44" t="s">
        <v>236</v>
      </c>
      <c r="C114" s="58" t="s">
        <v>67</v>
      </c>
      <c r="D114" s="59" t="s">
        <v>295</v>
      </c>
      <c r="E114" s="19">
        <f>IF($D114&lt;&gt;"Entregado",0,IF($C114="","",VLOOKUP($C114,'DATA DE TARIFA'!$A$4:$C$68,2,FALSE)/1.18))</f>
        <v>10.16949153</v>
      </c>
      <c r="F114" s="19">
        <f>IF($C114="","",IF($D114="",0,VLOOKUP($C114,'DATA DE TARIFA'!$A$4:$C$68,3,FALSE)))</f>
        <v>5.5</v>
      </c>
      <c r="G114" s="66">
        <v>0.0</v>
      </c>
      <c r="H114" s="19">
        <f t="shared" si="1"/>
        <v>10.16949153</v>
      </c>
      <c r="I114" s="19">
        <f t="shared" si="2"/>
        <v>5.5</v>
      </c>
      <c r="J114" s="67"/>
      <c r="K114" s="44" t="str">
        <f>IF($B114="","",IFERROR(VLOOKUP($B114,Tiendas!$A$4:$B$176,2,FALSE),""))</f>
        <v>ALEXIS</v>
      </c>
      <c r="L114" s="68" t="s">
        <v>296</v>
      </c>
      <c r="M114" s="44" t="str">
        <f>IF($B114="","",IFERROR(VLOOKUP($B114,Tiendas!$A$4:$I$176,9,FALSE),""))</f>
        <v>No</v>
      </c>
      <c r="N114" s="69">
        <f t="shared" si="3"/>
        <v>0</v>
      </c>
      <c r="O114" s="69">
        <f t="shared" si="4"/>
        <v>0</v>
      </c>
    </row>
    <row r="115" ht="15.75" customHeight="1">
      <c r="A115" s="17">
        <v>46023.0</v>
      </c>
      <c r="B115" s="44" t="s">
        <v>236</v>
      </c>
      <c r="C115" s="58" t="s">
        <v>46</v>
      </c>
      <c r="D115" s="59" t="s">
        <v>295</v>
      </c>
      <c r="E115" s="19">
        <f>IF($D115&lt;&gt;"Entregado",0,IF($C115="","",VLOOKUP($C115,'DATA DE TARIFA'!$A$4:$C$68,2,FALSE)/1.18))</f>
        <v>10.16949153</v>
      </c>
      <c r="F115" s="19">
        <f>IF($C115="","",IF($D115="",0,VLOOKUP($C115,'DATA DE TARIFA'!$A$4:$C$68,3,FALSE)))</f>
        <v>4.5</v>
      </c>
      <c r="G115" s="66">
        <v>1.0</v>
      </c>
      <c r="H115" s="19">
        <f t="shared" si="1"/>
        <v>10.16949153</v>
      </c>
      <c r="I115" s="19">
        <f t="shared" si="2"/>
        <v>5.5</v>
      </c>
      <c r="J115" s="67"/>
      <c r="K115" s="44" t="str">
        <f>IF($B115="","",IFERROR(VLOOKUP($B115,Tiendas!$A$4:$B$176,2,FALSE),""))</f>
        <v>ALEXIS</v>
      </c>
      <c r="L115" s="68" t="s">
        <v>296</v>
      </c>
      <c r="M115" s="44" t="str">
        <f>IF($B115="","",IFERROR(VLOOKUP($B115,Tiendas!$A$4:$I$176,9,FALSE),""))</f>
        <v>No</v>
      </c>
      <c r="N115" s="69">
        <f t="shared" si="3"/>
        <v>0</v>
      </c>
      <c r="O115" s="69">
        <f t="shared" si="4"/>
        <v>0</v>
      </c>
    </row>
    <row r="116" ht="15.75" customHeight="1">
      <c r="A116" s="17">
        <v>46023.0</v>
      </c>
      <c r="B116" s="44" t="s">
        <v>236</v>
      </c>
      <c r="C116" s="58" t="s">
        <v>65</v>
      </c>
      <c r="D116" s="59" t="s">
        <v>295</v>
      </c>
      <c r="E116" s="19">
        <f>IF($D116&lt;&gt;"Entregado",0,IF($C116="","",VLOOKUP($C116,'DATA DE TARIFA'!$A$4:$C$68,2,FALSE)/1.18))</f>
        <v>10.16949153</v>
      </c>
      <c r="F116" s="19">
        <f>IF($C116="","",IF($D116="",0,VLOOKUP($C116,'DATA DE TARIFA'!$A$4:$C$68,3,FALSE)))</f>
        <v>4.5</v>
      </c>
      <c r="G116" s="66">
        <v>0.0</v>
      </c>
      <c r="H116" s="19">
        <f t="shared" si="1"/>
        <v>10.16949153</v>
      </c>
      <c r="I116" s="19">
        <f t="shared" si="2"/>
        <v>4.5</v>
      </c>
      <c r="J116" s="67"/>
      <c r="K116" s="44" t="str">
        <f>IF($B116="","",IFERROR(VLOOKUP($B116,Tiendas!$A$4:$B$176,2,FALSE),""))</f>
        <v>ALEXIS</v>
      </c>
      <c r="L116" s="68" t="s">
        <v>296</v>
      </c>
      <c r="M116" s="44" t="str">
        <f>IF($B116="","",IFERROR(VLOOKUP($B116,Tiendas!$A$4:$I$176,9,FALSE),""))</f>
        <v>No</v>
      </c>
      <c r="N116" s="69">
        <f t="shared" si="3"/>
        <v>0</v>
      </c>
      <c r="O116" s="69">
        <f t="shared" si="4"/>
        <v>0</v>
      </c>
    </row>
    <row r="117" ht="15.75" customHeight="1">
      <c r="A117" s="17">
        <v>46023.0</v>
      </c>
      <c r="B117" s="44" t="s">
        <v>236</v>
      </c>
      <c r="C117" s="58" t="s">
        <v>64</v>
      </c>
      <c r="D117" s="59" t="s">
        <v>295</v>
      </c>
      <c r="E117" s="19">
        <f>IF($D117&lt;&gt;"Entregado",0,IF($C117="","",VLOOKUP($C117,'DATA DE TARIFA'!$A$4:$C$68,2,FALSE)/1.18))</f>
        <v>8.474576271</v>
      </c>
      <c r="F117" s="19">
        <f>IF($C117="","",IF($D117="",0,VLOOKUP($C117,'DATA DE TARIFA'!$A$4:$C$68,3,FALSE)))</f>
        <v>4.5</v>
      </c>
      <c r="G117" s="66">
        <v>1.0</v>
      </c>
      <c r="H117" s="19">
        <f t="shared" si="1"/>
        <v>8.474576271</v>
      </c>
      <c r="I117" s="19">
        <f t="shared" si="2"/>
        <v>5.5</v>
      </c>
      <c r="J117" s="67"/>
      <c r="K117" s="44" t="str">
        <f>IF($B117="","",IFERROR(VLOOKUP($B117,Tiendas!$A$4:$B$176,2,FALSE),""))</f>
        <v>ALEXIS</v>
      </c>
      <c r="L117" s="68" t="s">
        <v>296</v>
      </c>
      <c r="M117" s="44" t="str">
        <f>IF($B117="","",IFERROR(VLOOKUP($B117,Tiendas!$A$4:$I$176,9,FALSE),""))</f>
        <v>No</v>
      </c>
      <c r="N117" s="69">
        <f t="shared" si="3"/>
        <v>0</v>
      </c>
      <c r="O117" s="69">
        <f t="shared" si="4"/>
        <v>0</v>
      </c>
    </row>
    <row r="118" ht="15.75" customHeight="1">
      <c r="A118" s="17">
        <v>46023.0</v>
      </c>
      <c r="B118" s="44" t="s">
        <v>236</v>
      </c>
      <c r="C118" s="58" t="s">
        <v>32</v>
      </c>
      <c r="D118" s="59" t="s">
        <v>295</v>
      </c>
      <c r="E118" s="19">
        <f>IF($D118&lt;&gt;"Entregado",0,IF($C118="","",VLOOKUP($C118,'DATA DE TARIFA'!$A$4:$C$68,2,FALSE)/1.18))</f>
        <v>8.474576271</v>
      </c>
      <c r="F118" s="19">
        <f>IF($C118="","",IF($D118="",0,VLOOKUP($C118,'DATA DE TARIFA'!$A$4:$C$68,3,FALSE)))</f>
        <v>4.5</v>
      </c>
      <c r="G118" s="66">
        <v>0.0</v>
      </c>
      <c r="H118" s="19">
        <f t="shared" si="1"/>
        <v>8.474576271</v>
      </c>
      <c r="I118" s="19">
        <f t="shared" si="2"/>
        <v>4.5</v>
      </c>
      <c r="J118" s="67"/>
      <c r="K118" s="44" t="str">
        <f>IF($B118="","",IFERROR(VLOOKUP($B118,Tiendas!$A$4:$B$176,2,FALSE),""))</f>
        <v>ALEXIS</v>
      </c>
      <c r="L118" s="68" t="s">
        <v>296</v>
      </c>
      <c r="M118" s="44" t="str">
        <f>IF($B118="","",IFERROR(VLOOKUP($B118,Tiendas!$A$4:$I$176,9,FALSE),""))</f>
        <v>No</v>
      </c>
      <c r="N118" s="69">
        <f t="shared" si="3"/>
        <v>0</v>
      </c>
      <c r="O118" s="69">
        <f t="shared" si="4"/>
        <v>0</v>
      </c>
    </row>
    <row r="119" ht="15.75" customHeight="1">
      <c r="A119" s="17">
        <v>46023.0</v>
      </c>
      <c r="B119" s="44" t="s">
        <v>236</v>
      </c>
      <c r="C119" s="58" t="s">
        <v>65</v>
      </c>
      <c r="D119" s="59" t="s">
        <v>295</v>
      </c>
      <c r="E119" s="19">
        <f>IF($D119&lt;&gt;"Entregado",0,IF($C119="","",VLOOKUP($C119,'DATA DE TARIFA'!$A$4:$C$68,2,FALSE)/1.18))</f>
        <v>10.16949153</v>
      </c>
      <c r="F119" s="19">
        <f>IF($C119="","",IF($D119="",0,VLOOKUP($C119,'DATA DE TARIFA'!$A$4:$C$68,3,FALSE)))</f>
        <v>4.5</v>
      </c>
      <c r="G119" s="66">
        <v>0.0</v>
      </c>
      <c r="H119" s="19">
        <f t="shared" si="1"/>
        <v>10.16949153</v>
      </c>
      <c r="I119" s="19">
        <f t="shared" si="2"/>
        <v>4.5</v>
      </c>
      <c r="J119" s="67"/>
      <c r="K119" s="44" t="str">
        <f>IF($B119="","",IFERROR(VLOOKUP($B119,Tiendas!$A$4:$B$176,2,FALSE),""))</f>
        <v>ALEXIS</v>
      </c>
      <c r="L119" s="68" t="s">
        <v>296</v>
      </c>
      <c r="M119" s="44" t="str">
        <f>IF($B119="","",IFERROR(VLOOKUP($B119,Tiendas!$A$4:$I$176,9,FALSE),""))</f>
        <v>No</v>
      </c>
      <c r="N119" s="69">
        <f t="shared" si="3"/>
        <v>0</v>
      </c>
      <c r="O119" s="69">
        <f t="shared" si="4"/>
        <v>0</v>
      </c>
    </row>
    <row r="120" ht="15.75" customHeight="1">
      <c r="A120" s="17">
        <v>46023.0</v>
      </c>
      <c r="B120" s="44" t="s">
        <v>236</v>
      </c>
      <c r="C120" s="58" t="s">
        <v>51</v>
      </c>
      <c r="D120" s="59" t="s">
        <v>295</v>
      </c>
      <c r="E120" s="19">
        <f>IF($D120&lt;&gt;"Entregado",0,IF($C120="","",VLOOKUP($C120,'DATA DE TARIFA'!$A$4:$C$68,2,FALSE)/1.18))</f>
        <v>10.16949153</v>
      </c>
      <c r="F120" s="19">
        <f>IF($C120="","",IF($D120="",0,VLOOKUP($C120,'DATA DE TARIFA'!$A$4:$C$68,3,FALSE)))</f>
        <v>5.5</v>
      </c>
      <c r="G120" s="66">
        <v>5.0</v>
      </c>
      <c r="H120" s="19">
        <f t="shared" si="1"/>
        <v>10.16949153</v>
      </c>
      <c r="I120" s="19">
        <f t="shared" si="2"/>
        <v>10.5</v>
      </c>
      <c r="J120" s="67"/>
      <c r="K120" s="44" t="str">
        <f>IF($B120="","",IFERROR(VLOOKUP($B120,Tiendas!$A$4:$B$176,2,FALSE),""))</f>
        <v>ALEXIS</v>
      </c>
      <c r="L120" s="68" t="s">
        <v>296</v>
      </c>
      <c r="M120" s="44" t="str">
        <f>IF($B120="","",IFERROR(VLOOKUP($B120,Tiendas!$A$4:$I$176,9,FALSE),""))</f>
        <v>No</v>
      </c>
      <c r="N120" s="69">
        <f t="shared" si="3"/>
        <v>0</v>
      </c>
      <c r="O120" s="69">
        <f t="shared" si="4"/>
        <v>0</v>
      </c>
    </row>
    <row r="121" ht="15.75" customHeight="1">
      <c r="A121" s="17">
        <v>46023.0</v>
      </c>
      <c r="B121" s="44" t="s">
        <v>236</v>
      </c>
      <c r="C121" s="58" t="s">
        <v>36</v>
      </c>
      <c r="D121" s="59" t="s">
        <v>295</v>
      </c>
      <c r="E121" s="19">
        <f>IF($D121&lt;&gt;"Entregado",0,IF($C121="","",VLOOKUP($C121,'DATA DE TARIFA'!$A$4:$C$68,2,FALSE)/1.18))</f>
        <v>10.16949153</v>
      </c>
      <c r="F121" s="19">
        <f>IF($C121="","",IF($D121="",0,VLOOKUP($C121,'DATA DE TARIFA'!$A$4:$C$68,3,FALSE)))</f>
        <v>4.5</v>
      </c>
      <c r="G121" s="66">
        <v>0.0</v>
      </c>
      <c r="H121" s="19">
        <f t="shared" si="1"/>
        <v>10.16949153</v>
      </c>
      <c r="I121" s="19">
        <f t="shared" si="2"/>
        <v>4.5</v>
      </c>
      <c r="J121" s="67"/>
      <c r="K121" s="44" t="str">
        <f>IF($B121="","",IFERROR(VLOOKUP($B121,Tiendas!$A$4:$B$176,2,FALSE),""))</f>
        <v>ALEXIS</v>
      </c>
      <c r="L121" s="68" t="s">
        <v>296</v>
      </c>
      <c r="M121" s="44" t="str">
        <f>IF($B121="","",IFERROR(VLOOKUP($B121,Tiendas!$A$4:$I$176,9,FALSE),""))</f>
        <v>No</v>
      </c>
      <c r="N121" s="69">
        <f t="shared" si="3"/>
        <v>0</v>
      </c>
      <c r="O121" s="69">
        <f t="shared" si="4"/>
        <v>0</v>
      </c>
    </row>
    <row r="122" ht="15.75" customHeight="1">
      <c r="A122" s="17">
        <v>46023.0</v>
      </c>
      <c r="B122" s="44" t="s">
        <v>236</v>
      </c>
      <c r="C122" s="58" t="s">
        <v>67</v>
      </c>
      <c r="D122" s="59" t="s">
        <v>295</v>
      </c>
      <c r="E122" s="19">
        <f>IF($D122&lt;&gt;"Entregado",0,IF($C122="","",VLOOKUP($C122,'DATA DE TARIFA'!$A$4:$C$68,2,FALSE)/1.18))</f>
        <v>10.16949153</v>
      </c>
      <c r="F122" s="19">
        <f>IF($C122="","",IF($D122="",0,VLOOKUP($C122,'DATA DE TARIFA'!$A$4:$C$68,3,FALSE)))</f>
        <v>5.5</v>
      </c>
      <c r="G122" s="66">
        <v>0.0</v>
      </c>
      <c r="H122" s="19">
        <f t="shared" si="1"/>
        <v>10.16949153</v>
      </c>
      <c r="I122" s="19">
        <f t="shared" si="2"/>
        <v>5.5</v>
      </c>
      <c r="J122" s="67"/>
      <c r="K122" s="44" t="str">
        <f>IF($B122="","",IFERROR(VLOOKUP($B122,Tiendas!$A$4:$B$176,2,FALSE),""))</f>
        <v>ALEXIS</v>
      </c>
      <c r="L122" s="68" t="s">
        <v>296</v>
      </c>
      <c r="M122" s="44" t="str">
        <f>IF($B122="","",IFERROR(VLOOKUP($B122,Tiendas!$A$4:$I$176,9,FALSE),""))</f>
        <v>No</v>
      </c>
      <c r="N122" s="69">
        <f t="shared" si="3"/>
        <v>0</v>
      </c>
      <c r="O122" s="69">
        <f t="shared" si="4"/>
        <v>0</v>
      </c>
    </row>
    <row r="123" ht="15.75" customHeight="1">
      <c r="A123" s="17">
        <v>46023.0</v>
      </c>
      <c r="B123" s="44" t="s">
        <v>236</v>
      </c>
      <c r="C123" s="58" t="s">
        <v>49</v>
      </c>
      <c r="D123" s="59" t="s">
        <v>295</v>
      </c>
      <c r="E123" s="19">
        <f>IF($D123&lt;&gt;"Entregado",0,IF($C123="","",VLOOKUP($C123,'DATA DE TARIFA'!$A$4:$C$68,2,FALSE)/1.18))</f>
        <v>10.16949153</v>
      </c>
      <c r="F123" s="19">
        <f>IF($C123="","",IF($D123="",0,VLOOKUP($C123,'DATA DE TARIFA'!$A$4:$C$68,3,FALSE)))</f>
        <v>5.5</v>
      </c>
      <c r="G123" s="66">
        <v>11.0</v>
      </c>
      <c r="H123" s="19">
        <f t="shared" si="1"/>
        <v>10.16949153</v>
      </c>
      <c r="I123" s="19">
        <f t="shared" si="2"/>
        <v>16.5</v>
      </c>
      <c r="J123" s="67"/>
      <c r="K123" s="44" t="str">
        <f>IF($B123="","",IFERROR(VLOOKUP($B123,Tiendas!$A$4:$B$176,2,FALSE),""))</f>
        <v>ALEXIS</v>
      </c>
      <c r="L123" s="68" t="s">
        <v>296</v>
      </c>
      <c r="M123" s="44" t="str">
        <f>IF($B123="","",IFERROR(VLOOKUP($B123,Tiendas!$A$4:$I$176,9,FALSE),""))</f>
        <v>No</v>
      </c>
      <c r="N123" s="69">
        <f t="shared" si="3"/>
        <v>0</v>
      </c>
      <c r="O123" s="69">
        <f t="shared" si="4"/>
        <v>0</v>
      </c>
    </row>
    <row r="124" ht="15.75" customHeight="1">
      <c r="A124" s="17">
        <v>46023.0</v>
      </c>
      <c r="B124" s="44" t="s">
        <v>236</v>
      </c>
      <c r="C124" s="58" t="s">
        <v>53</v>
      </c>
      <c r="D124" s="59" t="s">
        <v>295</v>
      </c>
      <c r="E124" s="19">
        <f>IF($D124&lt;&gt;"Entregado",0,IF($C124="","",VLOOKUP($C124,'DATA DE TARIFA'!$A$4:$C$68,2,FALSE)/1.18))</f>
        <v>8.474576271</v>
      </c>
      <c r="F124" s="19">
        <f>IF($C124="","",IF($D124="",0,VLOOKUP($C124,'DATA DE TARIFA'!$A$4:$C$68,3,FALSE)))</f>
        <v>4</v>
      </c>
      <c r="G124" s="66">
        <v>0.0</v>
      </c>
      <c r="H124" s="19">
        <f t="shared" si="1"/>
        <v>8.474576271</v>
      </c>
      <c r="I124" s="19">
        <f t="shared" si="2"/>
        <v>4</v>
      </c>
      <c r="J124" s="67"/>
      <c r="K124" s="44" t="str">
        <f>IF($B124="","",IFERROR(VLOOKUP($B124,Tiendas!$A$4:$B$176,2,FALSE),""))</f>
        <v>ALEXIS</v>
      </c>
      <c r="L124" s="68" t="s">
        <v>296</v>
      </c>
      <c r="M124" s="44" t="str">
        <f>IF($B124="","",IFERROR(VLOOKUP($B124,Tiendas!$A$4:$I$176,9,FALSE),""))</f>
        <v>No</v>
      </c>
      <c r="N124" s="69">
        <f t="shared" si="3"/>
        <v>0</v>
      </c>
      <c r="O124" s="69">
        <f t="shared" si="4"/>
        <v>0</v>
      </c>
    </row>
    <row r="125" ht="15.75" customHeight="1">
      <c r="A125" s="17">
        <v>46023.0</v>
      </c>
      <c r="B125" s="44" t="s">
        <v>236</v>
      </c>
      <c r="C125" s="58" t="s">
        <v>90</v>
      </c>
      <c r="D125" s="59" t="s">
        <v>295</v>
      </c>
      <c r="E125" s="19">
        <f>IF($D125&lt;&gt;"Entregado",0,IF($C125="","",VLOOKUP($C125,'DATA DE TARIFA'!$A$4:$C$68,2,FALSE)/1.18))</f>
        <v>17.79661017</v>
      </c>
      <c r="F125" s="19">
        <f>IF($C125="","",IF($D125="",0,VLOOKUP($C125,'DATA DE TARIFA'!$A$4:$C$68,3,FALSE)))</f>
        <v>10</v>
      </c>
      <c r="G125" s="66">
        <v>3.0</v>
      </c>
      <c r="H125" s="19">
        <f t="shared" si="1"/>
        <v>17.79661017</v>
      </c>
      <c r="I125" s="19">
        <f t="shared" si="2"/>
        <v>13</v>
      </c>
      <c r="J125" s="67"/>
      <c r="K125" s="44" t="str">
        <f>IF($B125="","",IFERROR(VLOOKUP($B125,Tiendas!$A$4:$B$176,2,FALSE),""))</f>
        <v>ALEXIS</v>
      </c>
      <c r="L125" s="68" t="s">
        <v>296</v>
      </c>
      <c r="M125" s="44" t="str">
        <f>IF($B125="","",IFERROR(VLOOKUP($B125,Tiendas!$A$4:$I$176,9,FALSE),""))</f>
        <v>No</v>
      </c>
      <c r="N125" s="69">
        <f t="shared" si="3"/>
        <v>0</v>
      </c>
      <c r="O125" s="69">
        <f t="shared" si="4"/>
        <v>0</v>
      </c>
    </row>
    <row r="126" ht="15.75" customHeight="1">
      <c r="A126" s="17">
        <v>46023.0</v>
      </c>
      <c r="B126" s="44" t="s">
        <v>236</v>
      </c>
      <c r="C126" s="58" t="s">
        <v>34</v>
      </c>
      <c r="D126" s="59" t="s">
        <v>295</v>
      </c>
      <c r="E126" s="19">
        <f>IF($D126&lt;&gt;"Entregado",0,IF($C126="","",VLOOKUP($C126,'DATA DE TARIFA'!$A$4:$C$68,2,FALSE)/1.18))</f>
        <v>10.16949153</v>
      </c>
      <c r="F126" s="19">
        <f>IF($C126="","",IF($D126="",0,VLOOKUP($C126,'DATA DE TARIFA'!$A$4:$C$68,3,FALSE)))</f>
        <v>4.5</v>
      </c>
      <c r="G126" s="66">
        <v>1.0</v>
      </c>
      <c r="H126" s="19">
        <f t="shared" si="1"/>
        <v>10.16949153</v>
      </c>
      <c r="I126" s="19">
        <f t="shared" si="2"/>
        <v>5.5</v>
      </c>
      <c r="J126" s="67"/>
      <c r="K126" s="44" t="str">
        <f>IF($B126="","",IFERROR(VLOOKUP($B126,Tiendas!$A$4:$B$176,2,FALSE),""))</f>
        <v>ALEXIS</v>
      </c>
      <c r="L126" s="68" t="s">
        <v>296</v>
      </c>
      <c r="M126" s="44" t="str">
        <f>IF($B126="","",IFERROR(VLOOKUP($B126,Tiendas!$A$4:$I$176,9,FALSE),""))</f>
        <v>No</v>
      </c>
      <c r="N126" s="69">
        <f t="shared" si="3"/>
        <v>0</v>
      </c>
      <c r="O126" s="69">
        <f t="shared" si="4"/>
        <v>0</v>
      </c>
    </row>
    <row r="127" ht="15.75" customHeight="1">
      <c r="A127" s="17">
        <v>46023.0</v>
      </c>
      <c r="B127" s="44" t="s">
        <v>236</v>
      </c>
      <c r="C127" s="58" t="s">
        <v>21</v>
      </c>
      <c r="D127" s="59" t="s">
        <v>295</v>
      </c>
      <c r="E127" s="19">
        <f>IF($D127&lt;&gt;"Entregado",0,IF($C127="","",VLOOKUP($C127,'DATA DE TARIFA'!$A$4:$C$68,2,FALSE)/1.18))</f>
        <v>10.16949153</v>
      </c>
      <c r="F127" s="19">
        <f>IF($C127="","",IF($D127="",0,VLOOKUP($C127,'DATA DE TARIFA'!$A$4:$C$68,3,FALSE)))</f>
        <v>4.5</v>
      </c>
      <c r="G127" s="66">
        <v>1.0</v>
      </c>
      <c r="H127" s="19">
        <f t="shared" si="1"/>
        <v>10.16949153</v>
      </c>
      <c r="I127" s="19">
        <f t="shared" si="2"/>
        <v>5.5</v>
      </c>
      <c r="J127" s="67"/>
      <c r="K127" s="44" t="str">
        <f>IF($B127="","",IFERROR(VLOOKUP($B127,Tiendas!$A$4:$B$176,2,FALSE),""))</f>
        <v>ALEXIS</v>
      </c>
      <c r="L127" s="68" t="s">
        <v>296</v>
      </c>
      <c r="M127" s="44" t="str">
        <f>IF($B127="","",IFERROR(VLOOKUP($B127,Tiendas!$A$4:$I$176,9,FALSE),""))</f>
        <v>No</v>
      </c>
      <c r="N127" s="69">
        <f t="shared" si="3"/>
        <v>0</v>
      </c>
      <c r="O127" s="69">
        <f t="shared" si="4"/>
        <v>0</v>
      </c>
    </row>
    <row r="128" ht="15.75" customHeight="1">
      <c r="A128" s="17">
        <v>46023.0</v>
      </c>
      <c r="B128" s="44" t="s">
        <v>236</v>
      </c>
      <c r="C128" s="58" t="s">
        <v>75</v>
      </c>
      <c r="D128" s="59" t="s">
        <v>295</v>
      </c>
      <c r="E128" s="19">
        <f>IF($D128&lt;&gt;"Entregado",0,IF($C128="","",VLOOKUP($C128,'DATA DE TARIFA'!$A$4:$C$68,2,FALSE)/1.18))</f>
        <v>10.16949153</v>
      </c>
      <c r="F128" s="19">
        <f>IF($C128="","",IF($D128="",0,VLOOKUP($C128,'DATA DE TARIFA'!$A$4:$C$68,3,FALSE)))</f>
        <v>4.5</v>
      </c>
      <c r="G128" s="66">
        <v>0.0</v>
      </c>
      <c r="H128" s="19">
        <f t="shared" si="1"/>
        <v>10.16949153</v>
      </c>
      <c r="I128" s="19">
        <f t="shared" si="2"/>
        <v>4.5</v>
      </c>
      <c r="J128" s="67"/>
      <c r="K128" s="44" t="str">
        <f>IF($B128="","",IFERROR(VLOOKUP($B128,Tiendas!$A$4:$B$176,2,FALSE),""))</f>
        <v>ALEXIS</v>
      </c>
      <c r="L128" s="68" t="s">
        <v>296</v>
      </c>
      <c r="M128" s="44" t="str">
        <f>IF($B128="","",IFERROR(VLOOKUP($B128,Tiendas!$A$4:$I$176,9,FALSE),""))</f>
        <v>No</v>
      </c>
      <c r="N128" s="69">
        <f t="shared" si="3"/>
        <v>0</v>
      </c>
      <c r="O128" s="69">
        <f t="shared" si="4"/>
        <v>0</v>
      </c>
    </row>
    <row r="129" ht="15.75" customHeight="1">
      <c r="A129" s="17">
        <v>46023.0</v>
      </c>
      <c r="B129" s="44" t="s">
        <v>221</v>
      </c>
      <c r="C129" s="58" t="s">
        <v>42</v>
      </c>
      <c r="D129" s="59" t="s">
        <v>295</v>
      </c>
      <c r="E129" s="19">
        <f>IF($D129&lt;&gt;"Entregado",0,IF($C129="","",VLOOKUP($C129,'DATA DE TARIFA'!$A$4:$C$68,2,FALSE)/1.18))</f>
        <v>8.474576271</v>
      </c>
      <c r="F129" s="19">
        <f>IF($C129="","",IF($D129="",0,VLOOKUP($C129,'DATA DE TARIFA'!$A$4:$C$68,3,FALSE)))</f>
        <v>4</v>
      </c>
      <c r="G129" s="66">
        <v>0.0</v>
      </c>
      <c r="H129" s="19">
        <f t="shared" si="1"/>
        <v>8.474576271</v>
      </c>
      <c r="I129" s="19">
        <f t="shared" si="2"/>
        <v>4</v>
      </c>
      <c r="J129" s="67"/>
      <c r="K129" s="44" t="str">
        <f>IF($B129="","",IFERROR(VLOOKUP($B129,Tiendas!$A$4:$B$176,2,FALSE),""))</f>
        <v>ALEXIS</v>
      </c>
      <c r="L129" s="68" t="s">
        <v>296</v>
      </c>
      <c r="M129" s="44" t="str">
        <f>IF($B129="","",IFERROR(VLOOKUP($B129,Tiendas!$A$4:$I$176,9,FALSE),""))</f>
        <v>No</v>
      </c>
      <c r="N129" s="69">
        <f t="shared" si="3"/>
        <v>0</v>
      </c>
      <c r="O129" s="69">
        <f t="shared" si="4"/>
        <v>0</v>
      </c>
    </row>
    <row r="130" ht="15.75" customHeight="1">
      <c r="A130" s="17">
        <v>46023.0</v>
      </c>
      <c r="B130" s="44" t="s">
        <v>221</v>
      </c>
      <c r="C130" s="58" t="s">
        <v>65</v>
      </c>
      <c r="D130" s="59" t="s">
        <v>295</v>
      </c>
      <c r="E130" s="19">
        <f>IF($D130&lt;&gt;"Entregado",0,IF($C130="","",VLOOKUP($C130,'DATA DE TARIFA'!$A$4:$C$68,2,FALSE)/1.18))</f>
        <v>10.16949153</v>
      </c>
      <c r="F130" s="19">
        <f>IF($C130="","",IF($D130="",0,VLOOKUP($C130,'DATA DE TARIFA'!$A$4:$C$68,3,FALSE)))</f>
        <v>4.5</v>
      </c>
      <c r="G130" s="66">
        <v>0.0</v>
      </c>
      <c r="H130" s="19">
        <f t="shared" si="1"/>
        <v>10.16949153</v>
      </c>
      <c r="I130" s="19">
        <f t="shared" si="2"/>
        <v>4.5</v>
      </c>
      <c r="J130" s="67"/>
      <c r="K130" s="44" t="str">
        <f>IF($B130="","",IFERROR(VLOOKUP($B130,Tiendas!$A$4:$B$176,2,FALSE),""))</f>
        <v>ALEXIS</v>
      </c>
      <c r="L130" s="68" t="s">
        <v>296</v>
      </c>
      <c r="M130" s="44" t="str">
        <f>IF($B130="","",IFERROR(VLOOKUP($B130,Tiendas!$A$4:$I$176,9,FALSE),""))</f>
        <v>No</v>
      </c>
      <c r="N130" s="69">
        <f t="shared" si="3"/>
        <v>0</v>
      </c>
      <c r="O130" s="69">
        <f t="shared" si="4"/>
        <v>0</v>
      </c>
    </row>
    <row r="131" ht="15.75" customHeight="1">
      <c r="A131" s="17">
        <v>46023.0</v>
      </c>
      <c r="B131" s="44" t="s">
        <v>221</v>
      </c>
      <c r="C131" s="58" t="s">
        <v>62</v>
      </c>
      <c r="D131" s="59" t="s">
        <v>295</v>
      </c>
      <c r="E131" s="19">
        <f>IF($D131&lt;&gt;"Entregado",0,IF($C131="","",VLOOKUP($C131,'DATA DE TARIFA'!$A$4:$C$68,2,FALSE)/1.18))</f>
        <v>8.474576271</v>
      </c>
      <c r="F131" s="19">
        <f>IF($C131="","",IF($D131="",0,VLOOKUP($C131,'DATA DE TARIFA'!$A$4:$C$68,3,FALSE)))</f>
        <v>4.5</v>
      </c>
      <c r="G131" s="66">
        <v>0.0</v>
      </c>
      <c r="H131" s="19">
        <f t="shared" si="1"/>
        <v>8.474576271</v>
      </c>
      <c r="I131" s="19">
        <f t="shared" si="2"/>
        <v>4.5</v>
      </c>
      <c r="J131" s="67"/>
      <c r="K131" s="44" t="str">
        <f>IF($B131="","",IFERROR(VLOOKUP($B131,Tiendas!$A$4:$B$176,2,FALSE),""))</f>
        <v>ALEXIS</v>
      </c>
      <c r="L131" s="68" t="s">
        <v>296</v>
      </c>
      <c r="M131" s="44" t="str">
        <f>IF($B131="","",IFERROR(VLOOKUP($B131,Tiendas!$A$4:$I$176,9,FALSE),""))</f>
        <v>No</v>
      </c>
      <c r="N131" s="69">
        <f t="shared" si="3"/>
        <v>0</v>
      </c>
      <c r="O131" s="69">
        <f t="shared" si="4"/>
        <v>0</v>
      </c>
    </row>
    <row r="132" ht="15.75" customHeight="1">
      <c r="A132" s="17">
        <v>46023.0</v>
      </c>
      <c r="B132" s="58" t="s">
        <v>223</v>
      </c>
      <c r="C132" s="58" t="s">
        <v>21</v>
      </c>
      <c r="D132" s="59" t="s">
        <v>297</v>
      </c>
      <c r="E132" s="19">
        <f>IF($D132&lt;&gt;"Entregado",0,IF($C132="","",VLOOKUP($C132,'DATA DE TARIFA'!$A$4:$C$68,2,FALSE)/1.18))</f>
        <v>0</v>
      </c>
      <c r="F132" s="19">
        <f>IF($C132="","",IF($D132="",0,VLOOKUP($C132,'DATA DE TARIFA'!$A$4:$C$68,3,FALSE)))</f>
        <v>4.5</v>
      </c>
      <c r="G132" s="66">
        <v>0.0</v>
      </c>
      <c r="H132" s="19">
        <f t="shared" si="1"/>
        <v>0</v>
      </c>
      <c r="I132" s="19">
        <f t="shared" si="2"/>
        <v>4.5</v>
      </c>
      <c r="J132" s="67"/>
      <c r="K132" s="44" t="str">
        <f>IF($B132="","",IFERROR(VLOOKUP($B132,Tiendas!$A$4:$B$176,2,FALSE),""))</f>
        <v>ALEXIS</v>
      </c>
      <c r="L132" s="68" t="s">
        <v>296</v>
      </c>
      <c r="M132" s="44" t="str">
        <f>IF($B132="","",IFERROR(VLOOKUP($B132,Tiendas!$A$4:$I$176,9,FALSE),""))</f>
        <v>No</v>
      </c>
      <c r="N132" s="69">
        <f t="shared" si="3"/>
        <v>0</v>
      </c>
      <c r="O132" s="69">
        <f t="shared" si="4"/>
        <v>0</v>
      </c>
    </row>
    <row r="133" ht="15.75" customHeight="1">
      <c r="A133" s="17">
        <v>46023.0</v>
      </c>
      <c r="B133" s="58" t="s">
        <v>223</v>
      </c>
      <c r="C133" s="58" t="s">
        <v>36</v>
      </c>
      <c r="D133" s="59" t="s">
        <v>295</v>
      </c>
      <c r="E133" s="19">
        <f>IF($D133&lt;&gt;"Entregado",0,IF($C133="","",VLOOKUP($C133,'DATA DE TARIFA'!$A$4:$C$68,2,FALSE)/1.18))</f>
        <v>10.16949153</v>
      </c>
      <c r="F133" s="19">
        <f>IF($C133="","",IF($D133="",0,VLOOKUP($C133,'DATA DE TARIFA'!$A$4:$C$68,3,FALSE)))</f>
        <v>4.5</v>
      </c>
      <c r="G133" s="66">
        <v>0.0</v>
      </c>
      <c r="H133" s="19">
        <f t="shared" si="1"/>
        <v>10.16949153</v>
      </c>
      <c r="I133" s="19">
        <f t="shared" si="2"/>
        <v>4.5</v>
      </c>
      <c r="J133" s="67"/>
      <c r="K133" s="44" t="str">
        <f>IF($B133="","",IFERROR(VLOOKUP($B133,Tiendas!$A$4:$B$176,2,FALSE),""))</f>
        <v>ALEXIS</v>
      </c>
      <c r="L133" s="68" t="s">
        <v>296</v>
      </c>
      <c r="M133" s="44" t="str">
        <f>IF($B133="","",IFERROR(VLOOKUP($B133,Tiendas!$A$4:$I$176,9,FALSE),""))</f>
        <v>No</v>
      </c>
      <c r="N133" s="70">
        <f t="shared" si="3"/>
        <v>0</v>
      </c>
      <c r="O133" s="70">
        <f t="shared" si="4"/>
        <v>0</v>
      </c>
    </row>
    <row r="134" ht="15.75" customHeight="1">
      <c r="A134" s="17">
        <v>46023.0</v>
      </c>
      <c r="B134" s="58" t="s">
        <v>223</v>
      </c>
      <c r="C134" s="44" t="s">
        <v>32</v>
      </c>
      <c r="D134" s="59" t="s">
        <v>295</v>
      </c>
      <c r="E134" s="19">
        <f>IF($D134&lt;&gt;"Entregado",0,IF($C134="","",VLOOKUP($C134,'DATA DE TARIFA'!$A$4:$C$68,2,FALSE)/1.18))</f>
        <v>8.474576271</v>
      </c>
      <c r="F134" s="19">
        <f>IF($C134="","",IF($D134="",0,VLOOKUP($C134,'DATA DE TARIFA'!$A$4:$C$68,3,FALSE)))</f>
        <v>4.5</v>
      </c>
      <c r="G134" s="66">
        <v>0.0</v>
      </c>
      <c r="H134" s="19">
        <f t="shared" si="1"/>
        <v>8.474576271</v>
      </c>
      <c r="I134" s="19">
        <f t="shared" si="2"/>
        <v>4.5</v>
      </c>
      <c r="J134" s="67"/>
      <c r="K134" s="44" t="str">
        <f>IF($B134="","",IFERROR(VLOOKUP($B134,Tiendas!$A$4:$B$176,2,FALSE),""))</f>
        <v>ALEXIS</v>
      </c>
      <c r="L134" s="68" t="s">
        <v>296</v>
      </c>
      <c r="M134" s="44" t="str">
        <f>IF($B134="","",IFERROR(VLOOKUP($B134,Tiendas!$A$4:$I$176,9,FALSE),""))</f>
        <v>No</v>
      </c>
      <c r="N134" s="71">
        <f t="shared" si="3"/>
        <v>0</v>
      </c>
      <c r="O134" s="71">
        <f t="shared" si="4"/>
        <v>0</v>
      </c>
    </row>
    <row r="135" ht="15.75" customHeight="1">
      <c r="A135" s="17">
        <v>46023.0</v>
      </c>
      <c r="B135" s="58" t="s">
        <v>223</v>
      </c>
      <c r="C135" s="44" t="s">
        <v>21</v>
      </c>
      <c r="D135" s="59" t="s">
        <v>295</v>
      </c>
      <c r="E135" s="19">
        <f>IF($D135&lt;&gt;"Entregado",0,IF($C135="","",VLOOKUP($C135,'DATA DE TARIFA'!$A$4:$C$68,2,FALSE)/1.18))</f>
        <v>10.16949153</v>
      </c>
      <c r="F135" s="19">
        <f>IF($C135="","",IF($D135="",0,VLOOKUP($C135,'DATA DE TARIFA'!$A$4:$C$68,3,FALSE)))</f>
        <v>4.5</v>
      </c>
      <c r="G135" s="66">
        <v>0.0</v>
      </c>
      <c r="H135" s="19">
        <f t="shared" si="1"/>
        <v>10.16949153</v>
      </c>
      <c r="I135" s="19">
        <f t="shared" si="2"/>
        <v>4.5</v>
      </c>
      <c r="J135" s="67"/>
      <c r="K135" s="44" t="str">
        <f>IF($B135="","",IFERROR(VLOOKUP($B135,Tiendas!$A$4:$B$176,2,FALSE),""))</f>
        <v>ALEXIS</v>
      </c>
      <c r="L135" s="68" t="s">
        <v>296</v>
      </c>
      <c r="M135" s="44" t="str">
        <f>IF($B135="","",IFERROR(VLOOKUP($B135,Tiendas!$A$4:$I$176,9,FALSE),""))</f>
        <v>No</v>
      </c>
      <c r="N135" s="71">
        <f t="shared" si="3"/>
        <v>0</v>
      </c>
      <c r="O135" s="71">
        <f t="shared" si="4"/>
        <v>0</v>
      </c>
    </row>
    <row r="136" ht="15.75" customHeight="1">
      <c r="A136" s="17">
        <v>46023.0</v>
      </c>
      <c r="B136" s="58" t="s">
        <v>223</v>
      </c>
      <c r="C136" s="44" t="s">
        <v>63</v>
      </c>
      <c r="D136" s="59" t="s">
        <v>295</v>
      </c>
      <c r="E136" s="19">
        <f>IF($D136&lt;&gt;"Entregado",0,IF($C136="","",VLOOKUP($C136,'DATA DE TARIFA'!$A$4:$C$68,2,FALSE)/1.18))</f>
        <v>8.474576271</v>
      </c>
      <c r="F136" s="19">
        <f>IF($C136="","",IF($D136="",0,VLOOKUP($C136,'DATA DE TARIFA'!$A$4:$C$68,3,FALSE)))</f>
        <v>4</v>
      </c>
      <c r="G136" s="66">
        <v>0.0</v>
      </c>
      <c r="H136" s="19">
        <f t="shared" si="1"/>
        <v>8.474576271</v>
      </c>
      <c r="I136" s="19">
        <f t="shared" si="2"/>
        <v>4</v>
      </c>
      <c r="J136" s="67"/>
      <c r="K136" s="44" t="str">
        <f>IF($B136="","",IFERROR(VLOOKUP($B136,Tiendas!$A$4:$B$176,2,FALSE),""))</f>
        <v>ALEXIS</v>
      </c>
      <c r="L136" s="68" t="s">
        <v>296</v>
      </c>
      <c r="M136" s="44" t="str">
        <f>IF($B136="","",IFERROR(VLOOKUP($B136,Tiendas!$A$4:$I$176,9,FALSE),""))</f>
        <v>No</v>
      </c>
      <c r="N136" s="71">
        <f t="shared" si="3"/>
        <v>0</v>
      </c>
      <c r="O136" s="71">
        <f t="shared" si="4"/>
        <v>0</v>
      </c>
    </row>
    <row r="137" ht="15.75" customHeight="1">
      <c r="A137" s="17">
        <v>46023.0</v>
      </c>
      <c r="B137" s="58" t="s">
        <v>223</v>
      </c>
      <c r="C137" s="44" t="s">
        <v>47</v>
      </c>
      <c r="D137" s="59" t="s">
        <v>295</v>
      </c>
      <c r="E137" s="19">
        <f>IF($D137&lt;&gt;"Entregado",0,IF($C137="","",VLOOKUP($C137,'DATA DE TARIFA'!$A$4:$C$68,2,FALSE)/1.18))</f>
        <v>10.16949153</v>
      </c>
      <c r="F137" s="19">
        <f>IF($C137="","",IF($D137="",0,VLOOKUP($C137,'DATA DE TARIFA'!$A$4:$C$68,3,FALSE)))</f>
        <v>5.5</v>
      </c>
      <c r="G137" s="66">
        <v>0.0</v>
      </c>
      <c r="H137" s="19">
        <f t="shared" si="1"/>
        <v>10.16949153</v>
      </c>
      <c r="I137" s="19">
        <f t="shared" si="2"/>
        <v>5.5</v>
      </c>
      <c r="J137" s="67"/>
      <c r="K137" s="44" t="str">
        <f>IF($B137="","",IFERROR(VLOOKUP($B137,Tiendas!$A$4:$B$176,2,FALSE),""))</f>
        <v>ALEXIS</v>
      </c>
      <c r="L137" s="68" t="s">
        <v>296</v>
      </c>
      <c r="M137" s="44" t="str">
        <f>IF($B137="","",IFERROR(VLOOKUP($B137,Tiendas!$A$4:$I$176,9,FALSE),""))</f>
        <v>No</v>
      </c>
      <c r="N137" s="71">
        <f t="shared" si="3"/>
        <v>0</v>
      </c>
      <c r="O137" s="71">
        <f t="shared" si="4"/>
        <v>0</v>
      </c>
    </row>
    <row r="138" ht="15.75" customHeight="1">
      <c r="A138" s="17">
        <v>46023.0</v>
      </c>
      <c r="B138" s="44" t="s">
        <v>235</v>
      </c>
      <c r="C138" s="44" t="s">
        <v>47</v>
      </c>
      <c r="D138" s="59" t="s">
        <v>295</v>
      </c>
      <c r="E138" s="19">
        <f>IF($D138&lt;&gt;"Entregado",0,IF($C138="","",VLOOKUP($C138,'DATA DE TARIFA'!$A$4:$C$68,2,FALSE)/1.18))</f>
        <v>10.16949153</v>
      </c>
      <c r="F138" s="19">
        <f>IF($C138="","",IF($D138="",0,VLOOKUP($C138,'DATA DE TARIFA'!$A$4:$C$68,3,FALSE)))</f>
        <v>5.5</v>
      </c>
      <c r="G138" s="66">
        <v>5.0</v>
      </c>
      <c r="H138" s="19">
        <f t="shared" si="1"/>
        <v>10.16949153</v>
      </c>
      <c r="I138" s="19">
        <f t="shared" si="2"/>
        <v>10.5</v>
      </c>
      <c r="J138" s="67"/>
      <c r="K138" s="44" t="str">
        <f>IF($B138="","",IFERROR(VLOOKUP($B138,Tiendas!$A$4:$B$176,2,FALSE),""))</f>
        <v>ALEXIS</v>
      </c>
      <c r="L138" s="68" t="s">
        <v>296</v>
      </c>
      <c r="M138" s="44" t="str">
        <f>IF($B138="","",IFERROR(VLOOKUP($B138,Tiendas!$A$4:$I$176,9,FALSE),""))</f>
        <v>No</v>
      </c>
      <c r="N138" s="71">
        <f t="shared" si="3"/>
        <v>0</v>
      </c>
      <c r="O138" s="71">
        <f t="shared" si="4"/>
        <v>0</v>
      </c>
    </row>
    <row r="139" ht="15.75" customHeight="1">
      <c r="A139" s="17">
        <v>46023.0</v>
      </c>
      <c r="B139" s="44" t="s">
        <v>235</v>
      </c>
      <c r="C139" s="44" t="s">
        <v>47</v>
      </c>
      <c r="D139" s="59" t="s">
        <v>295</v>
      </c>
      <c r="E139" s="19">
        <f>IF($D139&lt;&gt;"Entregado",0,IF($C139="","",VLOOKUP($C139,'DATA DE TARIFA'!$A$4:$C$68,2,FALSE)/1.18))</f>
        <v>10.16949153</v>
      </c>
      <c r="F139" s="19">
        <f>IF($C139="","",IF($D139="",0,VLOOKUP($C139,'DATA DE TARIFA'!$A$4:$C$68,3,FALSE)))</f>
        <v>5.5</v>
      </c>
      <c r="G139" s="66">
        <v>0.0</v>
      </c>
      <c r="H139" s="19">
        <f t="shared" si="1"/>
        <v>10.16949153</v>
      </c>
      <c r="I139" s="19">
        <f t="shared" si="2"/>
        <v>5.5</v>
      </c>
      <c r="J139" s="67"/>
      <c r="K139" s="44" t="str">
        <f>IF($B139="","",IFERROR(VLOOKUP($B139,Tiendas!$A$4:$B$176,2,FALSE),""))</f>
        <v>ALEXIS</v>
      </c>
      <c r="L139" s="68" t="s">
        <v>296</v>
      </c>
      <c r="M139" s="44" t="str">
        <f>IF($B139="","",IFERROR(VLOOKUP($B139,Tiendas!$A$4:$I$176,9,FALSE),""))</f>
        <v>No</v>
      </c>
      <c r="N139" s="71">
        <f t="shared" si="3"/>
        <v>0</v>
      </c>
      <c r="O139" s="71">
        <f t="shared" si="4"/>
        <v>0</v>
      </c>
    </row>
    <row r="140" ht="15.75" customHeight="1">
      <c r="A140" s="17">
        <v>46023.0</v>
      </c>
      <c r="B140" s="44" t="s">
        <v>197</v>
      </c>
      <c r="C140" s="44" t="s">
        <v>26</v>
      </c>
      <c r="D140" s="45" t="s">
        <v>297</v>
      </c>
      <c r="E140" s="19">
        <f>IF($D140&lt;&gt;"Entregado",0,IF($C140="","",VLOOKUP($C140,'DATA DE TARIFA'!$A$4:$C$68,2,FALSE)/1.18))</f>
        <v>0</v>
      </c>
      <c r="F140" s="19">
        <f>IF($C140="","",IF($D140="",0,VLOOKUP($C140,'DATA DE TARIFA'!$A$4:$C$68,3,FALSE)))</f>
        <v>5</v>
      </c>
      <c r="G140" s="66">
        <v>0.0</v>
      </c>
      <c r="H140" s="19">
        <f t="shared" si="1"/>
        <v>0</v>
      </c>
      <c r="I140" s="19">
        <f t="shared" si="2"/>
        <v>5</v>
      </c>
      <c r="J140" s="67"/>
      <c r="K140" s="44" t="str">
        <f>IF($B140="","",IFERROR(VLOOKUP($B140,Tiendas!$A$4:$B$176,2,FALSE),""))</f>
        <v>ALEXIS</v>
      </c>
      <c r="L140" s="68" t="s">
        <v>296</v>
      </c>
      <c r="M140" s="44" t="str">
        <f>IF($B140="","",IFERROR(VLOOKUP($B140,Tiendas!$A$4:$I$176,9,FALSE),""))</f>
        <v>No</v>
      </c>
      <c r="N140" s="71">
        <f t="shared" si="3"/>
        <v>0</v>
      </c>
      <c r="O140" s="71">
        <f t="shared" si="4"/>
        <v>0</v>
      </c>
    </row>
    <row r="141" ht="15.75" customHeight="1">
      <c r="A141" s="17">
        <v>46023.0</v>
      </c>
      <c r="B141" s="44" t="s">
        <v>197</v>
      </c>
      <c r="C141" s="44" t="s">
        <v>57</v>
      </c>
      <c r="D141" s="59" t="s">
        <v>295</v>
      </c>
      <c r="E141" s="19">
        <f>IF($D141&lt;&gt;"Entregado",0,IF($C141="","",VLOOKUP($C141,'DATA DE TARIFA'!$A$4:$C$68,2,FALSE)/1.18))</f>
        <v>8.474576271</v>
      </c>
      <c r="F141" s="19">
        <f>IF($C141="","",IF($D141="",0,VLOOKUP($C141,'DATA DE TARIFA'!$A$4:$C$68,3,FALSE)))</f>
        <v>4.5</v>
      </c>
      <c r="G141" s="66">
        <v>0.0</v>
      </c>
      <c r="H141" s="19">
        <f t="shared" si="1"/>
        <v>8.474576271</v>
      </c>
      <c r="I141" s="19">
        <f t="shared" si="2"/>
        <v>4.5</v>
      </c>
      <c r="J141" s="67"/>
      <c r="K141" s="44" t="str">
        <f>IF($B141="","",IFERROR(VLOOKUP($B141,Tiendas!$A$4:$B$176,2,FALSE),""))</f>
        <v>ALEXIS</v>
      </c>
      <c r="L141" s="68" t="s">
        <v>296</v>
      </c>
      <c r="M141" s="44" t="str">
        <f>IF($B141="","",IFERROR(VLOOKUP($B141,Tiendas!$A$4:$I$176,9,FALSE),""))</f>
        <v>No</v>
      </c>
      <c r="N141" s="71">
        <f t="shared" si="3"/>
        <v>0</v>
      </c>
      <c r="O141" s="71">
        <f t="shared" si="4"/>
        <v>0</v>
      </c>
    </row>
    <row r="142" ht="15.75" customHeight="1">
      <c r="A142" s="17">
        <v>46023.0</v>
      </c>
      <c r="B142" s="44" t="s">
        <v>197</v>
      </c>
      <c r="C142" s="44" t="s">
        <v>38</v>
      </c>
      <c r="D142" s="59" t="s">
        <v>295</v>
      </c>
      <c r="E142" s="19">
        <f>IF($D142&lt;&gt;"Entregado",0,IF($C142="","",VLOOKUP($C142,'DATA DE TARIFA'!$A$4:$C$68,2,FALSE)/1.18))</f>
        <v>8.474576271</v>
      </c>
      <c r="F142" s="19">
        <f>IF($C142="","",IF($D142="",0,VLOOKUP($C142,'DATA DE TARIFA'!$A$4:$C$68,3,FALSE)))</f>
        <v>4</v>
      </c>
      <c r="G142" s="66">
        <v>0.0</v>
      </c>
      <c r="H142" s="19">
        <f t="shared" si="1"/>
        <v>8.474576271</v>
      </c>
      <c r="I142" s="19">
        <f t="shared" si="2"/>
        <v>4</v>
      </c>
      <c r="J142" s="67"/>
      <c r="K142" s="44" t="str">
        <f>IF($B142="","",IFERROR(VLOOKUP($B142,Tiendas!$A$4:$B$176,2,FALSE),""))</f>
        <v>ALEXIS</v>
      </c>
      <c r="L142" s="68" t="s">
        <v>296</v>
      </c>
      <c r="M142" s="44" t="str">
        <f>IF($B142="","",IFERROR(VLOOKUP($B142,Tiendas!$A$4:$I$176,9,FALSE),""))</f>
        <v>No</v>
      </c>
      <c r="N142" s="71">
        <f t="shared" si="3"/>
        <v>0</v>
      </c>
      <c r="O142" s="71">
        <f t="shared" si="4"/>
        <v>0</v>
      </c>
    </row>
    <row r="143" ht="15.75" customHeight="1">
      <c r="A143" s="17">
        <v>46023.0</v>
      </c>
      <c r="B143" s="44" t="s">
        <v>197</v>
      </c>
      <c r="C143" s="44" t="s">
        <v>21</v>
      </c>
      <c r="D143" s="59" t="s">
        <v>295</v>
      </c>
      <c r="E143" s="19">
        <f>IF($D143&lt;&gt;"Entregado",0,IF($C143="","",VLOOKUP($C143,'DATA DE TARIFA'!$A$4:$C$68,2,FALSE)/1.18))</f>
        <v>10.16949153</v>
      </c>
      <c r="F143" s="19">
        <f>IF($C143="","",IF($D143="",0,VLOOKUP($C143,'DATA DE TARIFA'!$A$4:$C$68,3,FALSE)))</f>
        <v>4.5</v>
      </c>
      <c r="G143" s="66">
        <v>0.0</v>
      </c>
      <c r="H143" s="19">
        <f t="shared" si="1"/>
        <v>10.16949153</v>
      </c>
      <c r="I143" s="19">
        <f t="shared" si="2"/>
        <v>4.5</v>
      </c>
      <c r="J143" s="67"/>
      <c r="K143" s="44" t="str">
        <f>IF($B143="","",IFERROR(VLOOKUP($B143,Tiendas!$A$4:$B$176,2,FALSE),""))</f>
        <v>ALEXIS</v>
      </c>
      <c r="L143" s="68" t="s">
        <v>296</v>
      </c>
      <c r="M143" s="44" t="str">
        <f>IF($B143="","",IFERROR(VLOOKUP($B143,Tiendas!$A$4:$I$176,9,FALSE),""))</f>
        <v>No</v>
      </c>
      <c r="N143" s="71">
        <f t="shared" si="3"/>
        <v>0</v>
      </c>
      <c r="O143" s="71">
        <f t="shared" si="4"/>
        <v>0</v>
      </c>
    </row>
    <row r="144" ht="15.75" customHeight="1">
      <c r="A144" s="17">
        <v>46023.0</v>
      </c>
      <c r="B144" s="44" t="s">
        <v>197</v>
      </c>
      <c r="C144" s="44" t="s">
        <v>62</v>
      </c>
      <c r="D144" s="59" t="s">
        <v>295</v>
      </c>
      <c r="E144" s="19">
        <f>IF($D144&lt;&gt;"Entregado",0,IF($C144="","",VLOOKUP($C144,'DATA DE TARIFA'!$A$4:$C$68,2,FALSE)/1.18))</f>
        <v>8.474576271</v>
      </c>
      <c r="F144" s="19">
        <f>IF($C144="","",IF($D144="",0,VLOOKUP($C144,'DATA DE TARIFA'!$A$4:$C$68,3,FALSE)))</f>
        <v>4.5</v>
      </c>
      <c r="G144" s="66">
        <v>0.0</v>
      </c>
      <c r="H144" s="19">
        <f t="shared" si="1"/>
        <v>8.474576271</v>
      </c>
      <c r="I144" s="19">
        <f t="shared" si="2"/>
        <v>4.5</v>
      </c>
      <c r="J144" s="67"/>
      <c r="K144" s="44" t="str">
        <f>IF($B144="","",IFERROR(VLOOKUP($B144,Tiendas!$A$4:$B$176,2,FALSE),""))</f>
        <v>ALEXIS</v>
      </c>
      <c r="L144" s="68" t="s">
        <v>296</v>
      </c>
      <c r="M144" s="44" t="str">
        <f>IF($B144="","",IFERROR(VLOOKUP($B144,Tiendas!$A$4:$I$176,9,FALSE),""))</f>
        <v>No</v>
      </c>
      <c r="N144" s="71">
        <f t="shared" si="3"/>
        <v>0</v>
      </c>
      <c r="O144" s="71">
        <f t="shared" si="4"/>
        <v>0</v>
      </c>
    </row>
    <row r="145" ht="15.75" customHeight="1">
      <c r="A145" s="17">
        <v>46023.0</v>
      </c>
      <c r="B145" s="44" t="s">
        <v>197</v>
      </c>
      <c r="C145" s="44" t="s">
        <v>15</v>
      </c>
      <c r="D145" s="59" t="s">
        <v>295</v>
      </c>
      <c r="E145" s="19">
        <f>IF($D145&lt;&gt;"Entregado",0,IF($C145="","",VLOOKUP($C145,'DATA DE TARIFA'!$A$4:$C$68,2,FALSE)/1.18))</f>
        <v>8.474576271</v>
      </c>
      <c r="F145" s="19">
        <f>IF($C145="","",IF($D145="",0,VLOOKUP($C145,'DATA DE TARIFA'!$A$4:$C$68,3,FALSE)))</f>
        <v>4.5</v>
      </c>
      <c r="G145" s="66">
        <v>0.0</v>
      </c>
      <c r="H145" s="19">
        <f t="shared" si="1"/>
        <v>8.474576271</v>
      </c>
      <c r="I145" s="19">
        <f t="shared" si="2"/>
        <v>4.5</v>
      </c>
      <c r="J145" s="67"/>
      <c r="K145" s="44" t="str">
        <f>IF($B145="","",IFERROR(VLOOKUP($B145,Tiendas!$A$4:$B$176,2,FALSE),""))</f>
        <v>ALEXIS</v>
      </c>
      <c r="L145" s="68" t="s">
        <v>296</v>
      </c>
      <c r="M145" s="44" t="str">
        <f>IF($B145="","",IFERROR(VLOOKUP($B145,Tiendas!$A$4:$I$176,9,FALSE),""))</f>
        <v>No</v>
      </c>
      <c r="N145" s="71">
        <f t="shared" si="3"/>
        <v>0</v>
      </c>
      <c r="O145" s="71">
        <f t="shared" si="4"/>
        <v>0</v>
      </c>
    </row>
    <row r="146" ht="15.75" customHeight="1">
      <c r="A146" s="17">
        <v>46023.0</v>
      </c>
      <c r="B146" s="44" t="s">
        <v>197</v>
      </c>
      <c r="C146" s="44" t="s">
        <v>42</v>
      </c>
      <c r="D146" s="59" t="s">
        <v>295</v>
      </c>
      <c r="E146" s="19">
        <f>IF($D146&lt;&gt;"Entregado",0,IF($C146="","",VLOOKUP($C146,'DATA DE TARIFA'!$A$4:$C$68,2,FALSE)/1.18))</f>
        <v>8.474576271</v>
      </c>
      <c r="F146" s="19">
        <f>IF($C146="","",IF($D146="",0,VLOOKUP($C146,'DATA DE TARIFA'!$A$4:$C$68,3,FALSE)))</f>
        <v>4</v>
      </c>
      <c r="G146" s="66">
        <v>0.0</v>
      </c>
      <c r="H146" s="19">
        <f t="shared" si="1"/>
        <v>8.474576271</v>
      </c>
      <c r="I146" s="19">
        <f t="shared" si="2"/>
        <v>4</v>
      </c>
      <c r="J146" s="67"/>
      <c r="K146" s="44" t="str">
        <f>IF($B146="","",IFERROR(VLOOKUP($B146,Tiendas!$A$4:$B$176,2,FALSE),""))</f>
        <v>ALEXIS</v>
      </c>
      <c r="L146" s="68" t="s">
        <v>296</v>
      </c>
      <c r="M146" s="44" t="str">
        <f>IF($B146="","",IFERROR(VLOOKUP($B146,Tiendas!$A$4:$I$176,9,FALSE),""))</f>
        <v>No</v>
      </c>
      <c r="N146" s="71">
        <f t="shared" si="3"/>
        <v>0</v>
      </c>
      <c r="O146" s="71">
        <f t="shared" si="4"/>
        <v>0</v>
      </c>
    </row>
    <row r="147" ht="15.75" customHeight="1">
      <c r="A147" s="17">
        <v>46023.0</v>
      </c>
      <c r="B147" s="44" t="s">
        <v>197</v>
      </c>
      <c r="C147" s="44" t="s">
        <v>58</v>
      </c>
      <c r="D147" s="59" t="s">
        <v>295</v>
      </c>
      <c r="E147" s="19">
        <f>IF($D147&lt;&gt;"Entregado",0,IF($C147="","",VLOOKUP($C147,'DATA DE TARIFA'!$A$4:$C$68,2,FALSE)/1.18))</f>
        <v>8.474576271</v>
      </c>
      <c r="F147" s="19">
        <f>IF($C147="","",IF($D147="",0,VLOOKUP($C147,'DATA DE TARIFA'!$A$4:$C$68,3,FALSE)))</f>
        <v>4</v>
      </c>
      <c r="G147" s="66">
        <v>0.0</v>
      </c>
      <c r="H147" s="19">
        <f t="shared" si="1"/>
        <v>8.474576271</v>
      </c>
      <c r="I147" s="19">
        <f t="shared" si="2"/>
        <v>4</v>
      </c>
      <c r="J147" s="67"/>
      <c r="K147" s="44" t="str">
        <f>IF($B147="","",IFERROR(VLOOKUP($B147,Tiendas!$A$4:$B$176,2,FALSE),""))</f>
        <v>ALEXIS</v>
      </c>
      <c r="L147" s="68" t="s">
        <v>296</v>
      </c>
      <c r="M147" s="44" t="str">
        <f>IF($B147="","",IFERROR(VLOOKUP($B147,Tiendas!$A$4:$I$176,9,FALSE),""))</f>
        <v>No</v>
      </c>
      <c r="N147" s="71">
        <f t="shared" si="3"/>
        <v>0</v>
      </c>
      <c r="O147" s="71">
        <f t="shared" si="4"/>
        <v>0</v>
      </c>
    </row>
    <row r="148" ht="15.75" customHeight="1">
      <c r="A148" s="17">
        <v>46023.0</v>
      </c>
      <c r="B148" s="44" t="s">
        <v>197</v>
      </c>
      <c r="C148" s="44" t="s">
        <v>61</v>
      </c>
      <c r="D148" s="59" t="s">
        <v>295</v>
      </c>
      <c r="E148" s="19">
        <f>IF($D148&lt;&gt;"Entregado",0,IF($C148="","",VLOOKUP($C148,'DATA DE TARIFA'!$A$4:$C$68,2,FALSE)/1.18))</f>
        <v>8.474576271</v>
      </c>
      <c r="F148" s="19">
        <f>IF($C148="","",IF($D148="",0,VLOOKUP($C148,'DATA DE TARIFA'!$A$4:$C$68,3,FALSE)))</f>
        <v>4.5</v>
      </c>
      <c r="G148" s="66">
        <v>0.0</v>
      </c>
      <c r="H148" s="19">
        <f t="shared" si="1"/>
        <v>8.474576271</v>
      </c>
      <c r="I148" s="19">
        <f t="shared" si="2"/>
        <v>4.5</v>
      </c>
      <c r="J148" s="67"/>
      <c r="K148" s="44" t="str">
        <f>IF($B148="","",IFERROR(VLOOKUP($B148,Tiendas!$A$4:$B$176,2,FALSE),""))</f>
        <v>ALEXIS</v>
      </c>
      <c r="L148" s="68" t="s">
        <v>296</v>
      </c>
      <c r="M148" s="44" t="str">
        <f>IF($B148="","",IFERROR(VLOOKUP($B148,Tiendas!$A$4:$I$176,9,FALSE),""))</f>
        <v>No</v>
      </c>
      <c r="N148" s="71">
        <f t="shared" si="3"/>
        <v>0</v>
      </c>
      <c r="O148" s="71">
        <f t="shared" si="4"/>
        <v>0</v>
      </c>
    </row>
    <row r="149" ht="15.75" customHeight="1">
      <c r="A149" s="17">
        <v>46023.0</v>
      </c>
      <c r="B149" s="44" t="s">
        <v>197</v>
      </c>
      <c r="C149" s="44" t="s">
        <v>70</v>
      </c>
      <c r="D149" s="59" t="s">
        <v>295</v>
      </c>
      <c r="E149" s="19">
        <f>IF($D149&lt;&gt;"Entregado",0,IF($C149="","",VLOOKUP($C149,'DATA DE TARIFA'!$A$4:$C$68,2,FALSE)/1.18))</f>
        <v>8.474576271</v>
      </c>
      <c r="F149" s="19">
        <f>IF($C149="","",IF($D149="",0,VLOOKUP($C149,'DATA DE TARIFA'!$A$4:$C$68,3,FALSE)))</f>
        <v>4</v>
      </c>
      <c r="G149" s="66">
        <v>0.0</v>
      </c>
      <c r="H149" s="19">
        <f t="shared" si="1"/>
        <v>8.474576271</v>
      </c>
      <c r="I149" s="19">
        <f t="shared" si="2"/>
        <v>4</v>
      </c>
      <c r="J149" s="67"/>
      <c r="K149" s="44" t="str">
        <f>IF($B149="","",IFERROR(VLOOKUP($B149,Tiendas!$A$4:$B$176,2,FALSE),""))</f>
        <v>ALEXIS</v>
      </c>
      <c r="L149" s="68" t="s">
        <v>296</v>
      </c>
      <c r="M149" s="44" t="str">
        <f>IF($B149="","",IFERROR(VLOOKUP($B149,Tiendas!$A$4:$I$176,9,FALSE),""))</f>
        <v>No</v>
      </c>
      <c r="N149" s="71">
        <f t="shared" si="3"/>
        <v>0</v>
      </c>
      <c r="O149" s="71">
        <f t="shared" si="4"/>
        <v>0</v>
      </c>
    </row>
    <row r="150" ht="15.75" customHeight="1">
      <c r="A150" s="17">
        <v>46023.0</v>
      </c>
      <c r="B150" s="44" t="s">
        <v>197</v>
      </c>
      <c r="C150" s="44" t="s">
        <v>26</v>
      </c>
      <c r="D150" s="59" t="s">
        <v>295</v>
      </c>
      <c r="E150" s="19">
        <f>IF($D150&lt;&gt;"Entregado",0,IF($C150="","",VLOOKUP($C150,'DATA DE TARIFA'!$A$4:$C$68,2,FALSE)/1.18))</f>
        <v>10.16949153</v>
      </c>
      <c r="F150" s="19">
        <f>IF($C150="","",IF($D150="",0,VLOOKUP($C150,'DATA DE TARIFA'!$A$4:$C$68,3,FALSE)))</f>
        <v>5</v>
      </c>
      <c r="G150" s="66">
        <v>0.0</v>
      </c>
      <c r="H150" s="19">
        <f t="shared" si="1"/>
        <v>10.16949153</v>
      </c>
      <c r="I150" s="19">
        <f t="shared" si="2"/>
        <v>5</v>
      </c>
      <c r="J150" s="67"/>
      <c r="K150" s="44" t="str">
        <f>IF($B150="","",IFERROR(VLOOKUP($B150,Tiendas!$A$4:$B$176,2,FALSE),""))</f>
        <v>ALEXIS</v>
      </c>
      <c r="L150" s="68" t="s">
        <v>296</v>
      </c>
      <c r="M150" s="44" t="str">
        <f>IF($B150="","",IFERROR(VLOOKUP($B150,Tiendas!$A$4:$I$176,9,FALSE),""))</f>
        <v>No</v>
      </c>
      <c r="N150" s="71">
        <f t="shared" si="3"/>
        <v>0</v>
      </c>
      <c r="O150" s="71">
        <f t="shared" si="4"/>
        <v>0</v>
      </c>
    </row>
    <row r="151" ht="15.75" customHeight="1">
      <c r="A151" s="17">
        <v>46023.0</v>
      </c>
      <c r="B151" s="44" t="s">
        <v>197</v>
      </c>
      <c r="C151" s="44" t="s">
        <v>21</v>
      </c>
      <c r="D151" s="59" t="s">
        <v>295</v>
      </c>
      <c r="E151" s="19">
        <f>IF($D151&lt;&gt;"Entregado",0,IF($C151="","",VLOOKUP($C151,'DATA DE TARIFA'!$A$4:$C$68,2,FALSE)/1.18))</f>
        <v>10.16949153</v>
      </c>
      <c r="F151" s="19">
        <f>IF($C151="","",IF($D151="",0,VLOOKUP($C151,'DATA DE TARIFA'!$A$4:$C$68,3,FALSE)))</f>
        <v>4.5</v>
      </c>
      <c r="G151" s="66">
        <v>0.0</v>
      </c>
      <c r="H151" s="19">
        <f t="shared" si="1"/>
        <v>10.16949153</v>
      </c>
      <c r="I151" s="19">
        <f t="shared" si="2"/>
        <v>4.5</v>
      </c>
      <c r="J151" s="67"/>
      <c r="K151" s="44" t="str">
        <f>IF($B151="","",IFERROR(VLOOKUP($B151,Tiendas!$A$4:$B$176,2,FALSE),""))</f>
        <v>ALEXIS</v>
      </c>
      <c r="L151" s="68" t="s">
        <v>296</v>
      </c>
      <c r="M151" s="44" t="str">
        <f>IF($B151="","",IFERROR(VLOOKUP($B151,Tiendas!$A$4:$I$176,9,FALSE),""))</f>
        <v>No</v>
      </c>
      <c r="N151" s="71">
        <f t="shared" si="3"/>
        <v>0</v>
      </c>
      <c r="O151" s="71">
        <f t="shared" si="4"/>
        <v>0</v>
      </c>
    </row>
    <row r="152" ht="15.75" customHeight="1">
      <c r="A152" s="17">
        <v>46023.0</v>
      </c>
      <c r="B152" s="44" t="s">
        <v>197</v>
      </c>
      <c r="C152" s="44" t="s">
        <v>61</v>
      </c>
      <c r="D152" s="59" t="s">
        <v>295</v>
      </c>
      <c r="E152" s="19">
        <f>IF($D152&lt;&gt;"Entregado",0,IF($C152="","",VLOOKUP($C152,'DATA DE TARIFA'!$A$4:$C$68,2,FALSE)/1.18))</f>
        <v>8.474576271</v>
      </c>
      <c r="F152" s="19">
        <f>IF($C152="","",IF($D152="",0,VLOOKUP($C152,'DATA DE TARIFA'!$A$4:$C$68,3,FALSE)))</f>
        <v>4.5</v>
      </c>
      <c r="G152" s="66">
        <v>0.0</v>
      </c>
      <c r="H152" s="19">
        <f t="shared" si="1"/>
        <v>8.474576271</v>
      </c>
      <c r="I152" s="19">
        <f t="shared" si="2"/>
        <v>4.5</v>
      </c>
      <c r="J152" s="67"/>
      <c r="K152" s="44" t="str">
        <f>IF($B152="","",IFERROR(VLOOKUP($B152,Tiendas!$A$4:$B$176,2,FALSE),""))</f>
        <v>ALEXIS</v>
      </c>
      <c r="L152" s="68" t="s">
        <v>296</v>
      </c>
      <c r="M152" s="44" t="str">
        <f>IF($B152="","",IFERROR(VLOOKUP($B152,Tiendas!$A$4:$I$176,9,FALSE),""))</f>
        <v>No</v>
      </c>
      <c r="N152" s="71">
        <f t="shared" si="3"/>
        <v>0</v>
      </c>
      <c r="O152" s="71">
        <f t="shared" si="4"/>
        <v>0</v>
      </c>
    </row>
    <row r="153" ht="15.75" customHeight="1">
      <c r="A153" s="17">
        <v>46023.0</v>
      </c>
      <c r="B153" s="44" t="s">
        <v>205</v>
      </c>
      <c r="C153" s="44" t="s">
        <v>61</v>
      </c>
      <c r="D153" s="59" t="s">
        <v>295</v>
      </c>
      <c r="E153" s="19">
        <f>IF($D153&lt;&gt;"Entregado",0,IF($C153="","",VLOOKUP($C153,'DATA DE TARIFA'!$A$4:$C$68,2,FALSE)/1.18))</f>
        <v>8.474576271</v>
      </c>
      <c r="F153" s="19">
        <f>IF($C153="","",IF($D153="",0,VLOOKUP($C153,'DATA DE TARIFA'!$A$4:$C$68,3,FALSE)))</f>
        <v>4.5</v>
      </c>
      <c r="G153" s="66">
        <v>0.0</v>
      </c>
      <c r="H153" s="19">
        <f t="shared" si="1"/>
        <v>8.474576271</v>
      </c>
      <c r="I153" s="19">
        <f t="shared" si="2"/>
        <v>4.5</v>
      </c>
      <c r="J153" s="67"/>
      <c r="K153" s="44" t="str">
        <f>IF($B153="","",IFERROR(VLOOKUP($B153,Tiendas!$A$4:$B$176,2,FALSE),""))</f>
        <v>CHRISTIAN</v>
      </c>
      <c r="L153" s="68" t="s">
        <v>296</v>
      </c>
      <c r="M153" s="44" t="str">
        <f>IF($B153="","",IFERROR(VLOOKUP($B153,Tiendas!$A$4:$I$176,9,FALSE),""))</f>
        <v>No</v>
      </c>
      <c r="N153" s="71">
        <f t="shared" si="3"/>
        <v>0</v>
      </c>
      <c r="O153" s="71">
        <f t="shared" si="4"/>
        <v>0</v>
      </c>
    </row>
    <row r="154" ht="15.75" customHeight="1">
      <c r="A154" s="17">
        <v>46023.0</v>
      </c>
      <c r="B154" s="44" t="s">
        <v>205</v>
      </c>
      <c r="C154" s="44" t="s">
        <v>15</v>
      </c>
      <c r="D154" s="59" t="s">
        <v>295</v>
      </c>
      <c r="E154" s="19">
        <f>IF($D154&lt;&gt;"Entregado",0,IF($C154="","",VLOOKUP($C154,'DATA DE TARIFA'!$A$4:$C$68,2,FALSE)/1.18))</f>
        <v>8.474576271</v>
      </c>
      <c r="F154" s="19">
        <f>IF($C154="","",IF($D154="",0,VLOOKUP($C154,'DATA DE TARIFA'!$A$4:$C$68,3,FALSE)))</f>
        <v>4.5</v>
      </c>
      <c r="G154" s="66">
        <v>0.0</v>
      </c>
      <c r="H154" s="19">
        <f t="shared" si="1"/>
        <v>8.474576271</v>
      </c>
      <c r="I154" s="19">
        <f t="shared" si="2"/>
        <v>4.5</v>
      </c>
      <c r="J154" s="67"/>
      <c r="K154" s="44" t="str">
        <f>IF($B154="","",IFERROR(VLOOKUP($B154,Tiendas!$A$4:$B$176,2,FALSE),""))</f>
        <v>CHRISTIAN</v>
      </c>
      <c r="L154" s="68" t="s">
        <v>296</v>
      </c>
      <c r="M154" s="44" t="str">
        <f>IF($B154="","",IFERROR(VLOOKUP($B154,Tiendas!$A$4:$I$176,9,FALSE),""))</f>
        <v>No</v>
      </c>
      <c r="N154" s="71">
        <f t="shared" si="3"/>
        <v>0</v>
      </c>
      <c r="O154" s="71">
        <f t="shared" si="4"/>
        <v>0</v>
      </c>
    </row>
    <row r="155" ht="15.75" customHeight="1">
      <c r="A155" s="17">
        <v>46023.0</v>
      </c>
      <c r="B155" s="44" t="s">
        <v>205</v>
      </c>
      <c r="C155" s="44" t="s">
        <v>26</v>
      </c>
      <c r="D155" s="59" t="s">
        <v>295</v>
      </c>
      <c r="E155" s="19">
        <f>IF($D155&lt;&gt;"Entregado",0,IF($C155="","",VLOOKUP($C155,'DATA DE TARIFA'!$A$4:$C$68,2,FALSE)/1.18))</f>
        <v>10.16949153</v>
      </c>
      <c r="F155" s="19">
        <f>IF($C155="","",IF($D155="",0,VLOOKUP($C155,'DATA DE TARIFA'!$A$4:$C$68,3,FALSE)))</f>
        <v>5</v>
      </c>
      <c r="G155" s="66">
        <v>0.0</v>
      </c>
      <c r="H155" s="19">
        <f t="shared" si="1"/>
        <v>10.16949153</v>
      </c>
      <c r="I155" s="19">
        <f t="shared" si="2"/>
        <v>5</v>
      </c>
      <c r="J155" s="67"/>
      <c r="K155" s="44" t="str">
        <f>IF($B155="","",IFERROR(VLOOKUP($B155,Tiendas!$A$4:$B$176,2,FALSE),""))</f>
        <v>CHRISTIAN</v>
      </c>
      <c r="L155" s="68" t="s">
        <v>296</v>
      </c>
      <c r="M155" s="44" t="str">
        <f>IF($B155="","",IFERROR(VLOOKUP($B155,Tiendas!$A$4:$I$176,9,FALSE),""))</f>
        <v>No</v>
      </c>
      <c r="N155" s="71">
        <f t="shared" si="3"/>
        <v>0</v>
      </c>
      <c r="O155" s="71">
        <f t="shared" si="4"/>
        <v>0</v>
      </c>
    </row>
    <row r="156" ht="15.75" customHeight="1">
      <c r="A156" s="17">
        <v>46023.0</v>
      </c>
      <c r="B156" s="44" t="s">
        <v>205</v>
      </c>
      <c r="C156" s="44" t="s">
        <v>42</v>
      </c>
      <c r="D156" s="59" t="s">
        <v>295</v>
      </c>
      <c r="E156" s="19">
        <f>IF($D156&lt;&gt;"Entregado",0,IF($C156="","",VLOOKUP($C156,'DATA DE TARIFA'!$A$4:$C$68,2,FALSE)/1.18))</f>
        <v>8.474576271</v>
      </c>
      <c r="F156" s="19">
        <f>IF($C156="","",IF($D156="",0,VLOOKUP($C156,'DATA DE TARIFA'!$A$4:$C$68,3,FALSE)))</f>
        <v>4</v>
      </c>
      <c r="G156" s="66">
        <v>0.0</v>
      </c>
      <c r="H156" s="19">
        <f t="shared" si="1"/>
        <v>8.474576271</v>
      </c>
      <c r="I156" s="19">
        <f t="shared" si="2"/>
        <v>4</v>
      </c>
      <c r="J156" s="67"/>
      <c r="K156" s="44" t="str">
        <f>IF($B156="","",IFERROR(VLOOKUP($B156,Tiendas!$A$4:$B$176,2,FALSE),""))</f>
        <v>CHRISTIAN</v>
      </c>
      <c r="L156" s="68" t="s">
        <v>296</v>
      </c>
      <c r="M156" s="44" t="str">
        <f>IF($B156="","",IFERROR(VLOOKUP($B156,Tiendas!$A$4:$I$176,9,FALSE),""))</f>
        <v>No</v>
      </c>
      <c r="N156" s="71">
        <f t="shared" si="3"/>
        <v>0</v>
      </c>
      <c r="O156" s="71">
        <f t="shared" si="4"/>
        <v>0</v>
      </c>
    </row>
    <row r="157" ht="15.75" customHeight="1">
      <c r="A157" s="17">
        <v>46023.0</v>
      </c>
      <c r="B157" s="44" t="s">
        <v>205</v>
      </c>
      <c r="C157" s="44" t="s">
        <v>21</v>
      </c>
      <c r="D157" s="59" t="s">
        <v>295</v>
      </c>
      <c r="E157" s="19">
        <f>IF($D157&lt;&gt;"Entregado",0,IF($C157="","",VLOOKUP($C157,'DATA DE TARIFA'!$A$4:$C$68,2,FALSE)/1.18))</f>
        <v>10.16949153</v>
      </c>
      <c r="F157" s="19">
        <f>IF($C157="","",IF($D157="",0,VLOOKUP($C157,'DATA DE TARIFA'!$A$4:$C$68,3,FALSE)))</f>
        <v>4.5</v>
      </c>
      <c r="G157" s="66">
        <v>0.0</v>
      </c>
      <c r="H157" s="19">
        <f t="shared" si="1"/>
        <v>10.16949153</v>
      </c>
      <c r="I157" s="19">
        <f t="shared" si="2"/>
        <v>4.5</v>
      </c>
      <c r="J157" s="67"/>
      <c r="K157" s="44" t="str">
        <f>IF($B157="","",IFERROR(VLOOKUP($B157,Tiendas!$A$4:$B$176,2,FALSE),""))</f>
        <v>CHRISTIAN</v>
      </c>
      <c r="L157" s="68" t="s">
        <v>296</v>
      </c>
      <c r="M157" s="44" t="str">
        <f>IF($B157="","",IFERROR(VLOOKUP($B157,Tiendas!$A$4:$I$176,9,FALSE),""))</f>
        <v>No</v>
      </c>
      <c r="N157" s="71">
        <f t="shared" si="3"/>
        <v>0</v>
      </c>
      <c r="O157" s="71">
        <f t="shared" si="4"/>
        <v>0</v>
      </c>
    </row>
    <row r="158" ht="15.75" customHeight="1">
      <c r="A158" s="17">
        <v>46023.0</v>
      </c>
      <c r="B158" s="44" t="s">
        <v>205</v>
      </c>
      <c r="C158" s="44" t="s">
        <v>26</v>
      </c>
      <c r="D158" s="59" t="s">
        <v>295</v>
      </c>
      <c r="E158" s="19">
        <f>IF($D158&lt;&gt;"Entregado",0,IF($C158="","",VLOOKUP($C158,'DATA DE TARIFA'!$A$4:$C$68,2,FALSE)/1.18))</f>
        <v>10.16949153</v>
      </c>
      <c r="F158" s="19">
        <f>IF($C158="","",IF($D158="",0,VLOOKUP($C158,'DATA DE TARIFA'!$A$4:$C$68,3,FALSE)))</f>
        <v>5</v>
      </c>
      <c r="G158" s="66">
        <v>1.0</v>
      </c>
      <c r="H158" s="19">
        <f t="shared" si="1"/>
        <v>10.16949153</v>
      </c>
      <c r="I158" s="19">
        <f t="shared" si="2"/>
        <v>6</v>
      </c>
      <c r="J158" s="67"/>
      <c r="K158" s="44" t="str">
        <f>IF($B158="","",IFERROR(VLOOKUP($B158,Tiendas!$A$4:$B$176,2,FALSE),""))</f>
        <v>CHRISTIAN</v>
      </c>
      <c r="L158" s="68" t="s">
        <v>296</v>
      </c>
      <c r="M158" s="44" t="str">
        <f>IF($B158="","",IFERROR(VLOOKUP($B158,Tiendas!$A$4:$I$176,9,FALSE),""))</f>
        <v>No</v>
      </c>
      <c r="N158" s="71">
        <f t="shared" si="3"/>
        <v>0</v>
      </c>
      <c r="O158" s="71">
        <f t="shared" si="4"/>
        <v>0</v>
      </c>
    </row>
    <row r="159" ht="15.75" customHeight="1">
      <c r="A159" s="17">
        <v>46023.0</v>
      </c>
      <c r="B159" s="44" t="s">
        <v>205</v>
      </c>
      <c r="C159" s="44" t="s">
        <v>63</v>
      </c>
      <c r="D159" s="59" t="s">
        <v>295</v>
      </c>
      <c r="E159" s="19">
        <f>IF($D159&lt;&gt;"Entregado",0,IF($C159="","",VLOOKUP($C159,'DATA DE TARIFA'!$A$4:$C$68,2,FALSE)/1.18))</f>
        <v>8.474576271</v>
      </c>
      <c r="F159" s="19">
        <f>IF($C159="","",IF($D159="",0,VLOOKUP($C159,'DATA DE TARIFA'!$A$4:$C$68,3,FALSE)))</f>
        <v>4</v>
      </c>
      <c r="G159" s="66">
        <v>0.0</v>
      </c>
      <c r="H159" s="19">
        <f t="shared" si="1"/>
        <v>8.474576271</v>
      </c>
      <c r="I159" s="19">
        <f t="shared" si="2"/>
        <v>4</v>
      </c>
      <c r="J159" s="67"/>
      <c r="K159" s="44" t="str">
        <f>IF($B159="","",IFERROR(VLOOKUP($B159,Tiendas!$A$4:$B$176,2,FALSE),""))</f>
        <v>CHRISTIAN</v>
      </c>
      <c r="L159" s="68" t="s">
        <v>296</v>
      </c>
      <c r="M159" s="44" t="str">
        <f>IF($B159="","",IFERROR(VLOOKUP($B159,Tiendas!$A$4:$I$176,9,FALSE),""))</f>
        <v>No</v>
      </c>
      <c r="N159" s="71">
        <f t="shared" si="3"/>
        <v>0</v>
      </c>
      <c r="O159" s="71">
        <f t="shared" si="4"/>
        <v>0</v>
      </c>
    </row>
    <row r="160" ht="15.75" customHeight="1">
      <c r="A160" s="17">
        <v>46023.0</v>
      </c>
      <c r="B160" s="44" t="s">
        <v>205</v>
      </c>
      <c r="C160" s="44" t="s">
        <v>30</v>
      </c>
      <c r="D160" s="59" t="s">
        <v>295</v>
      </c>
      <c r="E160" s="19">
        <f>IF($D160&lt;&gt;"Entregado",0,IF($C160="","",VLOOKUP($C160,'DATA DE TARIFA'!$A$4:$C$68,2,FALSE)/1.18))</f>
        <v>8.474576271</v>
      </c>
      <c r="F160" s="19">
        <f>IF($C160="","",IF($D160="",0,VLOOKUP($C160,'DATA DE TARIFA'!$A$4:$C$68,3,FALSE)))</f>
        <v>4.5</v>
      </c>
      <c r="G160" s="66">
        <v>0.0</v>
      </c>
      <c r="H160" s="19">
        <f t="shared" si="1"/>
        <v>8.474576271</v>
      </c>
      <c r="I160" s="19">
        <f t="shared" si="2"/>
        <v>4.5</v>
      </c>
      <c r="J160" s="67"/>
      <c r="K160" s="44" t="str">
        <f>IF($B160="","",IFERROR(VLOOKUP($B160,Tiendas!$A$4:$B$176,2,FALSE),""))</f>
        <v>CHRISTIAN</v>
      </c>
      <c r="L160" s="68" t="s">
        <v>296</v>
      </c>
      <c r="M160" s="44" t="str">
        <f>IF($B160="","",IFERROR(VLOOKUP($B160,Tiendas!$A$4:$I$176,9,FALSE),""))</f>
        <v>No</v>
      </c>
      <c r="N160" s="71">
        <f t="shared" si="3"/>
        <v>0</v>
      </c>
      <c r="O160" s="71">
        <f t="shared" si="4"/>
        <v>0</v>
      </c>
    </row>
    <row r="161" ht="15.75" customHeight="1">
      <c r="A161" s="17">
        <v>46023.0</v>
      </c>
      <c r="B161" s="44" t="s">
        <v>205</v>
      </c>
      <c r="C161" s="44" t="s">
        <v>42</v>
      </c>
      <c r="D161" s="59" t="s">
        <v>295</v>
      </c>
      <c r="E161" s="19">
        <f>IF($D161&lt;&gt;"Entregado",0,IF($C161="","",VLOOKUP($C161,'DATA DE TARIFA'!$A$4:$C$68,2,FALSE)/1.18))</f>
        <v>8.474576271</v>
      </c>
      <c r="F161" s="19">
        <f>IF($C161="","",IF($D161="",0,VLOOKUP($C161,'DATA DE TARIFA'!$A$4:$C$68,3,FALSE)))</f>
        <v>4</v>
      </c>
      <c r="G161" s="66">
        <v>0.0</v>
      </c>
      <c r="H161" s="19">
        <f t="shared" si="1"/>
        <v>8.474576271</v>
      </c>
      <c r="I161" s="19">
        <f t="shared" si="2"/>
        <v>4</v>
      </c>
      <c r="J161" s="67"/>
      <c r="K161" s="44" t="str">
        <f>IF($B161="","",IFERROR(VLOOKUP($B161,Tiendas!$A$4:$B$176,2,FALSE),""))</f>
        <v>CHRISTIAN</v>
      </c>
      <c r="L161" s="68" t="s">
        <v>296</v>
      </c>
      <c r="M161" s="44" t="str">
        <f>IF($B161="","",IFERROR(VLOOKUP($B161,Tiendas!$A$4:$I$176,9,FALSE),""))</f>
        <v>No</v>
      </c>
      <c r="N161" s="71">
        <f t="shared" si="3"/>
        <v>0</v>
      </c>
      <c r="O161" s="71">
        <f t="shared" si="4"/>
        <v>0</v>
      </c>
    </row>
    <row r="162" ht="15.75" customHeight="1">
      <c r="A162" s="17">
        <v>46023.0</v>
      </c>
      <c r="B162" s="44" t="s">
        <v>254</v>
      </c>
      <c r="C162" s="44" t="s">
        <v>42</v>
      </c>
      <c r="D162" s="59" t="s">
        <v>295</v>
      </c>
      <c r="E162" s="19">
        <f>IF($D162&lt;&gt;"Entregado",0,IF($C162="","",VLOOKUP($C162,'DATA DE TARIFA'!$A$4:$C$68,2,FALSE)/1.18))</f>
        <v>8.474576271</v>
      </c>
      <c r="F162" s="19">
        <f>IF($C162="","",IF($D162="",0,VLOOKUP($C162,'DATA DE TARIFA'!$A$4:$C$68,3,FALSE)))</f>
        <v>4</v>
      </c>
      <c r="G162" s="66">
        <v>0.0</v>
      </c>
      <c r="H162" s="19">
        <f t="shared" si="1"/>
        <v>8.474576271</v>
      </c>
      <c r="I162" s="19">
        <f t="shared" si="2"/>
        <v>4</v>
      </c>
      <c r="J162" s="67"/>
      <c r="K162" s="44" t="str">
        <f>IF($B162="","",IFERROR(VLOOKUP($B162,Tiendas!$A$4:$B$176,2,FALSE),""))</f>
        <v>CHRISTIAN</v>
      </c>
      <c r="L162" s="68" t="s">
        <v>296</v>
      </c>
      <c r="M162" s="44" t="str">
        <f>IF($B162="","",IFERROR(VLOOKUP($B162,Tiendas!$A$4:$I$176,9,FALSE),""))</f>
        <v>No</v>
      </c>
      <c r="N162" s="71">
        <f t="shared" si="3"/>
        <v>0</v>
      </c>
      <c r="O162" s="71">
        <f t="shared" si="4"/>
        <v>0</v>
      </c>
    </row>
    <row r="163" ht="15.75" customHeight="1">
      <c r="A163" s="17">
        <v>46023.0</v>
      </c>
      <c r="B163" s="44" t="s">
        <v>201</v>
      </c>
      <c r="C163" s="44" t="s">
        <v>38</v>
      </c>
      <c r="D163" s="45" t="s">
        <v>295</v>
      </c>
      <c r="E163" s="19">
        <f>IF($D163&lt;&gt;"Entregado",0,IF($C163="","",VLOOKUP($C163,'DATA DE TARIFA'!$A$4:$C$68,2,FALSE)/1.18))</f>
        <v>8.474576271</v>
      </c>
      <c r="F163" s="19">
        <f>IF($C163="","",IF($D163="",0,VLOOKUP($C163,'DATA DE TARIFA'!$A$4:$C$68,3,FALSE)))</f>
        <v>4</v>
      </c>
      <c r="G163" s="66">
        <v>0.0</v>
      </c>
      <c r="H163" s="19">
        <f t="shared" si="1"/>
        <v>8.474576271</v>
      </c>
      <c r="I163" s="19">
        <f t="shared" si="2"/>
        <v>4</v>
      </c>
      <c r="J163" s="67"/>
      <c r="K163" s="44" t="str">
        <f>IF($B163="","",IFERROR(VLOOKUP($B163,Tiendas!$A$4:$B$176,2,FALSE),""))</f>
        <v>CHRISTIAN</v>
      </c>
      <c r="L163" s="68" t="s">
        <v>296</v>
      </c>
      <c r="M163" s="44" t="str">
        <f>IF($B163="","",IFERROR(VLOOKUP($B163,Tiendas!$A$4:$I$176,9,FALSE),""))</f>
        <v>No</v>
      </c>
      <c r="N163" s="71">
        <f t="shared" si="3"/>
        <v>0</v>
      </c>
      <c r="O163" s="71">
        <f t="shared" si="4"/>
        <v>0</v>
      </c>
    </row>
    <row r="164" ht="15.75" customHeight="1">
      <c r="A164" s="17">
        <v>46023.0</v>
      </c>
      <c r="B164" s="44" t="s">
        <v>266</v>
      </c>
      <c r="C164" s="44" t="s">
        <v>23</v>
      </c>
      <c r="D164" s="45" t="s">
        <v>295</v>
      </c>
      <c r="E164" s="19">
        <f>IF($D164&lt;&gt;"Entregado",0,IF($C164="","",VLOOKUP($C164,'DATA DE TARIFA'!$A$4:$C$68,2,FALSE)/1.18))</f>
        <v>8.474576271</v>
      </c>
      <c r="F164" s="19">
        <f>IF($C164="","",IF($D164="",0,VLOOKUP($C164,'DATA DE TARIFA'!$A$4:$C$68,3,FALSE)))</f>
        <v>4.5</v>
      </c>
      <c r="G164" s="66">
        <v>0.0</v>
      </c>
      <c r="H164" s="19">
        <f t="shared" si="1"/>
        <v>8.474576271</v>
      </c>
      <c r="I164" s="19">
        <f t="shared" si="2"/>
        <v>4.5</v>
      </c>
      <c r="J164" s="67"/>
      <c r="K164" s="44" t="str">
        <f>IF($B164="","",IFERROR(VLOOKUP($B164,Tiendas!$A$4:$B$176,2,FALSE),""))</f>
        <v>CHRISTIAN</v>
      </c>
      <c r="L164" s="68" t="s">
        <v>296</v>
      </c>
      <c r="M164" s="44" t="str">
        <f>IF($B164="","",IFERROR(VLOOKUP($B164,Tiendas!$A$4:$I$176,9,FALSE),""))</f>
        <v>No</v>
      </c>
      <c r="N164" s="71">
        <f t="shared" si="3"/>
        <v>0</v>
      </c>
      <c r="O164" s="71">
        <f t="shared" si="4"/>
        <v>0</v>
      </c>
    </row>
    <row r="165" ht="15.75" customHeight="1">
      <c r="A165" s="17">
        <v>46023.0</v>
      </c>
      <c r="B165" s="44" t="s">
        <v>266</v>
      </c>
      <c r="C165" s="44" t="s">
        <v>21</v>
      </c>
      <c r="D165" s="45" t="s">
        <v>295</v>
      </c>
      <c r="E165" s="19">
        <f>IF($D165&lt;&gt;"Entregado",0,IF($C165="","",VLOOKUP($C165,'DATA DE TARIFA'!$A$4:$C$68,2,FALSE)/1.18))</f>
        <v>10.16949153</v>
      </c>
      <c r="F165" s="19">
        <f>IF($C165="","",IF($D165="",0,VLOOKUP($C165,'DATA DE TARIFA'!$A$4:$C$68,3,FALSE)))</f>
        <v>4.5</v>
      </c>
      <c r="G165" s="66">
        <v>0.0</v>
      </c>
      <c r="H165" s="19">
        <f t="shared" si="1"/>
        <v>10.16949153</v>
      </c>
      <c r="I165" s="19">
        <f t="shared" si="2"/>
        <v>4.5</v>
      </c>
      <c r="J165" s="67"/>
      <c r="K165" s="44" t="str">
        <f>IF($B165="","",IFERROR(VLOOKUP($B165,Tiendas!$A$4:$B$176,2,FALSE),""))</f>
        <v>CHRISTIAN</v>
      </c>
      <c r="L165" s="68" t="s">
        <v>296</v>
      </c>
      <c r="M165" s="44" t="str">
        <f>IF($B165="","",IFERROR(VLOOKUP($B165,Tiendas!$A$4:$I$176,9,FALSE),""))</f>
        <v>No</v>
      </c>
      <c r="N165" s="71">
        <f t="shared" si="3"/>
        <v>0</v>
      </c>
      <c r="O165" s="71">
        <f t="shared" si="4"/>
        <v>0</v>
      </c>
    </row>
    <row r="166" ht="15.75" customHeight="1">
      <c r="A166" s="17">
        <v>46023.0</v>
      </c>
      <c r="B166" s="44" t="s">
        <v>266</v>
      </c>
      <c r="C166" s="44" t="s">
        <v>34</v>
      </c>
      <c r="D166" s="45" t="s">
        <v>295</v>
      </c>
      <c r="E166" s="19">
        <f>IF($D166&lt;&gt;"Entregado",0,IF($C166="","",VLOOKUP($C166,'DATA DE TARIFA'!$A$4:$C$68,2,FALSE)/1.18))</f>
        <v>10.16949153</v>
      </c>
      <c r="F166" s="19">
        <f>IF($C166="","",IF($D166="",0,VLOOKUP($C166,'DATA DE TARIFA'!$A$4:$C$68,3,FALSE)))</f>
        <v>4.5</v>
      </c>
      <c r="G166" s="66">
        <v>0.0</v>
      </c>
      <c r="H166" s="19">
        <f t="shared" si="1"/>
        <v>10.16949153</v>
      </c>
      <c r="I166" s="19">
        <f t="shared" si="2"/>
        <v>4.5</v>
      </c>
      <c r="J166" s="67"/>
      <c r="K166" s="44" t="str">
        <f>IF($B166="","",IFERROR(VLOOKUP($B166,Tiendas!$A$4:$B$176,2,FALSE),""))</f>
        <v>CHRISTIAN</v>
      </c>
      <c r="L166" s="68" t="s">
        <v>296</v>
      </c>
      <c r="M166" s="44" t="str">
        <f>IF($B166="","",IFERROR(VLOOKUP($B166,Tiendas!$A$4:$I$176,9,FALSE),""))</f>
        <v>No</v>
      </c>
      <c r="N166" s="71">
        <f t="shared" si="3"/>
        <v>0</v>
      </c>
      <c r="O166" s="71">
        <f t="shared" si="4"/>
        <v>0</v>
      </c>
    </row>
    <row r="167" ht="15.75" customHeight="1">
      <c r="A167" s="17">
        <v>46023.0</v>
      </c>
      <c r="B167" s="44" t="s">
        <v>266</v>
      </c>
      <c r="C167" s="44" t="s">
        <v>44</v>
      </c>
      <c r="D167" s="45" t="s">
        <v>295</v>
      </c>
      <c r="E167" s="19">
        <f>IF($D167&lt;&gt;"Entregado",0,IF($C167="","",VLOOKUP($C167,'DATA DE TARIFA'!$A$4:$C$68,2,FALSE)/1.18))</f>
        <v>10.16949153</v>
      </c>
      <c r="F167" s="19">
        <f>IF($C167="","",IF($D167="",0,VLOOKUP($C167,'DATA DE TARIFA'!$A$4:$C$68,3,FALSE)))</f>
        <v>5.5</v>
      </c>
      <c r="G167" s="66">
        <v>0.0</v>
      </c>
      <c r="H167" s="19">
        <f t="shared" si="1"/>
        <v>10.16949153</v>
      </c>
      <c r="I167" s="19">
        <f t="shared" si="2"/>
        <v>5.5</v>
      </c>
      <c r="J167" s="67"/>
      <c r="K167" s="44" t="str">
        <f>IF($B167="","",IFERROR(VLOOKUP($B167,Tiendas!$A$4:$B$176,2,FALSE),""))</f>
        <v>CHRISTIAN</v>
      </c>
      <c r="L167" s="68" t="s">
        <v>296</v>
      </c>
      <c r="M167" s="44" t="str">
        <f>IF($B167="","",IFERROR(VLOOKUP($B167,Tiendas!$A$4:$I$176,9,FALSE),""))</f>
        <v>No</v>
      </c>
      <c r="N167" s="71">
        <f t="shared" si="3"/>
        <v>0</v>
      </c>
      <c r="O167" s="71">
        <f t="shared" si="4"/>
        <v>0</v>
      </c>
    </row>
    <row r="168" ht="15.75" customHeight="1">
      <c r="A168" s="17">
        <v>46023.0</v>
      </c>
      <c r="B168" s="44" t="s">
        <v>266</v>
      </c>
      <c r="C168" s="44" t="s">
        <v>55</v>
      </c>
      <c r="D168" s="45" t="s">
        <v>295</v>
      </c>
      <c r="E168" s="19">
        <f>IF($D168&lt;&gt;"Entregado",0,IF($C168="","",VLOOKUP($C168,'DATA DE TARIFA'!$A$4:$C$68,2,FALSE)/1.18))</f>
        <v>8.474576271</v>
      </c>
      <c r="F168" s="19">
        <f>IF($C168="","",IF($D168="",0,VLOOKUP($C168,'DATA DE TARIFA'!$A$4:$C$68,3,FALSE)))</f>
        <v>4</v>
      </c>
      <c r="G168" s="66">
        <v>0.0</v>
      </c>
      <c r="H168" s="19">
        <f t="shared" si="1"/>
        <v>8.474576271</v>
      </c>
      <c r="I168" s="19">
        <f t="shared" si="2"/>
        <v>4</v>
      </c>
      <c r="J168" s="67"/>
      <c r="K168" s="44" t="str">
        <f>IF($B168="","",IFERROR(VLOOKUP($B168,Tiendas!$A$4:$B$176,2,FALSE),""))</f>
        <v>CHRISTIAN</v>
      </c>
      <c r="L168" s="68" t="s">
        <v>296</v>
      </c>
      <c r="M168" s="44" t="str">
        <f>IF($B168="","",IFERROR(VLOOKUP($B168,Tiendas!$A$4:$I$176,9,FALSE),""))</f>
        <v>No</v>
      </c>
      <c r="N168" s="71">
        <f t="shared" si="3"/>
        <v>0</v>
      </c>
      <c r="O168" s="71">
        <f t="shared" si="4"/>
        <v>0</v>
      </c>
    </row>
    <row r="169" ht="15.75" customHeight="1">
      <c r="A169" s="17">
        <v>46023.0</v>
      </c>
      <c r="B169" s="44" t="s">
        <v>266</v>
      </c>
      <c r="C169" s="44" t="s">
        <v>23</v>
      </c>
      <c r="D169" s="45" t="s">
        <v>295</v>
      </c>
      <c r="E169" s="19">
        <f>IF($D169&lt;&gt;"Entregado",0,IF($C169="","",VLOOKUP($C169,'DATA DE TARIFA'!$A$4:$C$68,2,FALSE)/1.18))</f>
        <v>8.474576271</v>
      </c>
      <c r="F169" s="19">
        <f>IF($C169="","",IF($D169="",0,VLOOKUP($C169,'DATA DE TARIFA'!$A$4:$C$68,3,FALSE)))</f>
        <v>4.5</v>
      </c>
      <c r="G169" s="66">
        <v>0.0</v>
      </c>
      <c r="H169" s="19">
        <f t="shared" si="1"/>
        <v>8.474576271</v>
      </c>
      <c r="I169" s="19">
        <f t="shared" si="2"/>
        <v>4.5</v>
      </c>
      <c r="J169" s="67"/>
      <c r="K169" s="44" t="str">
        <f>IF($B169="","",IFERROR(VLOOKUP($B169,Tiendas!$A$4:$B$176,2,FALSE),""))</f>
        <v>CHRISTIAN</v>
      </c>
      <c r="L169" s="68" t="s">
        <v>296</v>
      </c>
      <c r="M169" s="44" t="str">
        <f>IF($B169="","",IFERROR(VLOOKUP($B169,Tiendas!$A$4:$I$176,9,FALSE),""))</f>
        <v>No</v>
      </c>
      <c r="N169" s="71">
        <f t="shared" si="3"/>
        <v>0</v>
      </c>
      <c r="O169" s="71">
        <f t="shared" si="4"/>
        <v>0</v>
      </c>
    </row>
    <row r="170" ht="15.75" customHeight="1">
      <c r="A170" s="17">
        <v>46023.0</v>
      </c>
      <c r="B170" s="44" t="s">
        <v>266</v>
      </c>
      <c r="C170" s="44" t="s">
        <v>23</v>
      </c>
      <c r="D170" s="45" t="s">
        <v>295</v>
      </c>
      <c r="E170" s="19">
        <f>IF($D170&lt;&gt;"Entregado",0,IF($C170="","",VLOOKUP($C170,'DATA DE TARIFA'!$A$4:$C$68,2,FALSE)/1.18))</f>
        <v>8.474576271</v>
      </c>
      <c r="F170" s="19">
        <f>IF($C170="","",IF($D170="",0,VLOOKUP($C170,'DATA DE TARIFA'!$A$4:$C$68,3,FALSE)))</f>
        <v>4.5</v>
      </c>
      <c r="G170" s="66">
        <v>0.0</v>
      </c>
      <c r="H170" s="19">
        <f t="shared" si="1"/>
        <v>8.474576271</v>
      </c>
      <c r="I170" s="19">
        <f t="shared" si="2"/>
        <v>4.5</v>
      </c>
      <c r="J170" s="67"/>
      <c r="K170" s="44" t="str">
        <f>IF($B170="","",IFERROR(VLOOKUP($B170,Tiendas!$A$4:$B$176,2,FALSE),""))</f>
        <v>CHRISTIAN</v>
      </c>
      <c r="L170" s="68" t="s">
        <v>296</v>
      </c>
      <c r="M170" s="44" t="str">
        <f>IF($B170="","",IFERROR(VLOOKUP($B170,Tiendas!$A$4:$I$176,9,FALSE),""))</f>
        <v>No</v>
      </c>
      <c r="N170" s="71">
        <f t="shared" si="3"/>
        <v>0</v>
      </c>
      <c r="O170" s="71">
        <f t="shared" si="4"/>
        <v>0</v>
      </c>
    </row>
    <row r="171" ht="15.75" customHeight="1">
      <c r="A171" s="17">
        <v>46023.0</v>
      </c>
      <c r="B171" s="44" t="s">
        <v>266</v>
      </c>
      <c r="C171" s="44" t="s">
        <v>61</v>
      </c>
      <c r="D171" s="45" t="s">
        <v>295</v>
      </c>
      <c r="E171" s="19">
        <f>IF($D171&lt;&gt;"Entregado",0,IF($C171="","",VLOOKUP($C171,'DATA DE TARIFA'!$A$4:$C$68,2,FALSE)/1.18))</f>
        <v>8.474576271</v>
      </c>
      <c r="F171" s="19">
        <f>IF($C171="","",IF($D171="",0,VLOOKUP($C171,'DATA DE TARIFA'!$A$4:$C$68,3,FALSE)))</f>
        <v>4.5</v>
      </c>
      <c r="G171" s="66">
        <v>0.0</v>
      </c>
      <c r="H171" s="19">
        <f t="shared" si="1"/>
        <v>8.474576271</v>
      </c>
      <c r="I171" s="19">
        <f t="shared" si="2"/>
        <v>4.5</v>
      </c>
      <c r="J171" s="67"/>
      <c r="K171" s="44" t="str">
        <f>IF($B171="","",IFERROR(VLOOKUP($B171,Tiendas!$A$4:$B$176,2,FALSE),""))</f>
        <v>CHRISTIAN</v>
      </c>
      <c r="L171" s="68" t="s">
        <v>296</v>
      </c>
      <c r="M171" s="44" t="str">
        <f>IF($B171="","",IFERROR(VLOOKUP($B171,Tiendas!$A$4:$I$176,9,FALSE),""))</f>
        <v>No</v>
      </c>
      <c r="N171" s="71">
        <f t="shared" si="3"/>
        <v>0</v>
      </c>
      <c r="O171" s="71">
        <f t="shared" si="4"/>
        <v>0</v>
      </c>
    </row>
    <row r="172" ht="15.75" customHeight="1">
      <c r="A172" s="17">
        <v>46023.0</v>
      </c>
      <c r="B172" s="44" t="s">
        <v>266</v>
      </c>
      <c r="C172" s="44" t="s">
        <v>42</v>
      </c>
      <c r="D172" s="45" t="s">
        <v>295</v>
      </c>
      <c r="E172" s="19">
        <f>IF($D172&lt;&gt;"Entregado",0,IF($C172="","",VLOOKUP($C172,'DATA DE TARIFA'!$A$4:$C$68,2,FALSE)/1.18))</f>
        <v>8.474576271</v>
      </c>
      <c r="F172" s="19">
        <f>IF($C172="","",IF($D172="",0,VLOOKUP($C172,'DATA DE TARIFA'!$A$4:$C$68,3,FALSE)))</f>
        <v>4</v>
      </c>
      <c r="G172" s="66">
        <v>0.0</v>
      </c>
      <c r="H172" s="19">
        <f t="shared" si="1"/>
        <v>8.474576271</v>
      </c>
      <c r="I172" s="19">
        <f t="shared" si="2"/>
        <v>4</v>
      </c>
      <c r="J172" s="67"/>
      <c r="K172" s="44" t="str">
        <f>IF($B172="","",IFERROR(VLOOKUP($B172,Tiendas!$A$4:$B$176,2,FALSE),""))</f>
        <v>CHRISTIAN</v>
      </c>
      <c r="L172" s="68" t="s">
        <v>296</v>
      </c>
      <c r="M172" s="44" t="str">
        <f>IF($B172="","",IFERROR(VLOOKUP($B172,Tiendas!$A$4:$I$176,9,FALSE),""))</f>
        <v>No</v>
      </c>
      <c r="N172" s="71">
        <f t="shared" si="3"/>
        <v>0</v>
      </c>
      <c r="O172" s="71">
        <f t="shared" si="4"/>
        <v>0</v>
      </c>
    </row>
    <row r="173" ht="15.75" customHeight="1">
      <c r="A173" s="17">
        <v>46023.0</v>
      </c>
      <c r="B173" s="44" t="s">
        <v>224</v>
      </c>
      <c r="C173" s="44" t="s">
        <v>26</v>
      </c>
      <c r="D173" s="45" t="s">
        <v>295</v>
      </c>
      <c r="E173" s="19">
        <f>IF($D173&lt;&gt;"Entregado",0,IF($C173="","",VLOOKUP($C173,'DATA DE TARIFA'!$A$4:$C$68,2,FALSE)/1.18))</f>
        <v>10.16949153</v>
      </c>
      <c r="F173" s="19">
        <f>IF($C173="","",IF($D173="",0,VLOOKUP($C173,'DATA DE TARIFA'!$A$4:$C$68,3,FALSE)))</f>
        <v>5</v>
      </c>
      <c r="G173" s="66">
        <v>0.0</v>
      </c>
      <c r="H173" s="19">
        <f t="shared" si="1"/>
        <v>10.16949153</v>
      </c>
      <c r="I173" s="19">
        <f t="shared" si="2"/>
        <v>5</v>
      </c>
      <c r="J173" s="67"/>
      <c r="K173" s="44" t="str">
        <f>IF($B173="","",IFERROR(VLOOKUP($B173,Tiendas!$A$4:$B$176,2,FALSE),""))</f>
        <v>CHRISTIAN</v>
      </c>
      <c r="L173" s="68" t="s">
        <v>296</v>
      </c>
      <c r="M173" s="44" t="str">
        <f>IF($B173="","",IFERROR(VLOOKUP($B173,Tiendas!$A$4:$I$176,9,FALSE),""))</f>
        <v>No</v>
      </c>
      <c r="N173" s="71">
        <f t="shared" si="3"/>
        <v>0</v>
      </c>
      <c r="O173" s="71">
        <f t="shared" si="4"/>
        <v>0</v>
      </c>
    </row>
    <row r="174" ht="15.75" customHeight="1">
      <c r="A174" s="17">
        <v>46023.0</v>
      </c>
      <c r="B174" s="44" t="s">
        <v>224</v>
      </c>
      <c r="C174" s="44" t="s">
        <v>24</v>
      </c>
      <c r="D174" s="45" t="s">
        <v>295</v>
      </c>
      <c r="E174" s="19">
        <f>IF($D174&lt;&gt;"Entregado",0,IF($C174="","",VLOOKUP($C174,'DATA DE TARIFA'!$A$4:$C$68,2,FALSE)/1.18))</f>
        <v>8.474576271</v>
      </c>
      <c r="F174" s="19">
        <f>IF($C174="","",IF($D174="",0,VLOOKUP($C174,'DATA DE TARIFA'!$A$4:$C$68,3,FALSE)))</f>
        <v>4.5</v>
      </c>
      <c r="G174" s="66">
        <v>0.0</v>
      </c>
      <c r="H174" s="19">
        <f t="shared" si="1"/>
        <v>8.474576271</v>
      </c>
      <c r="I174" s="19">
        <f t="shared" si="2"/>
        <v>4.5</v>
      </c>
      <c r="J174" s="67"/>
      <c r="K174" s="44" t="str">
        <f>IF($B174="","",IFERROR(VLOOKUP($B174,Tiendas!$A$4:$B$176,2,FALSE),""))</f>
        <v>CHRISTIAN</v>
      </c>
      <c r="L174" s="68" t="s">
        <v>296</v>
      </c>
      <c r="M174" s="44" t="str">
        <f>IF($B174="","",IFERROR(VLOOKUP($B174,Tiendas!$A$4:$I$176,9,FALSE),""))</f>
        <v>No</v>
      </c>
      <c r="N174" s="71">
        <f t="shared" si="3"/>
        <v>0</v>
      </c>
      <c r="O174" s="71">
        <f t="shared" si="4"/>
        <v>0</v>
      </c>
    </row>
    <row r="175" ht="15.75" customHeight="1">
      <c r="A175" s="17">
        <v>46023.0</v>
      </c>
      <c r="B175" s="44" t="s">
        <v>224</v>
      </c>
      <c r="C175" s="44" t="s">
        <v>34</v>
      </c>
      <c r="D175" s="45" t="s">
        <v>295</v>
      </c>
      <c r="E175" s="19">
        <f>IF($D175&lt;&gt;"Entregado",0,IF($C175="","",VLOOKUP($C175,'DATA DE TARIFA'!$A$4:$C$68,2,FALSE)/1.18))</f>
        <v>10.16949153</v>
      </c>
      <c r="F175" s="19">
        <f>IF($C175="","",IF($D175="",0,VLOOKUP($C175,'DATA DE TARIFA'!$A$4:$C$68,3,FALSE)))</f>
        <v>4.5</v>
      </c>
      <c r="G175" s="66">
        <v>0.0</v>
      </c>
      <c r="H175" s="19">
        <f t="shared" si="1"/>
        <v>10.16949153</v>
      </c>
      <c r="I175" s="19">
        <f t="shared" si="2"/>
        <v>4.5</v>
      </c>
      <c r="J175" s="67"/>
      <c r="K175" s="44" t="str">
        <f>IF($B175="","",IFERROR(VLOOKUP($B175,Tiendas!$A$4:$B$176,2,FALSE),""))</f>
        <v>CHRISTIAN</v>
      </c>
      <c r="L175" s="68" t="s">
        <v>296</v>
      </c>
      <c r="M175" s="44" t="str">
        <f>IF($B175="","",IFERROR(VLOOKUP($B175,Tiendas!$A$4:$I$176,9,FALSE),""))</f>
        <v>No</v>
      </c>
      <c r="N175" s="71">
        <f t="shared" si="3"/>
        <v>0</v>
      </c>
      <c r="O175" s="71">
        <f t="shared" si="4"/>
        <v>0</v>
      </c>
    </row>
    <row r="176" ht="15.75" customHeight="1">
      <c r="A176" s="17">
        <v>46023.0</v>
      </c>
      <c r="B176" s="44" t="s">
        <v>224</v>
      </c>
      <c r="C176" s="44" t="s">
        <v>30</v>
      </c>
      <c r="D176" s="45" t="s">
        <v>295</v>
      </c>
      <c r="E176" s="19">
        <f>IF($D176&lt;&gt;"Entregado",0,IF($C176="","",VLOOKUP($C176,'DATA DE TARIFA'!$A$4:$C$68,2,FALSE)/1.18))</f>
        <v>8.474576271</v>
      </c>
      <c r="F176" s="19">
        <f>IF($C176="","",IF($D176="",0,VLOOKUP($C176,'DATA DE TARIFA'!$A$4:$C$68,3,FALSE)))</f>
        <v>4.5</v>
      </c>
      <c r="G176" s="66">
        <v>0.0</v>
      </c>
      <c r="H176" s="19">
        <f t="shared" si="1"/>
        <v>8.474576271</v>
      </c>
      <c r="I176" s="19">
        <f t="shared" si="2"/>
        <v>4.5</v>
      </c>
      <c r="J176" s="67"/>
      <c r="K176" s="44" t="str">
        <f>IF($B176="","",IFERROR(VLOOKUP($B176,Tiendas!$A$4:$B$176,2,FALSE),""))</f>
        <v>CHRISTIAN</v>
      </c>
      <c r="L176" s="68" t="s">
        <v>296</v>
      </c>
      <c r="M176" s="44" t="str">
        <f>IF($B176="","",IFERROR(VLOOKUP($B176,Tiendas!$A$4:$I$176,9,FALSE),""))</f>
        <v>No</v>
      </c>
      <c r="N176" s="71">
        <f t="shared" si="3"/>
        <v>0</v>
      </c>
      <c r="O176" s="71">
        <f t="shared" si="4"/>
        <v>0</v>
      </c>
    </row>
    <row r="177" ht="15.75" customHeight="1">
      <c r="A177" s="17">
        <v>46023.0</v>
      </c>
      <c r="B177" s="44" t="s">
        <v>224</v>
      </c>
      <c r="C177" s="44" t="s">
        <v>30</v>
      </c>
      <c r="D177" s="45" t="s">
        <v>295</v>
      </c>
      <c r="E177" s="19">
        <f>IF($D177&lt;&gt;"Entregado",0,IF($C177="","",VLOOKUP($C177,'DATA DE TARIFA'!$A$4:$C$68,2,FALSE)/1.18))</f>
        <v>8.474576271</v>
      </c>
      <c r="F177" s="19">
        <f>IF($C177="","",IF($D177="",0,VLOOKUP($C177,'DATA DE TARIFA'!$A$4:$C$68,3,FALSE)))</f>
        <v>4.5</v>
      </c>
      <c r="G177" s="66">
        <v>0.0</v>
      </c>
      <c r="H177" s="19">
        <f t="shared" si="1"/>
        <v>8.474576271</v>
      </c>
      <c r="I177" s="19">
        <f t="shared" si="2"/>
        <v>4.5</v>
      </c>
      <c r="J177" s="67"/>
      <c r="K177" s="44" t="str">
        <f>IF($B177="","",IFERROR(VLOOKUP($B177,Tiendas!$A$4:$B$176,2,FALSE),""))</f>
        <v>CHRISTIAN</v>
      </c>
      <c r="L177" s="68" t="s">
        <v>296</v>
      </c>
      <c r="M177" s="44" t="str">
        <f>IF($B177="","",IFERROR(VLOOKUP($B177,Tiendas!$A$4:$I$176,9,FALSE),""))</f>
        <v>No</v>
      </c>
      <c r="N177" s="71">
        <f t="shared" si="3"/>
        <v>0</v>
      </c>
      <c r="O177" s="71">
        <f t="shared" si="4"/>
        <v>0</v>
      </c>
    </row>
    <row r="178" ht="15.75" customHeight="1">
      <c r="A178" s="17">
        <v>46023.0</v>
      </c>
      <c r="B178" s="44" t="s">
        <v>224</v>
      </c>
      <c r="C178" s="44" t="s">
        <v>36</v>
      </c>
      <c r="D178" s="45" t="s">
        <v>295</v>
      </c>
      <c r="E178" s="19">
        <f>IF($D178&lt;&gt;"Entregado",0,IF($C178="","",VLOOKUP($C178,'DATA DE TARIFA'!$A$4:$C$68,2,FALSE)/1.18))</f>
        <v>10.16949153</v>
      </c>
      <c r="F178" s="19">
        <f>IF($C178="","",IF($D178="",0,VLOOKUP($C178,'DATA DE TARIFA'!$A$4:$C$68,3,FALSE)))</f>
        <v>4.5</v>
      </c>
      <c r="G178" s="66">
        <v>0.0</v>
      </c>
      <c r="H178" s="19">
        <f t="shared" si="1"/>
        <v>10.16949153</v>
      </c>
      <c r="I178" s="19">
        <f t="shared" si="2"/>
        <v>4.5</v>
      </c>
      <c r="J178" s="67"/>
      <c r="K178" s="44" t="str">
        <f>IF($B178="","",IFERROR(VLOOKUP($B178,Tiendas!$A$4:$B$176,2,FALSE),""))</f>
        <v>CHRISTIAN</v>
      </c>
      <c r="L178" s="68" t="s">
        <v>296</v>
      </c>
      <c r="M178" s="44" t="str">
        <f>IF($B178="","",IFERROR(VLOOKUP($B178,Tiendas!$A$4:$I$176,9,FALSE),""))</f>
        <v>No</v>
      </c>
      <c r="N178" s="71">
        <f t="shared" si="3"/>
        <v>0</v>
      </c>
      <c r="O178" s="71">
        <f t="shared" si="4"/>
        <v>0</v>
      </c>
    </row>
    <row r="179" ht="15.75" customHeight="1">
      <c r="A179" s="17">
        <v>46023.0</v>
      </c>
      <c r="B179" s="44" t="s">
        <v>224</v>
      </c>
      <c r="C179" s="44" t="s">
        <v>32</v>
      </c>
      <c r="D179" s="45" t="s">
        <v>295</v>
      </c>
      <c r="E179" s="19">
        <f>IF($D179&lt;&gt;"Entregado",0,IF($C179="","",VLOOKUP($C179,'DATA DE TARIFA'!$A$4:$C$68,2,FALSE)/1.18))</f>
        <v>8.474576271</v>
      </c>
      <c r="F179" s="19">
        <f>IF($C179="","",IF($D179="",0,VLOOKUP($C179,'DATA DE TARIFA'!$A$4:$C$68,3,FALSE)))</f>
        <v>4.5</v>
      </c>
      <c r="G179" s="66">
        <v>0.0</v>
      </c>
      <c r="H179" s="19">
        <f t="shared" si="1"/>
        <v>8.474576271</v>
      </c>
      <c r="I179" s="19">
        <f t="shared" si="2"/>
        <v>4.5</v>
      </c>
      <c r="J179" s="67"/>
      <c r="K179" s="44" t="str">
        <f>IF($B179="","",IFERROR(VLOOKUP($B179,Tiendas!$A$4:$B$176,2,FALSE),""))</f>
        <v>CHRISTIAN</v>
      </c>
      <c r="L179" s="68" t="s">
        <v>296</v>
      </c>
      <c r="M179" s="44" t="str">
        <f>IF($B179="","",IFERROR(VLOOKUP($B179,Tiendas!$A$4:$I$176,9,FALSE),""))</f>
        <v>No</v>
      </c>
      <c r="N179" s="71">
        <f t="shared" si="3"/>
        <v>0</v>
      </c>
      <c r="O179" s="71">
        <f t="shared" si="4"/>
        <v>0</v>
      </c>
    </row>
    <row r="180" ht="15.75" customHeight="1">
      <c r="A180" s="17">
        <v>46023.0</v>
      </c>
      <c r="B180" s="44" t="s">
        <v>224</v>
      </c>
      <c r="C180" s="44" t="s">
        <v>15</v>
      </c>
      <c r="D180" s="45" t="s">
        <v>295</v>
      </c>
      <c r="E180" s="19">
        <f>IF($D180&lt;&gt;"Entregado",0,IF($C180="","",VLOOKUP($C180,'DATA DE TARIFA'!$A$4:$C$68,2,FALSE)/1.18))</f>
        <v>8.474576271</v>
      </c>
      <c r="F180" s="19">
        <f>IF($C180="","",IF($D180="",0,VLOOKUP($C180,'DATA DE TARIFA'!$A$4:$C$68,3,FALSE)))</f>
        <v>4.5</v>
      </c>
      <c r="G180" s="66">
        <v>0.0</v>
      </c>
      <c r="H180" s="19">
        <f t="shared" si="1"/>
        <v>8.474576271</v>
      </c>
      <c r="I180" s="19">
        <f t="shared" si="2"/>
        <v>4.5</v>
      </c>
      <c r="J180" s="67"/>
      <c r="K180" s="44" t="str">
        <f>IF($B180="","",IFERROR(VLOOKUP($B180,Tiendas!$A$4:$B$176,2,FALSE),""))</f>
        <v>CHRISTIAN</v>
      </c>
      <c r="L180" s="68" t="s">
        <v>296</v>
      </c>
      <c r="M180" s="44" t="str">
        <f>IF($B180="","",IFERROR(VLOOKUP($B180,Tiendas!$A$4:$I$176,9,FALSE),""))</f>
        <v>No</v>
      </c>
      <c r="N180" s="71">
        <f t="shared" si="3"/>
        <v>0</v>
      </c>
      <c r="O180" s="71">
        <f t="shared" si="4"/>
        <v>0</v>
      </c>
    </row>
    <row r="181" ht="15.75" customHeight="1">
      <c r="A181" s="17">
        <v>46023.0</v>
      </c>
      <c r="B181" s="44" t="s">
        <v>224</v>
      </c>
      <c r="C181" s="44" t="s">
        <v>64</v>
      </c>
      <c r="D181" s="45" t="s">
        <v>295</v>
      </c>
      <c r="E181" s="19">
        <f>IF($D181&lt;&gt;"Entregado",0,IF($C181="","",VLOOKUP($C181,'DATA DE TARIFA'!$A$4:$C$68,2,FALSE)/1.18))</f>
        <v>8.474576271</v>
      </c>
      <c r="F181" s="19">
        <f>IF($C181="","",IF($D181="",0,VLOOKUP($C181,'DATA DE TARIFA'!$A$4:$C$68,3,FALSE)))</f>
        <v>4.5</v>
      </c>
      <c r="G181" s="66">
        <v>0.0</v>
      </c>
      <c r="H181" s="19">
        <f t="shared" si="1"/>
        <v>8.474576271</v>
      </c>
      <c r="I181" s="19">
        <f t="shared" si="2"/>
        <v>4.5</v>
      </c>
      <c r="J181" s="67"/>
      <c r="K181" s="44" t="str">
        <f>IF($B181="","",IFERROR(VLOOKUP($B181,Tiendas!$A$4:$B$176,2,FALSE),""))</f>
        <v>CHRISTIAN</v>
      </c>
      <c r="L181" s="68" t="s">
        <v>296</v>
      </c>
      <c r="M181" s="44" t="str">
        <f>IF($B181="","",IFERROR(VLOOKUP($B181,Tiendas!$A$4:$I$176,9,FALSE),""))</f>
        <v>No</v>
      </c>
      <c r="N181" s="71">
        <f t="shared" si="3"/>
        <v>0</v>
      </c>
      <c r="O181" s="71">
        <f t="shared" si="4"/>
        <v>0</v>
      </c>
    </row>
    <row r="182" ht="15.75" customHeight="1">
      <c r="A182" s="17">
        <v>46023.0</v>
      </c>
      <c r="B182" s="44" t="s">
        <v>224</v>
      </c>
      <c r="C182" s="44" t="s">
        <v>36</v>
      </c>
      <c r="D182" s="45" t="s">
        <v>295</v>
      </c>
      <c r="E182" s="19">
        <f>IF($D182&lt;&gt;"Entregado",0,IF($C182="","",VLOOKUP($C182,'DATA DE TARIFA'!$A$4:$C$68,2,FALSE)/1.18))</f>
        <v>10.16949153</v>
      </c>
      <c r="F182" s="19">
        <f>IF($C182="","",IF($D182="",0,VLOOKUP($C182,'DATA DE TARIFA'!$A$4:$C$68,3,FALSE)))</f>
        <v>4.5</v>
      </c>
      <c r="G182" s="66">
        <v>0.0</v>
      </c>
      <c r="H182" s="19">
        <f t="shared" si="1"/>
        <v>10.16949153</v>
      </c>
      <c r="I182" s="19">
        <f t="shared" si="2"/>
        <v>4.5</v>
      </c>
      <c r="J182" s="67"/>
      <c r="K182" s="44" t="str">
        <f>IF($B182="","",IFERROR(VLOOKUP($B182,Tiendas!$A$4:$B$176,2,FALSE),""))</f>
        <v>CHRISTIAN</v>
      </c>
      <c r="L182" s="68" t="s">
        <v>296</v>
      </c>
      <c r="M182" s="44" t="str">
        <f>IF($B182="","",IFERROR(VLOOKUP($B182,Tiendas!$A$4:$I$176,9,FALSE),""))</f>
        <v>No</v>
      </c>
      <c r="N182" s="71">
        <f t="shared" si="3"/>
        <v>0</v>
      </c>
      <c r="O182" s="71">
        <f t="shared" si="4"/>
        <v>0</v>
      </c>
    </row>
    <row r="183" ht="15.75" customHeight="1">
      <c r="A183" s="17">
        <v>46023.0</v>
      </c>
      <c r="B183" s="44" t="s">
        <v>224</v>
      </c>
      <c r="C183" s="44" t="s">
        <v>38</v>
      </c>
      <c r="D183" s="45" t="s">
        <v>295</v>
      </c>
      <c r="E183" s="19">
        <f>IF($D183&lt;&gt;"Entregado",0,IF($C183="","",VLOOKUP($C183,'DATA DE TARIFA'!$A$4:$C$68,2,FALSE)/1.18))</f>
        <v>8.474576271</v>
      </c>
      <c r="F183" s="19">
        <f>IF($C183="","",IF($D183="",0,VLOOKUP($C183,'DATA DE TARIFA'!$A$4:$C$68,3,FALSE)))</f>
        <v>4</v>
      </c>
      <c r="G183" s="66">
        <v>0.0</v>
      </c>
      <c r="H183" s="19">
        <f t="shared" si="1"/>
        <v>8.474576271</v>
      </c>
      <c r="I183" s="19">
        <f t="shared" si="2"/>
        <v>4</v>
      </c>
      <c r="J183" s="67"/>
      <c r="K183" s="44" t="str">
        <f>IF($B183="","",IFERROR(VLOOKUP($B183,Tiendas!$A$4:$B$176,2,FALSE),""))</f>
        <v>CHRISTIAN</v>
      </c>
      <c r="L183" s="68" t="s">
        <v>296</v>
      </c>
      <c r="M183" s="44" t="str">
        <f>IF($B183="","",IFERROR(VLOOKUP($B183,Tiendas!$A$4:$I$176,9,FALSE),""))</f>
        <v>No</v>
      </c>
      <c r="N183" s="71">
        <f t="shared" si="3"/>
        <v>0</v>
      </c>
      <c r="O183" s="71">
        <f t="shared" si="4"/>
        <v>0</v>
      </c>
    </row>
    <row r="184" ht="15.75" customHeight="1">
      <c r="A184" s="17">
        <v>46023.0</v>
      </c>
      <c r="B184" s="44" t="s">
        <v>224</v>
      </c>
      <c r="C184" s="44" t="s">
        <v>38</v>
      </c>
      <c r="D184" s="45" t="s">
        <v>295</v>
      </c>
      <c r="E184" s="19">
        <f>IF($D184&lt;&gt;"Entregado",0,IF($C184="","",VLOOKUP($C184,'DATA DE TARIFA'!$A$4:$C$68,2,FALSE)/1.18))</f>
        <v>8.474576271</v>
      </c>
      <c r="F184" s="19">
        <f>IF($C184="","",IF($D184="",0,VLOOKUP($C184,'DATA DE TARIFA'!$A$4:$C$68,3,FALSE)))</f>
        <v>4</v>
      </c>
      <c r="G184" s="66">
        <v>0.0</v>
      </c>
      <c r="H184" s="19">
        <f t="shared" si="1"/>
        <v>8.474576271</v>
      </c>
      <c r="I184" s="19">
        <f t="shared" si="2"/>
        <v>4</v>
      </c>
      <c r="J184" s="67"/>
      <c r="K184" s="44" t="str">
        <f>IF($B184="","",IFERROR(VLOOKUP($B184,Tiendas!$A$4:$B$176,2,FALSE),""))</f>
        <v>CHRISTIAN</v>
      </c>
      <c r="L184" s="68" t="s">
        <v>296</v>
      </c>
      <c r="M184" s="44" t="str">
        <f>IF($B184="","",IFERROR(VLOOKUP($B184,Tiendas!$A$4:$I$176,9,FALSE),""))</f>
        <v>No</v>
      </c>
      <c r="N184" s="71">
        <f t="shared" si="3"/>
        <v>0</v>
      </c>
      <c r="O184" s="71">
        <f t="shared" si="4"/>
        <v>0</v>
      </c>
    </row>
    <row r="185" ht="15.75" customHeight="1">
      <c r="A185" s="17">
        <v>46023.0</v>
      </c>
      <c r="B185" s="44" t="s">
        <v>224</v>
      </c>
      <c r="C185" s="44" t="s">
        <v>67</v>
      </c>
      <c r="D185" s="45" t="s">
        <v>295</v>
      </c>
      <c r="E185" s="19">
        <f>IF($D185&lt;&gt;"Entregado",0,IF($C185="","",VLOOKUP($C185,'DATA DE TARIFA'!$A$4:$C$68,2,FALSE)/1.18))</f>
        <v>10.16949153</v>
      </c>
      <c r="F185" s="19">
        <f>IF($C185="","",IF($D185="",0,VLOOKUP($C185,'DATA DE TARIFA'!$A$4:$C$68,3,FALSE)))</f>
        <v>5.5</v>
      </c>
      <c r="G185" s="66">
        <v>0.0</v>
      </c>
      <c r="H185" s="19">
        <f t="shared" si="1"/>
        <v>10.16949153</v>
      </c>
      <c r="I185" s="19">
        <f t="shared" si="2"/>
        <v>5.5</v>
      </c>
      <c r="J185" s="67"/>
      <c r="K185" s="44" t="str">
        <f>IF($B185="","",IFERROR(VLOOKUP($B185,Tiendas!$A$4:$B$176,2,FALSE),""))</f>
        <v>CHRISTIAN</v>
      </c>
      <c r="L185" s="68" t="s">
        <v>296</v>
      </c>
      <c r="M185" s="44" t="str">
        <f>IF($B185="","",IFERROR(VLOOKUP($B185,Tiendas!$A$4:$I$176,9,FALSE),""))</f>
        <v>No</v>
      </c>
      <c r="N185" s="71">
        <f t="shared" si="3"/>
        <v>0</v>
      </c>
      <c r="O185" s="71">
        <f t="shared" si="4"/>
        <v>0</v>
      </c>
    </row>
    <row r="186" ht="15.75" customHeight="1">
      <c r="A186" s="17">
        <v>46023.0</v>
      </c>
      <c r="B186" s="44" t="s">
        <v>224</v>
      </c>
      <c r="C186" s="44" t="s">
        <v>36</v>
      </c>
      <c r="D186" s="45" t="s">
        <v>295</v>
      </c>
      <c r="E186" s="19">
        <f>IF($D186&lt;&gt;"Entregado",0,IF($C186="","",VLOOKUP($C186,'DATA DE TARIFA'!$A$4:$C$68,2,FALSE)/1.18))</f>
        <v>10.16949153</v>
      </c>
      <c r="F186" s="19">
        <f>IF($C186="","",IF($D186="",0,VLOOKUP($C186,'DATA DE TARIFA'!$A$4:$C$68,3,FALSE)))</f>
        <v>4.5</v>
      </c>
      <c r="G186" s="66">
        <v>0.0</v>
      </c>
      <c r="H186" s="19">
        <f t="shared" si="1"/>
        <v>10.16949153</v>
      </c>
      <c r="I186" s="19">
        <f t="shared" si="2"/>
        <v>4.5</v>
      </c>
      <c r="J186" s="67"/>
      <c r="K186" s="44" t="str">
        <f>IF($B186="","",IFERROR(VLOOKUP($B186,Tiendas!$A$4:$B$176,2,FALSE),""))</f>
        <v>CHRISTIAN</v>
      </c>
      <c r="L186" s="68" t="s">
        <v>296</v>
      </c>
      <c r="M186" s="44" t="str">
        <f>IF($B186="","",IFERROR(VLOOKUP($B186,Tiendas!$A$4:$I$176,9,FALSE),""))</f>
        <v>No</v>
      </c>
      <c r="N186" s="71">
        <f t="shared" si="3"/>
        <v>0</v>
      </c>
      <c r="O186" s="71">
        <f t="shared" si="4"/>
        <v>0</v>
      </c>
    </row>
    <row r="187" ht="15.75" customHeight="1">
      <c r="A187" s="17">
        <v>46023.0</v>
      </c>
      <c r="B187" s="44" t="s">
        <v>224</v>
      </c>
      <c r="C187" s="44" t="s">
        <v>18</v>
      </c>
      <c r="D187" s="45" t="s">
        <v>295</v>
      </c>
      <c r="E187" s="19">
        <f>IF($D187&lt;&gt;"Entregado",0,IF($C187="","",VLOOKUP($C187,'DATA DE TARIFA'!$A$4:$C$68,2,FALSE)/1.18))</f>
        <v>10.16949153</v>
      </c>
      <c r="F187" s="19">
        <f>IF($C187="","",IF($D187="",0,VLOOKUP($C187,'DATA DE TARIFA'!$A$4:$C$68,3,FALSE)))</f>
        <v>4.5</v>
      </c>
      <c r="G187" s="66">
        <v>1.0</v>
      </c>
      <c r="H187" s="19">
        <f t="shared" si="1"/>
        <v>10.16949153</v>
      </c>
      <c r="I187" s="19">
        <f t="shared" si="2"/>
        <v>5.5</v>
      </c>
      <c r="J187" s="67"/>
      <c r="K187" s="44" t="str">
        <f>IF($B187="","",IFERROR(VLOOKUP($B187,Tiendas!$A$4:$B$176,2,FALSE),""))</f>
        <v>CHRISTIAN</v>
      </c>
      <c r="L187" s="68" t="s">
        <v>296</v>
      </c>
      <c r="M187" s="44" t="str">
        <f>IF($B187="","",IFERROR(VLOOKUP($B187,Tiendas!$A$4:$I$176,9,FALSE),""))</f>
        <v>No</v>
      </c>
      <c r="N187" s="71">
        <f t="shared" si="3"/>
        <v>0</v>
      </c>
      <c r="O187" s="71">
        <f t="shared" si="4"/>
        <v>0</v>
      </c>
    </row>
    <row r="188" ht="15.75" customHeight="1">
      <c r="A188" s="17">
        <v>46023.0</v>
      </c>
      <c r="B188" s="44" t="s">
        <v>224</v>
      </c>
      <c r="C188" s="44" t="s">
        <v>67</v>
      </c>
      <c r="D188" s="45" t="s">
        <v>295</v>
      </c>
      <c r="E188" s="19">
        <f>IF($D188&lt;&gt;"Entregado",0,IF($C188="","",VLOOKUP($C188,'DATA DE TARIFA'!$A$4:$C$68,2,FALSE)/1.18))</f>
        <v>10.16949153</v>
      </c>
      <c r="F188" s="19">
        <f>IF($C188="","",IF($D188="",0,VLOOKUP($C188,'DATA DE TARIFA'!$A$4:$C$68,3,FALSE)))</f>
        <v>5.5</v>
      </c>
      <c r="G188" s="66">
        <v>0.0</v>
      </c>
      <c r="H188" s="19">
        <f t="shared" si="1"/>
        <v>10.16949153</v>
      </c>
      <c r="I188" s="19">
        <f t="shared" si="2"/>
        <v>5.5</v>
      </c>
      <c r="J188" s="67"/>
      <c r="K188" s="44" t="str">
        <f>IF($B188="","",IFERROR(VLOOKUP($B188,Tiendas!$A$4:$B$176,2,FALSE),""))</f>
        <v>CHRISTIAN</v>
      </c>
      <c r="L188" s="68" t="s">
        <v>296</v>
      </c>
      <c r="M188" s="44" t="str">
        <f>IF($B188="","",IFERROR(VLOOKUP($B188,Tiendas!$A$4:$I$176,9,FALSE),""))</f>
        <v>No</v>
      </c>
      <c r="N188" s="71">
        <f t="shared" si="3"/>
        <v>0</v>
      </c>
      <c r="O188" s="71">
        <f t="shared" si="4"/>
        <v>0</v>
      </c>
    </row>
    <row r="189" ht="15.75" customHeight="1">
      <c r="A189" s="17">
        <v>46023.0</v>
      </c>
      <c r="B189" s="44" t="s">
        <v>224</v>
      </c>
      <c r="C189" s="44" t="s">
        <v>69</v>
      </c>
      <c r="D189" s="45" t="s">
        <v>295</v>
      </c>
      <c r="E189" s="19">
        <f>IF($D189&lt;&gt;"Entregado",0,IF($C189="","",VLOOKUP($C189,'DATA DE TARIFA'!$A$4:$C$68,2,FALSE)/1.18))</f>
        <v>8.474576271</v>
      </c>
      <c r="F189" s="19">
        <f>IF($C189="","",IF($D189="",0,VLOOKUP($C189,'DATA DE TARIFA'!$A$4:$C$68,3,FALSE)))</f>
        <v>4</v>
      </c>
      <c r="G189" s="66">
        <v>0.0</v>
      </c>
      <c r="H189" s="19">
        <f t="shared" si="1"/>
        <v>8.474576271</v>
      </c>
      <c r="I189" s="19">
        <f t="shared" si="2"/>
        <v>4</v>
      </c>
      <c r="J189" s="67"/>
      <c r="K189" s="44" t="str">
        <f>IF($B189="","",IFERROR(VLOOKUP($B189,Tiendas!$A$4:$B$176,2,FALSE),""))</f>
        <v>CHRISTIAN</v>
      </c>
      <c r="L189" s="68" t="s">
        <v>296</v>
      </c>
      <c r="M189" s="44" t="str">
        <f>IF($B189="","",IFERROR(VLOOKUP($B189,Tiendas!$A$4:$I$176,9,FALSE),""))</f>
        <v>No</v>
      </c>
      <c r="N189" s="71">
        <f t="shared" si="3"/>
        <v>0</v>
      </c>
      <c r="O189" s="71">
        <f t="shared" si="4"/>
        <v>0</v>
      </c>
    </row>
    <row r="190" ht="15.75" customHeight="1">
      <c r="A190" s="17">
        <v>46023.0</v>
      </c>
      <c r="B190" s="44" t="s">
        <v>224</v>
      </c>
      <c r="C190" s="44" t="s">
        <v>32</v>
      </c>
      <c r="D190" s="45" t="s">
        <v>295</v>
      </c>
      <c r="E190" s="19">
        <f>IF($D190&lt;&gt;"Entregado",0,IF($C190="","",VLOOKUP($C190,'DATA DE TARIFA'!$A$4:$C$68,2,FALSE)/1.18))</f>
        <v>8.474576271</v>
      </c>
      <c r="F190" s="19">
        <f>IF($C190="","",IF($D190="",0,VLOOKUP($C190,'DATA DE TARIFA'!$A$4:$C$68,3,FALSE)))</f>
        <v>4.5</v>
      </c>
      <c r="G190" s="66">
        <v>0.0</v>
      </c>
      <c r="H190" s="19">
        <f t="shared" si="1"/>
        <v>8.474576271</v>
      </c>
      <c r="I190" s="19">
        <f t="shared" si="2"/>
        <v>4.5</v>
      </c>
      <c r="J190" s="67"/>
      <c r="K190" s="44" t="str">
        <f>IF($B190="","",IFERROR(VLOOKUP($B190,Tiendas!$A$4:$B$176,2,FALSE),""))</f>
        <v>CHRISTIAN</v>
      </c>
      <c r="L190" s="68" t="s">
        <v>296</v>
      </c>
      <c r="M190" s="44" t="str">
        <f>IF($B190="","",IFERROR(VLOOKUP($B190,Tiendas!$A$4:$I$176,9,FALSE),""))</f>
        <v>No</v>
      </c>
      <c r="N190" s="71">
        <f t="shared" si="3"/>
        <v>0</v>
      </c>
      <c r="O190" s="71">
        <f t="shared" si="4"/>
        <v>0</v>
      </c>
    </row>
    <row r="191" ht="15.75" customHeight="1">
      <c r="A191" s="17">
        <v>46023.0</v>
      </c>
      <c r="B191" s="44" t="s">
        <v>224</v>
      </c>
      <c r="C191" s="44" t="s">
        <v>69</v>
      </c>
      <c r="D191" s="45" t="s">
        <v>295</v>
      </c>
      <c r="E191" s="19">
        <f>IF($D191&lt;&gt;"Entregado",0,IF($C191="","",VLOOKUP($C191,'DATA DE TARIFA'!$A$4:$C$68,2,FALSE)/1.18))</f>
        <v>8.474576271</v>
      </c>
      <c r="F191" s="19">
        <f>IF($C191="","",IF($D191="",0,VLOOKUP($C191,'DATA DE TARIFA'!$A$4:$C$68,3,FALSE)))</f>
        <v>4</v>
      </c>
      <c r="G191" s="66">
        <v>0.0</v>
      </c>
      <c r="H191" s="19">
        <f t="shared" si="1"/>
        <v>8.474576271</v>
      </c>
      <c r="I191" s="19">
        <f t="shared" si="2"/>
        <v>4</v>
      </c>
      <c r="J191" s="67"/>
      <c r="K191" s="44" t="str">
        <f>IF($B191="","",IFERROR(VLOOKUP($B191,Tiendas!$A$4:$B$176,2,FALSE),""))</f>
        <v>CHRISTIAN</v>
      </c>
      <c r="L191" s="68" t="s">
        <v>296</v>
      </c>
      <c r="M191" s="44" t="str">
        <f>IF($B191="","",IFERROR(VLOOKUP($B191,Tiendas!$A$4:$I$176,9,FALSE),""))</f>
        <v>No</v>
      </c>
      <c r="N191" s="71">
        <f t="shared" si="3"/>
        <v>0</v>
      </c>
      <c r="O191" s="71">
        <f t="shared" si="4"/>
        <v>0</v>
      </c>
    </row>
    <row r="192" ht="15.75" customHeight="1">
      <c r="A192" s="17">
        <v>46023.0</v>
      </c>
      <c r="B192" s="44" t="s">
        <v>224</v>
      </c>
      <c r="C192" s="44" t="s">
        <v>21</v>
      </c>
      <c r="D192" s="45" t="s">
        <v>295</v>
      </c>
      <c r="E192" s="19">
        <f>IF($D192&lt;&gt;"Entregado",0,IF($C192="","",VLOOKUP($C192,'DATA DE TARIFA'!$A$4:$C$68,2,FALSE)/1.18))</f>
        <v>10.16949153</v>
      </c>
      <c r="F192" s="19">
        <f>IF($C192="","",IF($D192="",0,VLOOKUP($C192,'DATA DE TARIFA'!$A$4:$C$68,3,FALSE)))</f>
        <v>4.5</v>
      </c>
      <c r="G192" s="66">
        <v>0.0</v>
      </c>
      <c r="H192" s="19">
        <f t="shared" si="1"/>
        <v>10.16949153</v>
      </c>
      <c r="I192" s="19">
        <f t="shared" si="2"/>
        <v>4.5</v>
      </c>
      <c r="J192" s="67"/>
      <c r="K192" s="44" t="str">
        <f>IF($B192="","",IFERROR(VLOOKUP($B192,Tiendas!$A$4:$B$176,2,FALSE),""))</f>
        <v>CHRISTIAN</v>
      </c>
      <c r="L192" s="68" t="s">
        <v>296</v>
      </c>
      <c r="M192" s="44" t="str">
        <f>IF($B192="","",IFERROR(VLOOKUP($B192,Tiendas!$A$4:$I$176,9,FALSE),""))</f>
        <v>No</v>
      </c>
      <c r="N192" s="71">
        <f t="shared" si="3"/>
        <v>0</v>
      </c>
      <c r="O192" s="71">
        <f t="shared" si="4"/>
        <v>0</v>
      </c>
    </row>
    <row r="193" ht="15.75" customHeight="1">
      <c r="A193" s="17">
        <v>46023.0</v>
      </c>
      <c r="B193" s="44" t="s">
        <v>206</v>
      </c>
      <c r="C193" s="44" t="s">
        <v>15</v>
      </c>
      <c r="D193" s="45" t="s">
        <v>295</v>
      </c>
      <c r="E193" s="19">
        <f>IF($D193&lt;&gt;"Entregado",0,IF($C193="","",VLOOKUP($C193,'DATA DE TARIFA'!$A$4:$C$68,2,FALSE)/1.18))</f>
        <v>8.474576271</v>
      </c>
      <c r="F193" s="19">
        <f>IF($C193="","",IF($D193="",0,VLOOKUP($C193,'DATA DE TARIFA'!$A$4:$C$68,3,FALSE)))</f>
        <v>4.5</v>
      </c>
      <c r="G193" s="66">
        <v>0.0</v>
      </c>
      <c r="H193" s="19">
        <f t="shared" si="1"/>
        <v>8.474576271</v>
      </c>
      <c r="I193" s="19">
        <f t="shared" si="2"/>
        <v>4.5</v>
      </c>
      <c r="J193" s="67"/>
      <c r="K193" s="44" t="str">
        <f>IF($B193="","",IFERROR(VLOOKUP($B193,Tiendas!$A$4:$B$176,2,FALSE),""))</f>
        <v>CHRISTIAN</v>
      </c>
      <c r="L193" s="68" t="s">
        <v>296</v>
      </c>
      <c r="M193" s="44" t="str">
        <f>IF($B193="","",IFERROR(VLOOKUP($B193,Tiendas!$A$4:$I$176,9,FALSE),""))</f>
        <v>No</v>
      </c>
      <c r="N193" s="71">
        <f t="shared" si="3"/>
        <v>0</v>
      </c>
      <c r="O193" s="71">
        <f t="shared" si="4"/>
        <v>0</v>
      </c>
    </row>
    <row r="194" ht="15.75" customHeight="1">
      <c r="A194" s="17">
        <v>46023.0</v>
      </c>
      <c r="B194" s="44" t="s">
        <v>206</v>
      </c>
      <c r="C194" s="44" t="s">
        <v>15</v>
      </c>
      <c r="D194" s="45" t="s">
        <v>295</v>
      </c>
      <c r="E194" s="19">
        <f>IF($D194&lt;&gt;"Entregado",0,IF($C194="","",VLOOKUP($C194,'DATA DE TARIFA'!$A$4:$C$68,2,FALSE)/1.18))</f>
        <v>8.474576271</v>
      </c>
      <c r="F194" s="19">
        <f>IF($C194="","",IF($D194="",0,VLOOKUP($C194,'DATA DE TARIFA'!$A$4:$C$68,3,FALSE)))</f>
        <v>4.5</v>
      </c>
      <c r="G194" s="66">
        <v>0.0</v>
      </c>
      <c r="H194" s="19">
        <f t="shared" si="1"/>
        <v>8.474576271</v>
      </c>
      <c r="I194" s="19">
        <f t="shared" si="2"/>
        <v>4.5</v>
      </c>
      <c r="J194" s="67"/>
      <c r="K194" s="44" t="str">
        <f>IF($B194="","",IFERROR(VLOOKUP($B194,Tiendas!$A$4:$B$176,2,FALSE),""))</f>
        <v>CHRISTIAN</v>
      </c>
      <c r="L194" s="68" t="s">
        <v>296</v>
      </c>
      <c r="M194" s="44" t="str">
        <f>IF($B194="","",IFERROR(VLOOKUP($B194,Tiendas!$A$4:$I$176,9,FALSE),""))</f>
        <v>No</v>
      </c>
      <c r="N194" s="71">
        <f t="shared" si="3"/>
        <v>0</v>
      </c>
      <c r="O194" s="71">
        <f t="shared" si="4"/>
        <v>0</v>
      </c>
    </row>
    <row r="195" ht="15.75" customHeight="1">
      <c r="A195" s="17">
        <v>46023.0</v>
      </c>
      <c r="B195" s="44" t="s">
        <v>206</v>
      </c>
      <c r="C195" s="44" t="s">
        <v>65</v>
      </c>
      <c r="D195" s="45" t="s">
        <v>295</v>
      </c>
      <c r="E195" s="19">
        <f>IF($D195&lt;&gt;"Entregado",0,IF($C195="","",VLOOKUP($C195,'DATA DE TARIFA'!$A$4:$C$68,2,FALSE)/1.18))</f>
        <v>10.16949153</v>
      </c>
      <c r="F195" s="19">
        <f>IF($C195="","",IF($D195="",0,VLOOKUP($C195,'DATA DE TARIFA'!$A$4:$C$68,3,FALSE)))</f>
        <v>4.5</v>
      </c>
      <c r="G195" s="66">
        <v>0.0</v>
      </c>
      <c r="H195" s="19">
        <f t="shared" si="1"/>
        <v>10.16949153</v>
      </c>
      <c r="I195" s="19">
        <f t="shared" si="2"/>
        <v>4.5</v>
      </c>
      <c r="J195" s="67"/>
      <c r="K195" s="44" t="str">
        <f>IF($B195="","",IFERROR(VLOOKUP($B195,Tiendas!$A$4:$B$176,2,FALSE),""))</f>
        <v>CHRISTIAN</v>
      </c>
      <c r="L195" s="68" t="s">
        <v>296</v>
      </c>
      <c r="M195" s="44" t="str">
        <f>IF($B195="","",IFERROR(VLOOKUP($B195,Tiendas!$A$4:$I$176,9,FALSE),""))</f>
        <v>No</v>
      </c>
      <c r="N195" s="71">
        <f t="shared" si="3"/>
        <v>0</v>
      </c>
      <c r="O195" s="71">
        <f t="shared" si="4"/>
        <v>0</v>
      </c>
    </row>
    <row r="196" ht="15.75" customHeight="1">
      <c r="A196" s="17">
        <v>46023.0</v>
      </c>
      <c r="B196" s="44" t="s">
        <v>206</v>
      </c>
      <c r="C196" s="44" t="s">
        <v>32</v>
      </c>
      <c r="D196" s="45" t="s">
        <v>295</v>
      </c>
      <c r="E196" s="19">
        <f>IF($D196&lt;&gt;"Entregado",0,IF($C196="","",VLOOKUP($C196,'DATA DE TARIFA'!$A$4:$C$68,2,FALSE)/1.18))</f>
        <v>8.474576271</v>
      </c>
      <c r="F196" s="19">
        <f>IF($C196="","",IF($D196="",0,VLOOKUP($C196,'DATA DE TARIFA'!$A$4:$C$68,3,FALSE)))</f>
        <v>4.5</v>
      </c>
      <c r="G196" s="66">
        <v>0.0</v>
      </c>
      <c r="H196" s="19">
        <f t="shared" si="1"/>
        <v>8.474576271</v>
      </c>
      <c r="I196" s="19">
        <f t="shared" si="2"/>
        <v>4.5</v>
      </c>
      <c r="J196" s="67"/>
      <c r="K196" s="44" t="str">
        <f>IF($B196="","",IFERROR(VLOOKUP($B196,Tiendas!$A$4:$B$176,2,FALSE),""))</f>
        <v>CHRISTIAN</v>
      </c>
      <c r="L196" s="68" t="s">
        <v>296</v>
      </c>
      <c r="M196" s="44" t="str">
        <f>IF($B196="","",IFERROR(VLOOKUP($B196,Tiendas!$A$4:$I$176,9,FALSE),""))</f>
        <v>No</v>
      </c>
      <c r="N196" s="71">
        <f t="shared" si="3"/>
        <v>0</v>
      </c>
      <c r="O196" s="71">
        <f t="shared" si="4"/>
        <v>0</v>
      </c>
    </row>
    <row r="197" ht="15.75" customHeight="1">
      <c r="A197" s="17">
        <v>46023.0</v>
      </c>
      <c r="B197" s="44" t="s">
        <v>206</v>
      </c>
      <c r="C197" s="44" t="s">
        <v>36</v>
      </c>
      <c r="D197" s="45" t="s">
        <v>295</v>
      </c>
      <c r="E197" s="19">
        <f>IF($D197&lt;&gt;"Entregado",0,IF($C197="","",VLOOKUP($C197,'DATA DE TARIFA'!$A$4:$C$68,2,FALSE)/1.18))</f>
        <v>10.16949153</v>
      </c>
      <c r="F197" s="19">
        <f>IF($C197="","",IF($D197="",0,VLOOKUP($C197,'DATA DE TARIFA'!$A$4:$C$68,3,FALSE)))</f>
        <v>4.5</v>
      </c>
      <c r="G197" s="66">
        <v>0.0</v>
      </c>
      <c r="H197" s="19">
        <f t="shared" si="1"/>
        <v>10.16949153</v>
      </c>
      <c r="I197" s="19">
        <f t="shared" si="2"/>
        <v>4.5</v>
      </c>
      <c r="J197" s="67"/>
      <c r="K197" s="44" t="str">
        <f>IF($B197="","",IFERROR(VLOOKUP($B197,Tiendas!$A$4:$B$176,2,FALSE),""))</f>
        <v>CHRISTIAN</v>
      </c>
      <c r="L197" s="68" t="s">
        <v>296</v>
      </c>
      <c r="M197" s="44" t="str">
        <f>IF($B197="","",IFERROR(VLOOKUP($B197,Tiendas!$A$4:$I$176,9,FALSE),""))</f>
        <v>No</v>
      </c>
      <c r="N197" s="71">
        <f t="shared" si="3"/>
        <v>0</v>
      </c>
      <c r="O197" s="71">
        <f t="shared" si="4"/>
        <v>0</v>
      </c>
    </row>
    <row r="198" ht="15.75" customHeight="1">
      <c r="A198" s="17">
        <v>46023.0</v>
      </c>
      <c r="B198" s="44" t="s">
        <v>206</v>
      </c>
      <c r="C198" s="44" t="s">
        <v>47</v>
      </c>
      <c r="D198" s="45" t="s">
        <v>295</v>
      </c>
      <c r="E198" s="19">
        <f>IF($D198&lt;&gt;"Entregado",0,IF($C198="","",VLOOKUP($C198,'DATA DE TARIFA'!$A$4:$C$68,2,FALSE)/1.18))</f>
        <v>10.16949153</v>
      </c>
      <c r="F198" s="19">
        <f>IF($C198="","",IF($D198="",0,VLOOKUP($C198,'DATA DE TARIFA'!$A$4:$C$68,3,FALSE)))</f>
        <v>5.5</v>
      </c>
      <c r="G198" s="66">
        <v>0.0</v>
      </c>
      <c r="H198" s="19">
        <f t="shared" si="1"/>
        <v>10.16949153</v>
      </c>
      <c r="I198" s="19">
        <f t="shared" si="2"/>
        <v>5.5</v>
      </c>
      <c r="J198" s="67"/>
      <c r="K198" s="44" t="str">
        <f>IF($B198="","",IFERROR(VLOOKUP($B198,Tiendas!$A$4:$B$176,2,FALSE),""))</f>
        <v>CHRISTIAN</v>
      </c>
      <c r="L198" s="68" t="s">
        <v>296</v>
      </c>
      <c r="M198" s="44" t="str">
        <f>IF($B198="","",IFERROR(VLOOKUP($B198,Tiendas!$A$4:$I$176,9,FALSE),""))</f>
        <v>No</v>
      </c>
      <c r="N198" s="71">
        <f t="shared" si="3"/>
        <v>0</v>
      </c>
      <c r="O198" s="71">
        <f t="shared" si="4"/>
        <v>0</v>
      </c>
    </row>
    <row r="199" ht="15.75" customHeight="1">
      <c r="A199" s="17">
        <v>46023.0</v>
      </c>
      <c r="B199" s="44" t="s">
        <v>206</v>
      </c>
      <c r="C199" s="44" t="s">
        <v>46</v>
      </c>
      <c r="D199" s="45" t="s">
        <v>295</v>
      </c>
      <c r="E199" s="19">
        <f>IF($D199&lt;&gt;"Entregado",0,IF($C199="","",VLOOKUP($C199,'DATA DE TARIFA'!$A$4:$C$68,2,FALSE)/1.18))</f>
        <v>10.16949153</v>
      </c>
      <c r="F199" s="19">
        <f>IF($C199="","",IF($D199="",0,VLOOKUP($C199,'DATA DE TARIFA'!$A$4:$C$68,3,FALSE)))</f>
        <v>4.5</v>
      </c>
      <c r="G199" s="66">
        <v>0.0</v>
      </c>
      <c r="H199" s="19">
        <f t="shared" si="1"/>
        <v>10.16949153</v>
      </c>
      <c r="I199" s="19">
        <f t="shared" si="2"/>
        <v>4.5</v>
      </c>
      <c r="J199" s="67"/>
      <c r="K199" s="44" t="str">
        <f>IF($B199="","",IFERROR(VLOOKUP($B199,Tiendas!$A$4:$B$176,2,FALSE),""))</f>
        <v>CHRISTIAN</v>
      </c>
      <c r="L199" s="68" t="s">
        <v>296</v>
      </c>
      <c r="M199" s="44" t="str">
        <f>IF($B199="","",IFERROR(VLOOKUP($B199,Tiendas!$A$4:$I$176,9,FALSE),""))</f>
        <v>No</v>
      </c>
      <c r="N199" s="71">
        <f t="shared" si="3"/>
        <v>0</v>
      </c>
      <c r="O199" s="71">
        <f t="shared" si="4"/>
        <v>0</v>
      </c>
    </row>
    <row r="200" ht="15.75" customHeight="1">
      <c r="A200" s="17">
        <v>46023.0</v>
      </c>
      <c r="B200" s="44" t="s">
        <v>206</v>
      </c>
      <c r="C200" s="44" t="s">
        <v>26</v>
      </c>
      <c r="D200" s="45" t="s">
        <v>295</v>
      </c>
      <c r="E200" s="19">
        <f>IF($D200&lt;&gt;"Entregado",0,IF($C200="","",VLOOKUP($C200,'DATA DE TARIFA'!$A$4:$C$68,2,FALSE)/1.18))</f>
        <v>10.16949153</v>
      </c>
      <c r="F200" s="19">
        <f>IF($C200="","",IF($D200="",0,VLOOKUP($C200,'DATA DE TARIFA'!$A$4:$C$68,3,FALSE)))</f>
        <v>5</v>
      </c>
      <c r="G200" s="66">
        <v>0.0</v>
      </c>
      <c r="H200" s="19">
        <f t="shared" si="1"/>
        <v>10.16949153</v>
      </c>
      <c r="I200" s="19">
        <f t="shared" si="2"/>
        <v>5</v>
      </c>
      <c r="J200" s="67"/>
      <c r="K200" s="44" t="str">
        <f>IF($B200="","",IFERROR(VLOOKUP($B200,Tiendas!$A$4:$B$176,2,FALSE),""))</f>
        <v>CHRISTIAN</v>
      </c>
      <c r="L200" s="68" t="s">
        <v>296</v>
      </c>
      <c r="M200" s="44" t="str">
        <f>IF($B200="","",IFERROR(VLOOKUP($B200,Tiendas!$A$4:$I$176,9,FALSE),""))</f>
        <v>No</v>
      </c>
      <c r="N200" s="71">
        <f t="shared" si="3"/>
        <v>0</v>
      </c>
      <c r="O200" s="71">
        <f t="shared" si="4"/>
        <v>0</v>
      </c>
    </row>
    <row r="201" ht="15.75" customHeight="1">
      <c r="A201" s="17">
        <v>46023.0</v>
      </c>
      <c r="B201" s="44" t="s">
        <v>206</v>
      </c>
      <c r="C201" s="44" t="s">
        <v>69</v>
      </c>
      <c r="D201" s="45" t="s">
        <v>295</v>
      </c>
      <c r="E201" s="19">
        <f>IF($D201&lt;&gt;"Entregado",0,IF($C201="","",VLOOKUP($C201,'DATA DE TARIFA'!$A$4:$C$68,2,FALSE)/1.18))</f>
        <v>8.474576271</v>
      </c>
      <c r="F201" s="19">
        <f>IF($C201="","",IF($D201="",0,VLOOKUP($C201,'DATA DE TARIFA'!$A$4:$C$68,3,FALSE)))</f>
        <v>4</v>
      </c>
      <c r="G201" s="66">
        <v>0.0</v>
      </c>
      <c r="H201" s="19">
        <f t="shared" si="1"/>
        <v>8.474576271</v>
      </c>
      <c r="I201" s="19">
        <f t="shared" si="2"/>
        <v>4</v>
      </c>
      <c r="J201" s="67"/>
      <c r="K201" s="44" t="str">
        <f>IF($B201="","",IFERROR(VLOOKUP($B201,Tiendas!$A$4:$B$176,2,FALSE),""))</f>
        <v>CHRISTIAN</v>
      </c>
      <c r="L201" s="68" t="s">
        <v>296</v>
      </c>
      <c r="M201" s="44" t="str">
        <f>IF($B201="","",IFERROR(VLOOKUP($B201,Tiendas!$A$4:$I$176,9,FALSE),""))</f>
        <v>No</v>
      </c>
      <c r="N201" s="71">
        <f t="shared" si="3"/>
        <v>0</v>
      </c>
      <c r="O201" s="71">
        <f t="shared" si="4"/>
        <v>0</v>
      </c>
    </row>
    <row r="202" ht="15.75" customHeight="1">
      <c r="A202" s="17">
        <v>46023.0</v>
      </c>
      <c r="B202" s="44" t="s">
        <v>206</v>
      </c>
      <c r="C202" s="44" t="s">
        <v>34</v>
      </c>
      <c r="D202" s="45" t="s">
        <v>295</v>
      </c>
      <c r="E202" s="19">
        <f>IF($D202&lt;&gt;"Entregado",0,IF($C202="","",VLOOKUP($C202,'DATA DE TARIFA'!$A$4:$C$68,2,FALSE)/1.18))</f>
        <v>10.16949153</v>
      </c>
      <c r="F202" s="19">
        <f>IF($C202="","",IF($D202="",0,VLOOKUP($C202,'DATA DE TARIFA'!$A$4:$C$68,3,FALSE)))</f>
        <v>4.5</v>
      </c>
      <c r="G202" s="66">
        <v>0.0</v>
      </c>
      <c r="H202" s="19">
        <f t="shared" si="1"/>
        <v>10.16949153</v>
      </c>
      <c r="I202" s="19">
        <f t="shared" si="2"/>
        <v>4.5</v>
      </c>
      <c r="J202" s="67"/>
      <c r="K202" s="44" t="str">
        <f>IF($B202="","",IFERROR(VLOOKUP($B202,Tiendas!$A$4:$B$176,2,FALSE),""))</f>
        <v>CHRISTIAN</v>
      </c>
      <c r="L202" s="68" t="s">
        <v>296</v>
      </c>
      <c r="M202" s="44" t="str">
        <f>IF($B202="","",IFERROR(VLOOKUP($B202,Tiendas!$A$4:$I$176,9,FALSE),""))</f>
        <v>No</v>
      </c>
      <c r="N202" s="71">
        <f t="shared" si="3"/>
        <v>0</v>
      </c>
      <c r="O202" s="71">
        <f t="shared" si="4"/>
        <v>0</v>
      </c>
    </row>
    <row r="203" ht="15.75" customHeight="1">
      <c r="A203" s="17">
        <v>46023.0</v>
      </c>
      <c r="B203" s="44" t="s">
        <v>206</v>
      </c>
      <c r="C203" s="44" t="s">
        <v>38</v>
      </c>
      <c r="D203" s="45" t="s">
        <v>295</v>
      </c>
      <c r="E203" s="19">
        <f>IF($D203&lt;&gt;"Entregado",0,IF($C203="","",VLOOKUP($C203,'DATA DE TARIFA'!$A$4:$C$68,2,FALSE)/1.18))</f>
        <v>8.474576271</v>
      </c>
      <c r="F203" s="19">
        <f>IF($C203="","",IF($D203="",0,VLOOKUP($C203,'DATA DE TARIFA'!$A$4:$C$68,3,FALSE)))</f>
        <v>4</v>
      </c>
      <c r="G203" s="66">
        <v>0.0</v>
      </c>
      <c r="H203" s="19">
        <f t="shared" si="1"/>
        <v>8.474576271</v>
      </c>
      <c r="I203" s="19">
        <f t="shared" si="2"/>
        <v>4</v>
      </c>
      <c r="J203" s="67"/>
      <c r="K203" s="44" t="str">
        <f>IF($B203="","",IFERROR(VLOOKUP($B203,Tiendas!$A$4:$B$176,2,FALSE),""))</f>
        <v>CHRISTIAN</v>
      </c>
      <c r="L203" s="68" t="s">
        <v>296</v>
      </c>
      <c r="M203" s="44" t="str">
        <f>IF($B203="","",IFERROR(VLOOKUP($B203,Tiendas!$A$4:$I$176,9,FALSE),""))</f>
        <v>No</v>
      </c>
      <c r="N203" s="71">
        <f t="shared" si="3"/>
        <v>0</v>
      </c>
      <c r="O203" s="71">
        <f t="shared" si="4"/>
        <v>0</v>
      </c>
    </row>
    <row r="204" ht="15.75" customHeight="1">
      <c r="A204" s="17">
        <v>46023.0</v>
      </c>
      <c r="B204" s="44" t="s">
        <v>206</v>
      </c>
      <c r="C204" s="44" t="s">
        <v>30</v>
      </c>
      <c r="D204" s="45" t="s">
        <v>295</v>
      </c>
      <c r="E204" s="19">
        <f>IF($D204&lt;&gt;"Entregado",0,IF($C204="","",VLOOKUP($C204,'DATA DE TARIFA'!$A$4:$C$68,2,FALSE)/1.18))</f>
        <v>8.474576271</v>
      </c>
      <c r="F204" s="19">
        <f>IF($C204="","",IF($D204="",0,VLOOKUP($C204,'DATA DE TARIFA'!$A$4:$C$68,3,FALSE)))</f>
        <v>4.5</v>
      </c>
      <c r="G204" s="66">
        <v>0.0</v>
      </c>
      <c r="H204" s="19">
        <f t="shared" si="1"/>
        <v>8.474576271</v>
      </c>
      <c r="I204" s="19">
        <f t="shared" si="2"/>
        <v>4.5</v>
      </c>
      <c r="J204" s="67"/>
      <c r="K204" s="44" t="str">
        <f>IF($B204="","",IFERROR(VLOOKUP($B204,Tiendas!$A$4:$B$176,2,FALSE),""))</f>
        <v>CHRISTIAN</v>
      </c>
      <c r="L204" s="68" t="s">
        <v>296</v>
      </c>
      <c r="M204" s="44" t="str">
        <f>IF($B204="","",IFERROR(VLOOKUP($B204,Tiendas!$A$4:$I$176,9,FALSE),""))</f>
        <v>No</v>
      </c>
      <c r="N204" s="71">
        <f t="shared" si="3"/>
        <v>0</v>
      </c>
      <c r="O204" s="71">
        <f t="shared" si="4"/>
        <v>0</v>
      </c>
    </row>
    <row r="205" ht="15.75" customHeight="1">
      <c r="A205" s="17">
        <v>46023.0</v>
      </c>
      <c r="B205" s="44" t="s">
        <v>206</v>
      </c>
      <c r="C205" s="44" t="s">
        <v>76</v>
      </c>
      <c r="D205" s="45" t="s">
        <v>295</v>
      </c>
      <c r="E205" s="19">
        <f>IF($D205&lt;&gt;"Entregado",0,IF($C205="","",VLOOKUP($C205,'DATA DE TARIFA'!$A$4:$C$68,2,FALSE)/1.18))</f>
        <v>10.16949153</v>
      </c>
      <c r="F205" s="19">
        <f>IF($C205="","",IF($D205="",0,VLOOKUP($C205,'DATA DE TARIFA'!$A$4:$C$68,3,FALSE)))</f>
        <v>4.5</v>
      </c>
      <c r="G205" s="66">
        <v>0.0</v>
      </c>
      <c r="H205" s="19">
        <f t="shared" si="1"/>
        <v>10.16949153</v>
      </c>
      <c r="I205" s="19">
        <f t="shared" si="2"/>
        <v>4.5</v>
      </c>
      <c r="J205" s="67"/>
      <c r="K205" s="44" t="str">
        <f>IF($B205="","",IFERROR(VLOOKUP($B205,Tiendas!$A$4:$B$176,2,FALSE),""))</f>
        <v>CHRISTIAN</v>
      </c>
      <c r="L205" s="68" t="s">
        <v>296</v>
      </c>
      <c r="M205" s="44" t="str">
        <f>IF($B205="","",IFERROR(VLOOKUP($B205,Tiendas!$A$4:$I$176,9,FALSE),""))</f>
        <v>No</v>
      </c>
      <c r="N205" s="71">
        <f t="shared" si="3"/>
        <v>0</v>
      </c>
      <c r="O205" s="71">
        <f t="shared" si="4"/>
        <v>0</v>
      </c>
    </row>
    <row r="206" ht="15.75" customHeight="1">
      <c r="A206" s="17">
        <v>46023.0</v>
      </c>
      <c r="B206" s="44" t="s">
        <v>206</v>
      </c>
      <c r="C206" s="44" t="s">
        <v>15</v>
      </c>
      <c r="D206" s="45" t="s">
        <v>295</v>
      </c>
      <c r="E206" s="19">
        <f>IF($D206&lt;&gt;"Entregado",0,IF($C206="","",VLOOKUP($C206,'DATA DE TARIFA'!$A$4:$C$68,2,FALSE)/1.18))</f>
        <v>8.474576271</v>
      </c>
      <c r="F206" s="19">
        <f>IF($C206="","",IF($D206="",0,VLOOKUP($C206,'DATA DE TARIFA'!$A$4:$C$68,3,FALSE)))</f>
        <v>4.5</v>
      </c>
      <c r="G206" s="66">
        <v>0.0</v>
      </c>
      <c r="H206" s="19">
        <f t="shared" si="1"/>
        <v>8.474576271</v>
      </c>
      <c r="I206" s="19">
        <f t="shared" si="2"/>
        <v>4.5</v>
      </c>
      <c r="J206" s="67"/>
      <c r="K206" s="44" t="str">
        <f>IF($B206="","",IFERROR(VLOOKUP($B206,Tiendas!$A$4:$B$176,2,FALSE),""))</f>
        <v>CHRISTIAN</v>
      </c>
      <c r="L206" s="68" t="s">
        <v>296</v>
      </c>
      <c r="M206" s="44" t="str">
        <f>IF($B206="","",IFERROR(VLOOKUP($B206,Tiendas!$A$4:$I$176,9,FALSE),""))</f>
        <v>No</v>
      </c>
      <c r="N206" s="71">
        <f t="shared" si="3"/>
        <v>0</v>
      </c>
      <c r="O206" s="71">
        <f t="shared" si="4"/>
        <v>0</v>
      </c>
    </row>
    <row r="207" ht="15.75" customHeight="1">
      <c r="A207" s="17">
        <v>46023.0</v>
      </c>
      <c r="B207" s="44" t="s">
        <v>206</v>
      </c>
      <c r="C207" s="44" t="s">
        <v>44</v>
      </c>
      <c r="D207" s="45" t="s">
        <v>295</v>
      </c>
      <c r="E207" s="19">
        <f>IF($D207&lt;&gt;"Entregado",0,IF($C207="","",VLOOKUP($C207,'DATA DE TARIFA'!$A$4:$C$68,2,FALSE)/1.18))</f>
        <v>10.16949153</v>
      </c>
      <c r="F207" s="19">
        <f>IF($C207="","",IF($D207="",0,VLOOKUP($C207,'DATA DE TARIFA'!$A$4:$C$68,3,FALSE)))</f>
        <v>5.5</v>
      </c>
      <c r="G207" s="66">
        <v>0.0</v>
      </c>
      <c r="H207" s="19">
        <f t="shared" si="1"/>
        <v>10.16949153</v>
      </c>
      <c r="I207" s="19">
        <f t="shared" si="2"/>
        <v>5.5</v>
      </c>
      <c r="J207" s="67"/>
      <c r="K207" s="44" t="str">
        <f>IF($B207="","",IFERROR(VLOOKUP($B207,Tiendas!$A$4:$B$176,2,FALSE),""))</f>
        <v>CHRISTIAN</v>
      </c>
      <c r="L207" s="68" t="s">
        <v>296</v>
      </c>
      <c r="M207" s="44" t="str">
        <f>IF($B207="","",IFERROR(VLOOKUP($B207,Tiendas!$A$4:$I$176,9,FALSE),""))</f>
        <v>No</v>
      </c>
      <c r="N207" s="71">
        <f t="shared" si="3"/>
        <v>0</v>
      </c>
      <c r="O207" s="71">
        <f t="shared" si="4"/>
        <v>0</v>
      </c>
    </row>
    <row r="208" ht="15.75" customHeight="1">
      <c r="A208" s="17">
        <v>46023.0</v>
      </c>
      <c r="B208" s="44" t="s">
        <v>206</v>
      </c>
      <c r="C208" s="44" t="s">
        <v>38</v>
      </c>
      <c r="D208" s="45" t="s">
        <v>295</v>
      </c>
      <c r="E208" s="19">
        <f>IF($D208&lt;&gt;"Entregado",0,IF($C208="","",VLOOKUP($C208,'DATA DE TARIFA'!$A$4:$C$68,2,FALSE)/1.18))</f>
        <v>8.474576271</v>
      </c>
      <c r="F208" s="19">
        <f>IF($C208="","",IF($D208="",0,VLOOKUP($C208,'DATA DE TARIFA'!$A$4:$C$68,3,FALSE)))</f>
        <v>4</v>
      </c>
      <c r="G208" s="66">
        <v>0.0</v>
      </c>
      <c r="H208" s="19">
        <f t="shared" si="1"/>
        <v>8.474576271</v>
      </c>
      <c r="I208" s="19">
        <f t="shared" si="2"/>
        <v>4</v>
      </c>
      <c r="J208" s="67"/>
      <c r="K208" s="44" t="str">
        <f>IF($B208="","",IFERROR(VLOOKUP($B208,Tiendas!$A$4:$B$176,2,FALSE),""))</f>
        <v>CHRISTIAN</v>
      </c>
      <c r="L208" s="68" t="s">
        <v>296</v>
      </c>
      <c r="M208" s="44" t="str">
        <f>IF($B208="","",IFERROR(VLOOKUP($B208,Tiendas!$A$4:$I$176,9,FALSE),""))</f>
        <v>No</v>
      </c>
      <c r="N208" s="71">
        <f t="shared" si="3"/>
        <v>0</v>
      </c>
      <c r="O208" s="71">
        <f t="shared" si="4"/>
        <v>0</v>
      </c>
    </row>
    <row r="209" ht="15.75" customHeight="1">
      <c r="A209" s="17">
        <v>46023.0</v>
      </c>
      <c r="B209" s="44" t="s">
        <v>206</v>
      </c>
      <c r="C209" s="44" t="s">
        <v>70</v>
      </c>
      <c r="D209" s="45" t="s">
        <v>295</v>
      </c>
      <c r="E209" s="19">
        <f>IF($D209&lt;&gt;"Entregado",0,IF($C209="","",VLOOKUP($C209,'DATA DE TARIFA'!$A$4:$C$68,2,FALSE)/1.18))</f>
        <v>8.474576271</v>
      </c>
      <c r="F209" s="19">
        <f>IF($C209="","",IF($D209="",0,VLOOKUP($C209,'DATA DE TARIFA'!$A$4:$C$68,3,FALSE)))</f>
        <v>4</v>
      </c>
      <c r="G209" s="66">
        <v>0.0</v>
      </c>
      <c r="H209" s="19">
        <f t="shared" si="1"/>
        <v>8.474576271</v>
      </c>
      <c r="I209" s="19">
        <f t="shared" si="2"/>
        <v>4</v>
      </c>
      <c r="J209" s="67"/>
      <c r="K209" s="44" t="str">
        <f>IF($B209="","",IFERROR(VLOOKUP($B209,Tiendas!$A$4:$B$176,2,FALSE),""))</f>
        <v>CHRISTIAN</v>
      </c>
      <c r="L209" s="68" t="s">
        <v>296</v>
      </c>
      <c r="M209" s="44" t="str">
        <f>IF($B209="","",IFERROR(VLOOKUP($B209,Tiendas!$A$4:$I$176,9,FALSE),""))</f>
        <v>No</v>
      </c>
      <c r="N209" s="71">
        <f t="shared" si="3"/>
        <v>0</v>
      </c>
      <c r="O209" s="71">
        <f t="shared" si="4"/>
        <v>0</v>
      </c>
    </row>
    <row r="210" ht="15.75" customHeight="1">
      <c r="A210" s="17">
        <v>46023.0</v>
      </c>
      <c r="B210" s="44" t="s">
        <v>206</v>
      </c>
      <c r="C210" s="44" t="s">
        <v>15</v>
      </c>
      <c r="D210" s="45" t="s">
        <v>295</v>
      </c>
      <c r="E210" s="19">
        <f>IF($D210&lt;&gt;"Entregado",0,IF($C210="","",VLOOKUP($C210,'DATA DE TARIFA'!$A$4:$C$68,2,FALSE)/1.18))</f>
        <v>8.474576271</v>
      </c>
      <c r="F210" s="19">
        <f>IF($C210="","",IF($D210="",0,VLOOKUP($C210,'DATA DE TARIFA'!$A$4:$C$68,3,FALSE)))</f>
        <v>4.5</v>
      </c>
      <c r="G210" s="66">
        <v>0.0</v>
      </c>
      <c r="H210" s="19">
        <f t="shared" si="1"/>
        <v>8.474576271</v>
      </c>
      <c r="I210" s="19">
        <f t="shared" si="2"/>
        <v>4.5</v>
      </c>
      <c r="J210" s="67"/>
      <c r="K210" s="44" t="str">
        <f>IF($B210="","",IFERROR(VLOOKUP($B210,Tiendas!$A$4:$B$176,2,FALSE),""))</f>
        <v>CHRISTIAN</v>
      </c>
      <c r="L210" s="68" t="s">
        <v>296</v>
      </c>
      <c r="M210" s="44" t="str">
        <f>IF($B210="","",IFERROR(VLOOKUP($B210,Tiendas!$A$4:$I$176,9,FALSE),""))</f>
        <v>No</v>
      </c>
      <c r="N210" s="71">
        <f t="shared" si="3"/>
        <v>0</v>
      </c>
      <c r="O210" s="71">
        <f t="shared" si="4"/>
        <v>0</v>
      </c>
    </row>
    <row r="211" ht="15.75" customHeight="1">
      <c r="A211" s="17">
        <v>46023.0</v>
      </c>
      <c r="B211" s="44" t="s">
        <v>206</v>
      </c>
      <c r="C211" s="44" t="s">
        <v>82</v>
      </c>
      <c r="D211" s="45" t="s">
        <v>295</v>
      </c>
      <c r="E211" s="19">
        <f>IF($D211&lt;&gt;"Entregado",0,IF($C211="","",VLOOKUP($C211,'DATA DE TARIFA'!$A$4:$C$68,2,FALSE)/1.18))</f>
        <v>11.86440678</v>
      </c>
      <c r="F211" s="19">
        <f>IF($C211="","",IF($D211="",0,VLOOKUP($C211,'DATA DE TARIFA'!$A$4:$C$68,3,FALSE)))</f>
        <v>8.5</v>
      </c>
      <c r="G211" s="66">
        <v>0.0</v>
      </c>
      <c r="H211" s="19">
        <f t="shared" si="1"/>
        <v>11.86440678</v>
      </c>
      <c r="I211" s="19">
        <f t="shared" si="2"/>
        <v>8.5</v>
      </c>
      <c r="J211" s="67"/>
      <c r="K211" s="44" t="str">
        <f>IF($B211="","",IFERROR(VLOOKUP($B211,Tiendas!$A$4:$B$176,2,FALSE),""))</f>
        <v>CHRISTIAN</v>
      </c>
      <c r="L211" s="68" t="s">
        <v>296</v>
      </c>
      <c r="M211" s="44" t="str">
        <f>IF($B211="","",IFERROR(VLOOKUP($B211,Tiendas!$A$4:$I$176,9,FALSE),""))</f>
        <v>No</v>
      </c>
      <c r="N211" s="71">
        <f t="shared" si="3"/>
        <v>0</v>
      </c>
      <c r="O211" s="71">
        <f t="shared" si="4"/>
        <v>0</v>
      </c>
    </row>
    <row r="212" ht="15.75" customHeight="1">
      <c r="A212" s="17">
        <v>46023.0</v>
      </c>
      <c r="B212" s="44" t="s">
        <v>206</v>
      </c>
      <c r="C212" s="44" t="s">
        <v>36</v>
      </c>
      <c r="D212" s="45" t="s">
        <v>295</v>
      </c>
      <c r="E212" s="19">
        <f>IF($D212&lt;&gt;"Entregado",0,IF($C212="","",VLOOKUP($C212,'DATA DE TARIFA'!$A$4:$C$68,2,FALSE)/1.18))</f>
        <v>10.16949153</v>
      </c>
      <c r="F212" s="19">
        <f>IF($C212="","",IF($D212="",0,VLOOKUP($C212,'DATA DE TARIFA'!$A$4:$C$68,3,FALSE)))</f>
        <v>4.5</v>
      </c>
      <c r="G212" s="66">
        <v>0.0</v>
      </c>
      <c r="H212" s="19">
        <f t="shared" si="1"/>
        <v>10.16949153</v>
      </c>
      <c r="I212" s="19">
        <f t="shared" si="2"/>
        <v>4.5</v>
      </c>
      <c r="J212" s="67"/>
      <c r="K212" s="44" t="str">
        <f>IF($B212="","",IFERROR(VLOOKUP($B212,Tiendas!$A$4:$B$176,2,FALSE),""))</f>
        <v>CHRISTIAN</v>
      </c>
      <c r="L212" s="68" t="s">
        <v>296</v>
      </c>
      <c r="M212" s="44" t="str">
        <f>IF($B212="","",IFERROR(VLOOKUP($B212,Tiendas!$A$4:$I$176,9,FALSE),""))</f>
        <v>No</v>
      </c>
      <c r="N212" s="71">
        <f t="shared" si="3"/>
        <v>0</v>
      </c>
      <c r="O212" s="71">
        <f t="shared" si="4"/>
        <v>0</v>
      </c>
    </row>
    <row r="213" ht="15.75" customHeight="1">
      <c r="A213" s="17">
        <v>46023.0</v>
      </c>
      <c r="B213" s="44" t="s">
        <v>206</v>
      </c>
      <c r="C213" s="44" t="s">
        <v>23</v>
      </c>
      <c r="D213" s="45" t="s">
        <v>295</v>
      </c>
      <c r="E213" s="19">
        <f>IF($D213&lt;&gt;"Entregado",0,IF($C213="","",VLOOKUP($C213,'DATA DE TARIFA'!$A$4:$C$68,2,FALSE)/1.18))</f>
        <v>8.474576271</v>
      </c>
      <c r="F213" s="19">
        <f>IF($C213="","",IF($D213="",0,VLOOKUP($C213,'DATA DE TARIFA'!$A$4:$C$68,3,FALSE)))</f>
        <v>4.5</v>
      </c>
      <c r="G213" s="66">
        <v>0.0</v>
      </c>
      <c r="H213" s="19">
        <f t="shared" si="1"/>
        <v>8.474576271</v>
      </c>
      <c r="I213" s="19">
        <f t="shared" si="2"/>
        <v>4.5</v>
      </c>
      <c r="J213" s="67"/>
      <c r="K213" s="44" t="str">
        <f>IF($B213="","",IFERROR(VLOOKUP($B213,Tiendas!$A$4:$B$176,2,FALSE),""))</f>
        <v>CHRISTIAN</v>
      </c>
      <c r="L213" s="68" t="s">
        <v>296</v>
      </c>
      <c r="M213" s="44" t="str">
        <f>IF($B213="","",IFERROR(VLOOKUP($B213,Tiendas!$A$4:$I$176,9,FALSE),""))</f>
        <v>No</v>
      </c>
      <c r="N213" s="71">
        <f t="shared" si="3"/>
        <v>0</v>
      </c>
      <c r="O213" s="71">
        <f t="shared" si="4"/>
        <v>0</v>
      </c>
    </row>
    <row r="214" ht="15.75" customHeight="1">
      <c r="A214" s="17">
        <v>46023.0</v>
      </c>
      <c r="B214" s="44" t="s">
        <v>202</v>
      </c>
      <c r="C214" s="44" t="s">
        <v>72</v>
      </c>
      <c r="D214" s="45" t="s">
        <v>298</v>
      </c>
      <c r="E214" s="19">
        <f>IF($D214&lt;&gt;"Entregado",0,IF($C214="","",VLOOKUP($C214,'DATA DE TARIFA'!$A$4:$C$68,2,FALSE)/1.18))</f>
        <v>10.16949153</v>
      </c>
      <c r="F214" s="19">
        <f>IF($C214="","",IF($D214="",0,VLOOKUP($C214,'DATA DE TARIFA'!$A$4:$C$68,3,FALSE)))</f>
        <v>4.5</v>
      </c>
      <c r="G214" s="66">
        <v>0.0</v>
      </c>
      <c r="H214" s="19">
        <f t="shared" si="1"/>
        <v>10.16949153</v>
      </c>
      <c r="I214" s="19">
        <f t="shared" si="2"/>
        <v>4.5</v>
      </c>
      <c r="J214" s="67"/>
      <c r="K214" s="44" t="str">
        <f>IF($B214="","",IFERROR(VLOOKUP($B214,Tiendas!$A$4:$B$176,2,FALSE),""))</f>
        <v>CHRISTIAN</v>
      </c>
      <c r="L214" s="68" t="s">
        <v>296</v>
      </c>
      <c r="M214" s="44" t="str">
        <f>IF($B214="","",IFERROR(VLOOKUP($B214,Tiendas!$A$4:$I$176,9,FALSE),""))</f>
        <v>No</v>
      </c>
      <c r="N214" s="71">
        <f t="shared" si="3"/>
        <v>0</v>
      </c>
      <c r="O214" s="71">
        <f t="shared" si="4"/>
        <v>0</v>
      </c>
    </row>
    <row r="215" ht="15.75" customHeight="1">
      <c r="A215" s="17">
        <v>46023.0</v>
      </c>
      <c r="B215" s="44" t="s">
        <v>228</v>
      </c>
      <c r="C215" s="44" t="s">
        <v>57</v>
      </c>
      <c r="D215" s="45" t="s">
        <v>298</v>
      </c>
      <c r="E215" s="19">
        <f>IF($D215&lt;&gt;"Entregado",0,IF($C215="","",VLOOKUP($C215,'DATA DE TARIFA'!$A$4:$C$68,2,FALSE)/1.18))</f>
        <v>8.474576271</v>
      </c>
      <c r="F215" s="19">
        <f>IF($C215="","",IF($D215="",0,VLOOKUP($C215,'DATA DE TARIFA'!$A$4:$C$68,3,FALSE)))</f>
        <v>4.5</v>
      </c>
      <c r="G215" s="66">
        <v>0.0</v>
      </c>
      <c r="H215" s="19">
        <f t="shared" si="1"/>
        <v>8.474576271</v>
      </c>
      <c r="I215" s="19">
        <f t="shared" si="2"/>
        <v>4.5</v>
      </c>
      <c r="J215" s="67"/>
      <c r="K215" s="44" t="str">
        <f>IF($B215="","",IFERROR(VLOOKUP($B215,Tiendas!$A$4:$B$176,2,FALSE),""))</f>
        <v>CHRISTIAN</v>
      </c>
      <c r="L215" s="68" t="s">
        <v>296</v>
      </c>
      <c r="M215" s="44" t="str">
        <f>IF($B215="","",IFERROR(VLOOKUP($B215,Tiendas!$A$4:$I$176,9,FALSE),""))</f>
        <v>Si</v>
      </c>
      <c r="N215" s="71">
        <f t="shared" si="3"/>
        <v>0</v>
      </c>
      <c r="O215" s="71">
        <f t="shared" si="4"/>
        <v>0</v>
      </c>
    </row>
    <row r="216" ht="15.75" customHeight="1">
      <c r="A216" s="17">
        <v>46023.0</v>
      </c>
      <c r="B216" s="44" t="s">
        <v>204</v>
      </c>
      <c r="C216" s="44" t="s">
        <v>57</v>
      </c>
      <c r="D216" s="45" t="s">
        <v>298</v>
      </c>
      <c r="E216" s="19">
        <f>IF($D216&lt;&gt;"Entregado",0,IF($C216="","",VLOOKUP($C216,'DATA DE TARIFA'!$A$4:$C$68,2,FALSE)/1.18))</f>
        <v>8.474576271</v>
      </c>
      <c r="F216" s="19">
        <f>IF($C216="","",IF($D216="",0,VLOOKUP($C216,'DATA DE TARIFA'!$A$4:$C$68,3,FALSE)))</f>
        <v>4.5</v>
      </c>
      <c r="G216" s="66">
        <v>0.0</v>
      </c>
      <c r="H216" s="19">
        <f t="shared" si="1"/>
        <v>8.474576271</v>
      </c>
      <c r="I216" s="19">
        <f t="shared" si="2"/>
        <v>4.5</v>
      </c>
      <c r="J216" s="67"/>
      <c r="K216" s="44" t="str">
        <f>IF($B216="","",IFERROR(VLOOKUP($B216,Tiendas!$A$4:$B$176,2,FALSE),""))</f>
        <v>CHRISTIAN</v>
      </c>
      <c r="L216" s="68" t="s">
        <v>296</v>
      </c>
      <c r="M216" s="44" t="str">
        <f>IF($B216="","",IFERROR(VLOOKUP($B216,Tiendas!$A$4:$I$176,9,FALSE),""))</f>
        <v>No</v>
      </c>
      <c r="N216" s="71">
        <f t="shared" si="3"/>
        <v>0</v>
      </c>
      <c r="O216" s="71">
        <f t="shared" si="4"/>
        <v>0</v>
      </c>
    </row>
    <row r="217" ht="15.75" customHeight="1">
      <c r="A217" s="17">
        <v>46023.0</v>
      </c>
      <c r="B217" s="44" t="s">
        <v>204</v>
      </c>
      <c r="C217" s="44" t="s">
        <v>51</v>
      </c>
      <c r="D217" s="45" t="s">
        <v>298</v>
      </c>
      <c r="E217" s="19">
        <f>IF($D217&lt;&gt;"Entregado",0,IF($C217="","",VLOOKUP($C217,'DATA DE TARIFA'!$A$4:$C$68,2,FALSE)/1.18))</f>
        <v>10.16949153</v>
      </c>
      <c r="F217" s="19">
        <f>IF($C217="","",IF($D217="",0,VLOOKUP($C217,'DATA DE TARIFA'!$A$4:$C$68,3,FALSE)))</f>
        <v>5.5</v>
      </c>
      <c r="G217" s="66">
        <v>0.0</v>
      </c>
      <c r="H217" s="19">
        <f t="shared" si="1"/>
        <v>10.16949153</v>
      </c>
      <c r="I217" s="19">
        <f t="shared" si="2"/>
        <v>5.5</v>
      </c>
      <c r="J217" s="67"/>
      <c r="K217" s="44" t="str">
        <f>IF($B217="","",IFERROR(VLOOKUP($B217,Tiendas!$A$4:$B$176,2,FALSE),""))</f>
        <v>CHRISTIAN</v>
      </c>
      <c r="L217" s="68" t="s">
        <v>296</v>
      </c>
      <c r="M217" s="44" t="str">
        <f>IF($B217="","",IFERROR(VLOOKUP($B217,Tiendas!$A$4:$I$176,9,FALSE),""))</f>
        <v>No</v>
      </c>
      <c r="N217" s="71">
        <f t="shared" si="3"/>
        <v>0</v>
      </c>
      <c r="O217" s="71">
        <f t="shared" si="4"/>
        <v>0</v>
      </c>
    </row>
    <row r="218" ht="15.75" customHeight="1">
      <c r="A218" s="17">
        <v>46023.0</v>
      </c>
      <c r="B218" s="44" t="s">
        <v>203</v>
      </c>
      <c r="C218" s="44" t="s">
        <v>74</v>
      </c>
      <c r="D218" s="45" t="s">
        <v>298</v>
      </c>
      <c r="E218" s="19">
        <f>IF($D218&lt;&gt;"Entregado",0,IF($C218="","",VLOOKUP($C218,'DATA DE TARIFA'!$A$4:$C$68,2,FALSE)/1.18))</f>
        <v>10.16949153</v>
      </c>
      <c r="F218" s="19">
        <f>IF($C218="","",IF($D218="",0,VLOOKUP($C218,'DATA DE TARIFA'!$A$4:$C$68,3,FALSE)))</f>
        <v>5.5</v>
      </c>
      <c r="G218" s="66">
        <v>0.0</v>
      </c>
      <c r="H218" s="19">
        <f t="shared" si="1"/>
        <v>10.16949153</v>
      </c>
      <c r="I218" s="19">
        <f t="shared" si="2"/>
        <v>5.5</v>
      </c>
      <c r="J218" s="67"/>
      <c r="K218" s="44" t="str">
        <f>IF($B218="","",IFERROR(VLOOKUP($B218,Tiendas!$A$4:$B$176,2,FALSE),""))</f>
        <v>CHRISTIAN</v>
      </c>
      <c r="L218" s="68" t="s">
        <v>296</v>
      </c>
      <c r="M218" s="44" t="str">
        <f>IF($B218="","",IFERROR(VLOOKUP($B218,Tiendas!$A$4:$I$176,9,FALSE),""))</f>
        <v>No</v>
      </c>
      <c r="N218" s="71">
        <f t="shared" si="3"/>
        <v>0</v>
      </c>
      <c r="O218" s="71">
        <f t="shared" si="4"/>
        <v>0</v>
      </c>
    </row>
    <row r="219" ht="15.75" customHeight="1">
      <c r="A219" s="17">
        <v>46023.0</v>
      </c>
      <c r="B219" s="44" t="s">
        <v>239</v>
      </c>
      <c r="C219" s="44" t="s">
        <v>55</v>
      </c>
      <c r="D219" s="45" t="s">
        <v>295</v>
      </c>
      <c r="E219" s="19">
        <f>IF($D219&lt;&gt;"Entregado",0,IF($C219="","",VLOOKUP($C219,'DATA DE TARIFA'!$A$4:$C$68,2,FALSE)/1.18))</f>
        <v>8.474576271</v>
      </c>
      <c r="F219" s="19">
        <f>IF($C219="","",IF($D219="",0,VLOOKUP($C219,'DATA DE TARIFA'!$A$4:$C$68,3,FALSE)))</f>
        <v>4</v>
      </c>
      <c r="G219" s="66">
        <v>0.0</v>
      </c>
      <c r="H219" s="19">
        <f t="shared" si="1"/>
        <v>8.474576271</v>
      </c>
      <c r="I219" s="19">
        <f t="shared" si="2"/>
        <v>4</v>
      </c>
      <c r="J219" s="67"/>
      <c r="K219" s="44" t="str">
        <f>IF($B219="","",IFERROR(VLOOKUP($B219,Tiendas!$A$4:$B$176,2,FALSE),""))</f>
        <v>JORDAN</v>
      </c>
      <c r="L219" s="68" t="s">
        <v>296</v>
      </c>
      <c r="M219" s="44" t="str">
        <f>IF($B219="","",IFERROR(VLOOKUP($B219,Tiendas!$A$4:$I$176,9,FALSE),""))</f>
        <v>Si</v>
      </c>
      <c r="N219" s="71">
        <f t="shared" si="3"/>
        <v>0</v>
      </c>
      <c r="O219" s="71">
        <f t="shared" si="4"/>
        <v>0</v>
      </c>
    </row>
    <row r="220" ht="15.75" customHeight="1">
      <c r="A220" s="17">
        <v>46023.0</v>
      </c>
      <c r="B220" s="44" t="s">
        <v>239</v>
      </c>
      <c r="C220" s="44" t="s">
        <v>55</v>
      </c>
      <c r="D220" s="45" t="s">
        <v>295</v>
      </c>
      <c r="E220" s="19">
        <f>IF($D220&lt;&gt;"Entregado",0,IF($C220="","",VLOOKUP($C220,'DATA DE TARIFA'!$A$4:$C$68,2,FALSE)/1.18))</f>
        <v>8.474576271</v>
      </c>
      <c r="F220" s="19">
        <f>IF($C220="","",IF($D220="",0,VLOOKUP($C220,'DATA DE TARIFA'!$A$4:$C$68,3,FALSE)))</f>
        <v>4</v>
      </c>
      <c r="G220" s="66">
        <v>0.0</v>
      </c>
      <c r="H220" s="19">
        <f t="shared" si="1"/>
        <v>8.474576271</v>
      </c>
      <c r="I220" s="19">
        <f t="shared" si="2"/>
        <v>4</v>
      </c>
      <c r="J220" s="67"/>
      <c r="K220" s="44" t="str">
        <f>IF($B220="","",IFERROR(VLOOKUP($B220,Tiendas!$A$4:$B$176,2,FALSE),""))</f>
        <v>JORDAN</v>
      </c>
      <c r="L220" s="68" t="s">
        <v>296</v>
      </c>
      <c r="M220" s="44" t="str">
        <f>IF($B220="","",IFERROR(VLOOKUP($B220,Tiendas!$A$4:$I$176,9,FALSE),""))</f>
        <v>Si</v>
      </c>
      <c r="N220" s="71">
        <f t="shared" si="3"/>
        <v>0</v>
      </c>
      <c r="O220" s="71">
        <f t="shared" si="4"/>
        <v>0</v>
      </c>
    </row>
    <row r="221" ht="15.75" customHeight="1">
      <c r="A221" s="17">
        <v>46023.0</v>
      </c>
      <c r="B221" s="44" t="s">
        <v>239</v>
      </c>
      <c r="C221" s="44" t="s">
        <v>64</v>
      </c>
      <c r="D221" s="45" t="s">
        <v>295</v>
      </c>
      <c r="E221" s="19">
        <f>IF($D221&lt;&gt;"Entregado",0,IF($C221="","",VLOOKUP($C221,'DATA DE TARIFA'!$A$4:$C$68,2,FALSE)/1.18))</f>
        <v>8.474576271</v>
      </c>
      <c r="F221" s="19">
        <f>IF($C221="","",IF($D221="",0,VLOOKUP($C221,'DATA DE TARIFA'!$A$4:$C$68,3,FALSE)))</f>
        <v>4.5</v>
      </c>
      <c r="G221" s="66">
        <v>0.0</v>
      </c>
      <c r="H221" s="19">
        <f t="shared" si="1"/>
        <v>8.474576271</v>
      </c>
      <c r="I221" s="19">
        <f t="shared" si="2"/>
        <v>4.5</v>
      </c>
      <c r="J221" s="67"/>
      <c r="K221" s="44" t="str">
        <f>IF($B221="","",IFERROR(VLOOKUP($B221,Tiendas!$A$4:$B$176,2,FALSE),""))</f>
        <v>JORDAN</v>
      </c>
      <c r="L221" s="68" t="s">
        <v>296</v>
      </c>
      <c r="M221" s="44" t="str">
        <f>IF($B221="","",IFERROR(VLOOKUP($B221,Tiendas!$A$4:$I$176,9,FALSE),""))</f>
        <v>Si</v>
      </c>
      <c r="N221" s="71">
        <f t="shared" si="3"/>
        <v>0</v>
      </c>
      <c r="O221" s="71">
        <f t="shared" si="4"/>
        <v>0</v>
      </c>
    </row>
    <row r="222" ht="15.75" customHeight="1">
      <c r="A222" s="17">
        <v>46023.0</v>
      </c>
      <c r="B222" s="44" t="s">
        <v>239</v>
      </c>
      <c r="C222" s="44" t="s">
        <v>32</v>
      </c>
      <c r="D222" s="45" t="s">
        <v>295</v>
      </c>
      <c r="E222" s="19">
        <f>IF($D222&lt;&gt;"Entregado",0,IF($C222="","",VLOOKUP($C222,'DATA DE TARIFA'!$A$4:$C$68,2,FALSE)/1.18))</f>
        <v>8.474576271</v>
      </c>
      <c r="F222" s="19">
        <f>IF($C222="","",IF($D222="",0,VLOOKUP($C222,'DATA DE TARIFA'!$A$4:$C$68,3,FALSE)))</f>
        <v>4.5</v>
      </c>
      <c r="G222" s="66">
        <v>0.0</v>
      </c>
      <c r="H222" s="19">
        <f t="shared" si="1"/>
        <v>8.474576271</v>
      </c>
      <c r="I222" s="19">
        <f t="shared" si="2"/>
        <v>4.5</v>
      </c>
      <c r="J222" s="67"/>
      <c r="K222" s="44" t="str">
        <f>IF($B222="","",IFERROR(VLOOKUP($B222,Tiendas!$A$4:$B$176,2,FALSE),""))</f>
        <v>JORDAN</v>
      </c>
      <c r="L222" s="68" t="s">
        <v>296</v>
      </c>
      <c r="M222" s="44" t="str">
        <f>IF($B222="","",IFERROR(VLOOKUP($B222,Tiendas!$A$4:$I$176,9,FALSE),""))</f>
        <v>Si</v>
      </c>
      <c r="N222" s="71">
        <f t="shared" si="3"/>
        <v>0</v>
      </c>
      <c r="O222" s="71">
        <f t="shared" si="4"/>
        <v>0</v>
      </c>
    </row>
    <row r="223" ht="15.75" customHeight="1">
      <c r="A223" s="17">
        <v>46023.0</v>
      </c>
      <c r="B223" s="44" t="s">
        <v>239</v>
      </c>
      <c r="C223" s="44" t="s">
        <v>32</v>
      </c>
      <c r="D223" s="45" t="s">
        <v>295</v>
      </c>
      <c r="E223" s="19">
        <f>IF($D223&lt;&gt;"Entregado",0,IF($C223="","",VLOOKUP($C223,'DATA DE TARIFA'!$A$4:$C$68,2,FALSE)/1.18))</f>
        <v>8.474576271</v>
      </c>
      <c r="F223" s="19">
        <f>IF($C223="","",IF($D223="",0,VLOOKUP($C223,'DATA DE TARIFA'!$A$4:$C$68,3,FALSE)))</f>
        <v>4.5</v>
      </c>
      <c r="G223" s="66">
        <v>0.0</v>
      </c>
      <c r="H223" s="19">
        <f t="shared" si="1"/>
        <v>8.474576271</v>
      </c>
      <c r="I223" s="19">
        <f t="shared" si="2"/>
        <v>4.5</v>
      </c>
      <c r="J223" s="67"/>
      <c r="K223" s="44" t="str">
        <f>IF($B223="","",IFERROR(VLOOKUP($B223,Tiendas!$A$4:$B$176,2,FALSE),""))</f>
        <v>JORDAN</v>
      </c>
      <c r="L223" s="68" t="s">
        <v>296</v>
      </c>
      <c r="M223" s="44" t="str">
        <f>IF($B223="","",IFERROR(VLOOKUP($B223,Tiendas!$A$4:$I$176,9,FALSE),""))</f>
        <v>Si</v>
      </c>
      <c r="N223" s="71">
        <f t="shared" si="3"/>
        <v>0</v>
      </c>
      <c r="O223" s="71">
        <f t="shared" si="4"/>
        <v>0</v>
      </c>
    </row>
    <row r="224" ht="15.75" customHeight="1">
      <c r="A224" s="17">
        <v>46023.0</v>
      </c>
      <c r="B224" s="44" t="s">
        <v>239</v>
      </c>
      <c r="C224" s="44" t="s">
        <v>23</v>
      </c>
      <c r="D224" s="45" t="s">
        <v>295</v>
      </c>
      <c r="E224" s="19">
        <f>IF($D224&lt;&gt;"Entregado",0,IF($C224="","",VLOOKUP($C224,'DATA DE TARIFA'!$A$4:$C$68,2,FALSE)/1.18))</f>
        <v>8.474576271</v>
      </c>
      <c r="F224" s="19">
        <f>IF($C224="","",IF($D224="",0,VLOOKUP($C224,'DATA DE TARIFA'!$A$4:$C$68,3,FALSE)))</f>
        <v>4.5</v>
      </c>
      <c r="G224" s="66">
        <v>0.0</v>
      </c>
      <c r="H224" s="19">
        <f t="shared" si="1"/>
        <v>8.474576271</v>
      </c>
      <c r="I224" s="19">
        <f t="shared" si="2"/>
        <v>4.5</v>
      </c>
      <c r="J224" s="67"/>
      <c r="K224" s="44" t="str">
        <f>IF($B224="","",IFERROR(VLOOKUP($B224,Tiendas!$A$4:$B$176,2,FALSE),""))</f>
        <v>JORDAN</v>
      </c>
      <c r="L224" s="68" t="s">
        <v>296</v>
      </c>
      <c r="M224" s="44" t="str">
        <f>IF($B224="","",IFERROR(VLOOKUP($B224,Tiendas!$A$4:$I$176,9,FALSE),""))</f>
        <v>Si</v>
      </c>
      <c r="N224" s="71">
        <f t="shared" si="3"/>
        <v>0</v>
      </c>
      <c r="O224" s="71">
        <f t="shared" si="4"/>
        <v>0</v>
      </c>
    </row>
    <row r="225" ht="15.75" customHeight="1">
      <c r="A225" s="17">
        <v>46023.0</v>
      </c>
      <c r="B225" s="44" t="s">
        <v>239</v>
      </c>
      <c r="C225" s="44" t="s">
        <v>63</v>
      </c>
      <c r="D225" s="45" t="s">
        <v>295</v>
      </c>
      <c r="E225" s="19">
        <f>IF($D225&lt;&gt;"Entregado",0,IF($C225="","",VLOOKUP($C225,'DATA DE TARIFA'!$A$4:$C$68,2,FALSE)/1.18))</f>
        <v>8.474576271</v>
      </c>
      <c r="F225" s="19">
        <f>IF($C225="","",IF($D225="",0,VLOOKUP($C225,'DATA DE TARIFA'!$A$4:$C$68,3,FALSE)))</f>
        <v>4</v>
      </c>
      <c r="G225" s="66">
        <v>0.0</v>
      </c>
      <c r="H225" s="19">
        <f t="shared" si="1"/>
        <v>8.474576271</v>
      </c>
      <c r="I225" s="19">
        <f t="shared" si="2"/>
        <v>4</v>
      </c>
      <c r="J225" s="67"/>
      <c r="K225" s="44" t="str">
        <f>IF($B225="","",IFERROR(VLOOKUP($B225,Tiendas!$A$4:$B$176,2,FALSE),""))</f>
        <v>JORDAN</v>
      </c>
      <c r="L225" s="68" t="s">
        <v>296</v>
      </c>
      <c r="M225" s="44" t="str">
        <f>IF($B225="","",IFERROR(VLOOKUP($B225,Tiendas!$A$4:$I$176,9,FALSE),""))</f>
        <v>Si</v>
      </c>
      <c r="N225" s="71">
        <f t="shared" si="3"/>
        <v>0</v>
      </c>
      <c r="O225" s="71">
        <f t="shared" si="4"/>
        <v>0</v>
      </c>
    </row>
    <row r="226" ht="15.75" customHeight="1">
      <c r="A226" s="17">
        <v>46023.0</v>
      </c>
      <c r="B226" s="44" t="s">
        <v>239</v>
      </c>
      <c r="C226" s="44" t="s">
        <v>32</v>
      </c>
      <c r="D226" s="45" t="s">
        <v>295</v>
      </c>
      <c r="E226" s="19">
        <f>IF($D226&lt;&gt;"Entregado",0,IF($C226="","",VLOOKUP($C226,'DATA DE TARIFA'!$A$4:$C$68,2,FALSE)/1.18))</f>
        <v>8.474576271</v>
      </c>
      <c r="F226" s="19">
        <f>IF($C226="","",IF($D226="",0,VLOOKUP($C226,'DATA DE TARIFA'!$A$4:$C$68,3,FALSE)))</f>
        <v>4.5</v>
      </c>
      <c r="G226" s="66">
        <v>0.0</v>
      </c>
      <c r="H226" s="19">
        <f t="shared" si="1"/>
        <v>8.474576271</v>
      </c>
      <c r="I226" s="19">
        <f t="shared" si="2"/>
        <v>4.5</v>
      </c>
      <c r="J226" s="67"/>
      <c r="K226" s="44" t="str">
        <f>IF($B226="","",IFERROR(VLOOKUP($B226,Tiendas!$A$4:$B$176,2,FALSE),""))</f>
        <v>JORDAN</v>
      </c>
      <c r="L226" s="68" t="s">
        <v>296</v>
      </c>
      <c r="M226" s="44" t="str">
        <f>IF($B226="","",IFERROR(VLOOKUP($B226,Tiendas!$A$4:$I$176,9,FALSE),""))</f>
        <v>Si</v>
      </c>
      <c r="N226" s="71">
        <f t="shared" si="3"/>
        <v>0</v>
      </c>
      <c r="O226" s="71">
        <f t="shared" si="4"/>
        <v>0</v>
      </c>
    </row>
    <row r="227" ht="15.75" customHeight="1">
      <c r="A227" s="17">
        <v>46023.0</v>
      </c>
      <c r="B227" s="44" t="s">
        <v>239</v>
      </c>
      <c r="C227" s="44" t="s">
        <v>24</v>
      </c>
      <c r="D227" s="45" t="s">
        <v>295</v>
      </c>
      <c r="E227" s="19">
        <f>IF($D227&lt;&gt;"Entregado",0,IF($C227="","",VLOOKUP($C227,'DATA DE TARIFA'!$A$4:$C$68,2,FALSE)/1.18))</f>
        <v>8.474576271</v>
      </c>
      <c r="F227" s="19">
        <f>IF($C227="","",IF($D227="",0,VLOOKUP($C227,'DATA DE TARIFA'!$A$4:$C$68,3,FALSE)))</f>
        <v>4.5</v>
      </c>
      <c r="G227" s="66">
        <v>0.0</v>
      </c>
      <c r="H227" s="19">
        <f t="shared" si="1"/>
        <v>8.474576271</v>
      </c>
      <c r="I227" s="19">
        <f t="shared" si="2"/>
        <v>4.5</v>
      </c>
      <c r="J227" s="67"/>
      <c r="K227" s="44" t="str">
        <f>IF($B227="","",IFERROR(VLOOKUP($B227,Tiendas!$A$4:$B$176,2,FALSE),""))</f>
        <v>JORDAN</v>
      </c>
      <c r="L227" s="68" t="s">
        <v>296</v>
      </c>
      <c r="M227" s="44" t="str">
        <f>IF($B227="","",IFERROR(VLOOKUP($B227,Tiendas!$A$4:$I$176,9,FALSE),""))</f>
        <v>Si</v>
      </c>
      <c r="N227" s="71">
        <f t="shared" si="3"/>
        <v>0</v>
      </c>
      <c r="O227" s="71">
        <f t="shared" si="4"/>
        <v>0</v>
      </c>
    </row>
    <row r="228" ht="15.75" customHeight="1">
      <c r="A228" s="17">
        <v>46023.0</v>
      </c>
      <c r="B228" s="44" t="s">
        <v>239</v>
      </c>
      <c r="C228" s="44" t="s">
        <v>64</v>
      </c>
      <c r="D228" s="45" t="s">
        <v>295</v>
      </c>
      <c r="E228" s="19">
        <f>IF($D228&lt;&gt;"Entregado",0,IF($C228="","",VLOOKUP($C228,'DATA DE TARIFA'!$A$4:$C$68,2,FALSE)/1.18))</f>
        <v>8.474576271</v>
      </c>
      <c r="F228" s="19">
        <f>IF($C228="","",IF($D228="",0,VLOOKUP($C228,'DATA DE TARIFA'!$A$4:$C$68,3,FALSE)))</f>
        <v>4.5</v>
      </c>
      <c r="G228" s="66">
        <v>0.0</v>
      </c>
      <c r="H228" s="19">
        <f t="shared" si="1"/>
        <v>8.474576271</v>
      </c>
      <c r="I228" s="19">
        <f t="shared" si="2"/>
        <v>4.5</v>
      </c>
      <c r="J228" s="67"/>
      <c r="K228" s="44" t="str">
        <f>IF($B228="","",IFERROR(VLOOKUP($B228,Tiendas!$A$4:$B$176,2,FALSE),""))</f>
        <v>JORDAN</v>
      </c>
      <c r="L228" s="68" t="s">
        <v>296</v>
      </c>
      <c r="M228" s="44" t="str">
        <f>IF($B228="","",IFERROR(VLOOKUP($B228,Tiendas!$A$4:$I$176,9,FALSE),""))</f>
        <v>Si</v>
      </c>
      <c r="N228" s="71">
        <f t="shared" si="3"/>
        <v>0</v>
      </c>
      <c r="O228" s="71">
        <f t="shared" si="4"/>
        <v>0</v>
      </c>
    </row>
    <row r="229" ht="15.75" customHeight="1">
      <c r="A229" s="17">
        <v>46023.0</v>
      </c>
      <c r="B229" s="44" t="s">
        <v>239</v>
      </c>
      <c r="C229" s="44" t="s">
        <v>30</v>
      </c>
      <c r="D229" s="45" t="s">
        <v>295</v>
      </c>
      <c r="E229" s="19">
        <f>IF($D229&lt;&gt;"Entregado",0,IF($C229="","",VLOOKUP($C229,'DATA DE TARIFA'!$A$4:$C$68,2,FALSE)/1.18))</f>
        <v>8.474576271</v>
      </c>
      <c r="F229" s="19">
        <f>IF($C229="","",IF($D229="",0,VLOOKUP($C229,'DATA DE TARIFA'!$A$4:$C$68,3,FALSE)))</f>
        <v>4.5</v>
      </c>
      <c r="G229" s="66">
        <v>0.0</v>
      </c>
      <c r="H229" s="19">
        <f t="shared" si="1"/>
        <v>8.474576271</v>
      </c>
      <c r="I229" s="19">
        <f t="shared" si="2"/>
        <v>4.5</v>
      </c>
      <c r="J229" s="67"/>
      <c r="K229" s="44" t="str">
        <f>IF($B229="","",IFERROR(VLOOKUP($B229,Tiendas!$A$4:$B$176,2,FALSE),""))</f>
        <v>JORDAN</v>
      </c>
      <c r="L229" s="68" t="s">
        <v>296</v>
      </c>
      <c r="M229" s="44" t="str">
        <f>IF($B229="","",IFERROR(VLOOKUP($B229,Tiendas!$A$4:$I$176,9,FALSE),""))</f>
        <v>Si</v>
      </c>
      <c r="N229" s="71">
        <f t="shared" si="3"/>
        <v>0</v>
      </c>
      <c r="O229" s="71">
        <f t="shared" si="4"/>
        <v>0</v>
      </c>
    </row>
    <row r="230" ht="15.75" customHeight="1">
      <c r="A230" s="17">
        <v>46023.0</v>
      </c>
      <c r="B230" s="44" t="s">
        <v>239</v>
      </c>
      <c r="C230" s="44" t="s">
        <v>30</v>
      </c>
      <c r="D230" s="45" t="s">
        <v>295</v>
      </c>
      <c r="E230" s="19">
        <f>IF($D230&lt;&gt;"Entregado",0,IF($C230="","",VLOOKUP($C230,'DATA DE TARIFA'!$A$4:$C$68,2,FALSE)/1.18))</f>
        <v>8.474576271</v>
      </c>
      <c r="F230" s="19">
        <f>IF($C230="","",IF($D230="",0,VLOOKUP($C230,'DATA DE TARIFA'!$A$4:$C$68,3,FALSE)))</f>
        <v>4.5</v>
      </c>
      <c r="G230" s="66">
        <v>0.0</v>
      </c>
      <c r="H230" s="19">
        <f t="shared" si="1"/>
        <v>8.474576271</v>
      </c>
      <c r="I230" s="19">
        <f t="shared" si="2"/>
        <v>4.5</v>
      </c>
      <c r="J230" s="67"/>
      <c r="K230" s="44" t="str">
        <f>IF($B230="","",IFERROR(VLOOKUP($B230,Tiendas!$A$4:$B$176,2,FALSE),""))</f>
        <v>JORDAN</v>
      </c>
      <c r="L230" s="68" t="s">
        <v>296</v>
      </c>
      <c r="M230" s="44" t="str">
        <f>IF($B230="","",IFERROR(VLOOKUP($B230,Tiendas!$A$4:$I$176,9,FALSE),""))</f>
        <v>Si</v>
      </c>
      <c r="N230" s="71">
        <f t="shared" si="3"/>
        <v>0</v>
      </c>
      <c r="O230" s="71">
        <f t="shared" si="4"/>
        <v>0</v>
      </c>
    </row>
    <row r="231" ht="15.75" customHeight="1">
      <c r="A231" s="17">
        <v>46023.0</v>
      </c>
      <c r="B231" s="44" t="s">
        <v>239</v>
      </c>
      <c r="C231" s="44" t="s">
        <v>64</v>
      </c>
      <c r="D231" s="45" t="s">
        <v>295</v>
      </c>
      <c r="E231" s="19">
        <f>IF($D231&lt;&gt;"Entregado",0,IF($C231="","",VLOOKUP($C231,'DATA DE TARIFA'!$A$4:$C$68,2,FALSE)/1.18))</f>
        <v>8.474576271</v>
      </c>
      <c r="F231" s="19">
        <f>IF($C231="","",IF($D231="",0,VLOOKUP($C231,'DATA DE TARIFA'!$A$4:$C$68,3,FALSE)))</f>
        <v>4.5</v>
      </c>
      <c r="G231" s="66">
        <v>0.0</v>
      </c>
      <c r="H231" s="19">
        <f t="shared" si="1"/>
        <v>8.474576271</v>
      </c>
      <c r="I231" s="19">
        <f t="shared" si="2"/>
        <v>4.5</v>
      </c>
      <c r="J231" s="67"/>
      <c r="K231" s="44" t="str">
        <f>IF($B231="","",IFERROR(VLOOKUP($B231,Tiendas!$A$4:$B$176,2,FALSE),""))</f>
        <v>JORDAN</v>
      </c>
      <c r="L231" s="68" t="s">
        <v>296</v>
      </c>
      <c r="M231" s="44" t="str">
        <f>IF($B231="","",IFERROR(VLOOKUP($B231,Tiendas!$A$4:$I$176,9,FALSE),""))</f>
        <v>Si</v>
      </c>
      <c r="N231" s="71">
        <f t="shared" si="3"/>
        <v>0</v>
      </c>
      <c r="O231" s="71">
        <f t="shared" si="4"/>
        <v>0</v>
      </c>
    </row>
    <row r="232" ht="15.75" customHeight="1">
      <c r="A232" s="17">
        <v>46023.0</v>
      </c>
      <c r="B232" s="44" t="s">
        <v>239</v>
      </c>
      <c r="C232" s="44" t="s">
        <v>64</v>
      </c>
      <c r="D232" s="45" t="s">
        <v>295</v>
      </c>
      <c r="E232" s="19">
        <f>IF($D232&lt;&gt;"Entregado",0,IF($C232="","",VLOOKUP($C232,'DATA DE TARIFA'!$A$4:$C$68,2,FALSE)/1.18))</f>
        <v>8.474576271</v>
      </c>
      <c r="F232" s="19">
        <f>IF($C232="","",IF($D232="",0,VLOOKUP($C232,'DATA DE TARIFA'!$A$4:$C$68,3,FALSE)))</f>
        <v>4.5</v>
      </c>
      <c r="G232" s="66">
        <v>0.0</v>
      </c>
      <c r="H232" s="19">
        <f t="shared" si="1"/>
        <v>8.474576271</v>
      </c>
      <c r="I232" s="19">
        <f t="shared" si="2"/>
        <v>4.5</v>
      </c>
      <c r="J232" s="67"/>
      <c r="K232" s="44" t="str">
        <f>IF($B232="","",IFERROR(VLOOKUP($B232,Tiendas!$A$4:$B$176,2,FALSE),""))</f>
        <v>JORDAN</v>
      </c>
      <c r="L232" s="68" t="s">
        <v>296</v>
      </c>
      <c r="M232" s="44" t="str">
        <f>IF($B232="","",IFERROR(VLOOKUP($B232,Tiendas!$A$4:$I$176,9,FALSE),""))</f>
        <v>Si</v>
      </c>
      <c r="N232" s="71">
        <f t="shared" si="3"/>
        <v>0</v>
      </c>
      <c r="O232" s="71">
        <f t="shared" si="4"/>
        <v>0</v>
      </c>
    </row>
    <row r="233" ht="15.75" customHeight="1">
      <c r="A233" s="17">
        <v>46023.0</v>
      </c>
      <c r="B233" s="44" t="s">
        <v>239</v>
      </c>
      <c r="C233" s="44" t="s">
        <v>64</v>
      </c>
      <c r="D233" s="45" t="s">
        <v>295</v>
      </c>
      <c r="E233" s="19">
        <f>IF($D233&lt;&gt;"Entregado",0,IF($C233="","",VLOOKUP($C233,'DATA DE TARIFA'!$A$4:$C$68,2,FALSE)/1.18))</f>
        <v>8.474576271</v>
      </c>
      <c r="F233" s="19">
        <f>IF($C233="","",IF($D233="",0,VLOOKUP($C233,'DATA DE TARIFA'!$A$4:$C$68,3,FALSE)))</f>
        <v>4.5</v>
      </c>
      <c r="G233" s="66">
        <v>0.0</v>
      </c>
      <c r="H233" s="19">
        <f t="shared" si="1"/>
        <v>8.474576271</v>
      </c>
      <c r="I233" s="19">
        <f t="shared" si="2"/>
        <v>4.5</v>
      </c>
      <c r="J233" s="67"/>
      <c r="K233" s="44" t="str">
        <f>IF($B233="","",IFERROR(VLOOKUP($B233,Tiendas!$A$4:$B$176,2,FALSE),""))</f>
        <v>JORDAN</v>
      </c>
      <c r="L233" s="68" t="s">
        <v>296</v>
      </c>
      <c r="M233" s="44" t="str">
        <f>IF($B233="","",IFERROR(VLOOKUP($B233,Tiendas!$A$4:$I$176,9,FALSE),""))</f>
        <v>Si</v>
      </c>
      <c r="N233" s="71">
        <f t="shared" si="3"/>
        <v>0</v>
      </c>
      <c r="O233" s="71">
        <f t="shared" si="4"/>
        <v>0</v>
      </c>
    </row>
    <row r="234" ht="15.75" customHeight="1">
      <c r="A234" s="17">
        <v>46023.0</v>
      </c>
      <c r="B234" s="44" t="s">
        <v>239</v>
      </c>
      <c r="C234" s="44" t="s">
        <v>30</v>
      </c>
      <c r="D234" s="45" t="s">
        <v>295</v>
      </c>
      <c r="E234" s="19">
        <f>IF($D234&lt;&gt;"Entregado",0,IF($C234="","",VLOOKUP($C234,'DATA DE TARIFA'!$A$4:$C$68,2,FALSE)/1.18))</f>
        <v>8.474576271</v>
      </c>
      <c r="F234" s="19">
        <f>IF($C234="","",IF($D234="",0,VLOOKUP($C234,'DATA DE TARIFA'!$A$4:$C$68,3,FALSE)))</f>
        <v>4.5</v>
      </c>
      <c r="G234" s="66">
        <v>0.0</v>
      </c>
      <c r="H234" s="19">
        <f t="shared" si="1"/>
        <v>8.474576271</v>
      </c>
      <c r="I234" s="19">
        <f t="shared" si="2"/>
        <v>4.5</v>
      </c>
      <c r="J234" s="67"/>
      <c r="K234" s="44" t="str">
        <f>IF($B234="","",IFERROR(VLOOKUP($B234,Tiendas!$A$4:$B$176,2,FALSE),""))</f>
        <v>JORDAN</v>
      </c>
      <c r="L234" s="68" t="s">
        <v>296</v>
      </c>
      <c r="M234" s="44" t="str">
        <f>IF($B234="","",IFERROR(VLOOKUP($B234,Tiendas!$A$4:$I$176,9,FALSE),""))</f>
        <v>Si</v>
      </c>
      <c r="N234" s="71">
        <f t="shared" si="3"/>
        <v>0</v>
      </c>
      <c r="O234" s="71">
        <f t="shared" si="4"/>
        <v>0</v>
      </c>
    </row>
    <row r="235" ht="15.75" customHeight="1">
      <c r="A235" s="17">
        <v>46023.0</v>
      </c>
      <c r="B235" s="44" t="s">
        <v>239</v>
      </c>
      <c r="C235" s="44" t="s">
        <v>64</v>
      </c>
      <c r="D235" s="45" t="s">
        <v>295</v>
      </c>
      <c r="E235" s="19">
        <f>IF($D235&lt;&gt;"Entregado",0,IF($C235="","",VLOOKUP($C235,'DATA DE TARIFA'!$A$4:$C$68,2,FALSE)/1.18))</f>
        <v>8.474576271</v>
      </c>
      <c r="F235" s="19">
        <f>IF($C235="","",IF($D235="",0,VLOOKUP($C235,'DATA DE TARIFA'!$A$4:$C$68,3,FALSE)))</f>
        <v>4.5</v>
      </c>
      <c r="G235" s="66">
        <v>0.0</v>
      </c>
      <c r="H235" s="19">
        <f t="shared" si="1"/>
        <v>8.474576271</v>
      </c>
      <c r="I235" s="19">
        <f t="shared" si="2"/>
        <v>4.5</v>
      </c>
      <c r="J235" s="67"/>
      <c r="K235" s="44" t="str">
        <f>IF($B235="","",IFERROR(VLOOKUP($B235,Tiendas!$A$4:$B$176,2,FALSE),""))</f>
        <v>JORDAN</v>
      </c>
      <c r="L235" s="68" t="s">
        <v>296</v>
      </c>
      <c r="M235" s="44" t="str">
        <f>IF($B235="","",IFERROR(VLOOKUP($B235,Tiendas!$A$4:$I$176,9,FALSE),""))</f>
        <v>Si</v>
      </c>
      <c r="N235" s="71">
        <f t="shared" si="3"/>
        <v>0</v>
      </c>
      <c r="O235" s="71">
        <f t="shared" si="4"/>
        <v>0</v>
      </c>
    </row>
    <row r="236" ht="15.75" customHeight="1">
      <c r="A236" s="17">
        <v>46023.0</v>
      </c>
      <c r="B236" s="44" t="s">
        <v>239</v>
      </c>
      <c r="C236" s="44" t="s">
        <v>64</v>
      </c>
      <c r="D236" s="45" t="s">
        <v>295</v>
      </c>
      <c r="E236" s="19">
        <f>IF($D236&lt;&gt;"Entregado",0,IF($C236="","",VLOOKUP($C236,'DATA DE TARIFA'!$A$4:$C$68,2,FALSE)/1.18))</f>
        <v>8.474576271</v>
      </c>
      <c r="F236" s="19">
        <f>IF($C236="","",IF($D236="",0,VLOOKUP($C236,'DATA DE TARIFA'!$A$4:$C$68,3,FALSE)))</f>
        <v>4.5</v>
      </c>
      <c r="G236" s="66">
        <v>0.0</v>
      </c>
      <c r="H236" s="19">
        <f t="shared" si="1"/>
        <v>8.474576271</v>
      </c>
      <c r="I236" s="19">
        <f t="shared" si="2"/>
        <v>4.5</v>
      </c>
      <c r="J236" s="67"/>
      <c r="K236" s="44" t="str">
        <f>IF($B236="","",IFERROR(VLOOKUP($B236,Tiendas!$A$4:$B$176,2,FALSE),""))</f>
        <v>JORDAN</v>
      </c>
      <c r="L236" s="68" t="s">
        <v>296</v>
      </c>
      <c r="M236" s="44" t="str">
        <f>IF($B236="","",IFERROR(VLOOKUP($B236,Tiendas!$A$4:$I$176,9,FALSE),""))</f>
        <v>Si</v>
      </c>
      <c r="N236" s="71">
        <f t="shared" si="3"/>
        <v>0</v>
      </c>
      <c r="O236" s="71">
        <f t="shared" si="4"/>
        <v>0</v>
      </c>
    </row>
    <row r="237" ht="15.75" customHeight="1">
      <c r="A237" s="17">
        <v>46023.0</v>
      </c>
      <c r="B237" s="44" t="s">
        <v>239</v>
      </c>
      <c r="C237" s="44" t="s">
        <v>30</v>
      </c>
      <c r="D237" s="45" t="s">
        <v>295</v>
      </c>
      <c r="E237" s="19">
        <f>IF($D237&lt;&gt;"Entregado",0,IF($C237="","",VLOOKUP($C237,'DATA DE TARIFA'!$A$4:$C$68,2,FALSE)/1.18))</f>
        <v>8.474576271</v>
      </c>
      <c r="F237" s="19">
        <f>IF($C237="","",IF($D237="",0,VLOOKUP($C237,'DATA DE TARIFA'!$A$4:$C$68,3,FALSE)))</f>
        <v>4.5</v>
      </c>
      <c r="G237" s="66">
        <v>0.0</v>
      </c>
      <c r="H237" s="19">
        <f t="shared" si="1"/>
        <v>8.474576271</v>
      </c>
      <c r="I237" s="19">
        <f t="shared" si="2"/>
        <v>4.5</v>
      </c>
      <c r="J237" s="67"/>
      <c r="K237" s="44" t="str">
        <f>IF($B237="","",IFERROR(VLOOKUP($B237,Tiendas!$A$4:$B$176,2,FALSE),""))</f>
        <v>JORDAN</v>
      </c>
      <c r="L237" s="68" t="s">
        <v>296</v>
      </c>
      <c r="M237" s="44" t="str">
        <f>IF($B237="","",IFERROR(VLOOKUP($B237,Tiendas!$A$4:$I$176,9,FALSE),""))</f>
        <v>Si</v>
      </c>
      <c r="N237" s="71">
        <f t="shared" si="3"/>
        <v>0</v>
      </c>
      <c r="O237" s="71">
        <f t="shared" si="4"/>
        <v>0</v>
      </c>
    </row>
    <row r="238" ht="15.75" customHeight="1">
      <c r="A238" s="17">
        <v>46023.0</v>
      </c>
      <c r="B238" s="44" t="s">
        <v>239</v>
      </c>
      <c r="C238" s="44" t="s">
        <v>64</v>
      </c>
      <c r="D238" s="45" t="s">
        <v>295</v>
      </c>
      <c r="E238" s="19">
        <f>IF($D238&lt;&gt;"Entregado",0,IF($C238="","",VLOOKUP($C238,'DATA DE TARIFA'!$A$4:$C$68,2,FALSE)/1.18))</f>
        <v>8.474576271</v>
      </c>
      <c r="F238" s="19">
        <f>IF($C238="","",IF($D238="",0,VLOOKUP($C238,'DATA DE TARIFA'!$A$4:$C$68,3,FALSE)))</f>
        <v>4.5</v>
      </c>
      <c r="G238" s="66">
        <v>0.0</v>
      </c>
      <c r="H238" s="19">
        <f t="shared" si="1"/>
        <v>8.474576271</v>
      </c>
      <c r="I238" s="19">
        <f t="shared" si="2"/>
        <v>4.5</v>
      </c>
      <c r="J238" s="67"/>
      <c r="K238" s="44" t="str">
        <f>IF($B238="","",IFERROR(VLOOKUP($B238,Tiendas!$A$4:$B$176,2,FALSE),""))</f>
        <v>JORDAN</v>
      </c>
      <c r="L238" s="68" t="s">
        <v>296</v>
      </c>
      <c r="M238" s="44" t="str">
        <f>IF($B238="","",IFERROR(VLOOKUP($B238,Tiendas!$A$4:$I$176,9,FALSE),""))</f>
        <v>Si</v>
      </c>
      <c r="N238" s="71">
        <f t="shared" si="3"/>
        <v>0</v>
      </c>
      <c r="O238" s="71">
        <f t="shared" si="4"/>
        <v>0</v>
      </c>
    </row>
    <row r="239" ht="15.75" customHeight="1">
      <c r="A239" s="17">
        <v>46023.0</v>
      </c>
      <c r="B239" s="44" t="s">
        <v>239</v>
      </c>
      <c r="C239" s="44" t="s">
        <v>64</v>
      </c>
      <c r="D239" s="45" t="s">
        <v>295</v>
      </c>
      <c r="E239" s="19">
        <f>IF($D239&lt;&gt;"Entregado",0,IF($C239="","",VLOOKUP($C239,'DATA DE TARIFA'!$A$4:$C$68,2,FALSE)/1.18))</f>
        <v>8.474576271</v>
      </c>
      <c r="F239" s="19">
        <f>IF($C239="","",IF($D239="",0,VLOOKUP($C239,'DATA DE TARIFA'!$A$4:$C$68,3,FALSE)))</f>
        <v>4.5</v>
      </c>
      <c r="G239" s="66">
        <v>0.0</v>
      </c>
      <c r="H239" s="19">
        <f t="shared" si="1"/>
        <v>8.474576271</v>
      </c>
      <c r="I239" s="19">
        <f t="shared" si="2"/>
        <v>4.5</v>
      </c>
      <c r="J239" s="67"/>
      <c r="K239" s="44" t="str">
        <f>IF($B239="","",IFERROR(VLOOKUP($B239,Tiendas!$A$4:$B$176,2,FALSE),""))</f>
        <v>JORDAN</v>
      </c>
      <c r="L239" s="68" t="s">
        <v>296</v>
      </c>
      <c r="M239" s="44" t="str">
        <f>IF($B239="","",IFERROR(VLOOKUP($B239,Tiendas!$A$4:$I$176,9,FALSE),""))</f>
        <v>Si</v>
      </c>
      <c r="N239" s="71">
        <f t="shared" si="3"/>
        <v>0</v>
      </c>
      <c r="O239" s="71">
        <f t="shared" si="4"/>
        <v>0</v>
      </c>
    </row>
    <row r="240" ht="15.75" customHeight="1">
      <c r="A240" s="17">
        <v>46023.0</v>
      </c>
      <c r="B240" s="44" t="s">
        <v>239</v>
      </c>
      <c r="C240" s="44" t="s">
        <v>64</v>
      </c>
      <c r="D240" s="45" t="s">
        <v>295</v>
      </c>
      <c r="E240" s="19">
        <f>IF($D240&lt;&gt;"Entregado",0,IF($C240="","",VLOOKUP($C240,'DATA DE TARIFA'!$A$4:$C$68,2,FALSE)/1.18))</f>
        <v>8.474576271</v>
      </c>
      <c r="F240" s="19">
        <f>IF($C240="","",IF($D240="",0,VLOOKUP($C240,'DATA DE TARIFA'!$A$4:$C$68,3,FALSE)))</f>
        <v>4.5</v>
      </c>
      <c r="G240" s="66">
        <v>0.0</v>
      </c>
      <c r="H240" s="19">
        <f t="shared" si="1"/>
        <v>8.474576271</v>
      </c>
      <c r="I240" s="19">
        <f t="shared" si="2"/>
        <v>4.5</v>
      </c>
      <c r="J240" s="67"/>
      <c r="K240" s="44" t="str">
        <f>IF($B240="","",IFERROR(VLOOKUP($B240,Tiendas!$A$4:$B$176,2,FALSE),""))</f>
        <v>JORDAN</v>
      </c>
      <c r="L240" s="68" t="s">
        <v>296</v>
      </c>
      <c r="M240" s="44" t="str">
        <f>IF($B240="","",IFERROR(VLOOKUP($B240,Tiendas!$A$4:$I$176,9,FALSE),""))</f>
        <v>Si</v>
      </c>
      <c r="N240" s="71">
        <f t="shared" si="3"/>
        <v>0</v>
      </c>
      <c r="O240" s="71">
        <f t="shared" si="4"/>
        <v>0</v>
      </c>
    </row>
    <row r="241" ht="15.75" customHeight="1">
      <c r="A241" s="17">
        <v>46023.0</v>
      </c>
      <c r="B241" s="44" t="s">
        <v>239</v>
      </c>
      <c r="C241" s="44" t="s">
        <v>61</v>
      </c>
      <c r="D241" s="45" t="s">
        <v>295</v>
      </c>
      <c r="E241" s="19">
        <f>IF($D241&lt;&gt;"Entregado",0,IF($C241="","",VLOOKUP($C241,'DATA DE TARIFA'!$A$4:$C$68,2,FALSE)/1.18))</f>
        <v>8.474576271</v>
      </c>
      <c r="F241" s="19">
        <f>IF($C241="","",IF($D241="",0,VLOOKUP($C241,'DATA DE TARIFA'!$A$4:$C$68,3,FALSE)))</f>
        <v>4.5</v>
      </c>
      <c r="G241" s="66">
        <v>0.0</v>
      </c>
      <c r="H241" s="19">
        <f t="shared" si="1"/>
        <v>8.474576271</v>
      </c>
      <c r="I241" s="19">
        <f t="shared" si="2"/>
        <v>4.5</v>
      </c>
      <c r="J241" s="67"/>
      <c r="K241" s="44" t="str">
        <f>IF($B241="","",IFERROR(VLOOKUP($B241,Tiendas!$A$4:$B$176,2,FALSE),""))</f>
        <v>JORDAN</v>
      </c>
      <c r="L241" s="68" t="s">
        <v>296</v>
      </c>
      <c r="M241" s="44" t="str">
        <f>IF($B241="","",IFERROR(VLOOKUP($B241,Tiendas!$A$4:$I$176,9,FALSE),""))</f>
        <v>Si</v>
      </c>
      <c r="N241" s="71">
        <f t="shared" si="3"/>
        <v>0</v>
      </c>
      <c r="O241" s="71">
        <f t="shared" si="4"/>
        <v>0</v>
      </c>
    </row>
    <row r="242" ht="15.75" customHeight="1">
      <c r="A242" s="17">
        <v>46023.0</v>
      </c>
      <c r="B242" s="44" t="s">
        <v>239</v>
      </c>
      <c r="C242" s="44" t="s">
        <v>32</v>
      </c>
      <c r="D242" s="45" t="s">
        <v>295</v>
      </c>
      <c r="E242" s="19">
        <f>IF($D242&lt;&gt;"Entregado",0,IF($C242="","",VLOOKUP($C242,'DATA DE TARIFA'!$A$4:$C$68,2,FALSE)/1.18))</f>
        <v>8.474576271</v>
      </c>
      <c r="F242" s="19">
        <f>IF($C242="","",IF($D242="",0,VLOOKUP($C242,'DATA DE TARIFA'!$A$4:$C$68,3,FALSE)))</f>
        <v>4.5</v>
      </c>
      <c r="G242" s="66">
        <v>0.0</v>
      </c>
      <c r="H242" s="19">
        <f t="shared" si="1"/>
        <v>8.474576271</v>
      </c>
      <c r="I242" s="19">
        <f t="shared" si="2"/>
        <v>4.5</v>
      </c>
      <c r="J242" s="67"/>
      <c r="K242" s="44" t="str">
        <f>IF($B242="","",IFERROR(VLOOKUP($B242,Tiendas!$A$4:$B$176,2,FALSE),""))</f>
        <v>JORDAN</v>
      </c>
      <c r="L242" s="68" t="s">
        <v>296</v>
      </c>
      <c r="M242" s="44" t="str">
        <f>IF($B242="","",IFERROR(VLOOKUP($B242,Tiendas!$A$4:$I$176,9,FALSE),""))</f>
        <v>Si</v>
      </c>
      <c r="N242" s="71">
        <f t="shared" si="3"/>
        <v>0</v>
      </c>
      <c r="O242" s="71">
        <f t="shared" si="4"/>
        <v>0</v>
      </c>
    </row>
    <row r="243" ht="15.75" customHeight="1">
      <c r="A243" s="17">
        <v>46023.0</v>
      </c>
      <c r="B243" s="44" t="s">
        <v>239</v>
      </c>
      <c r="C243" s="44" t="s">
        <v>91</v>
      </c>
      <c r="D243" s="45" t="s">
        <v>295</v>
      </c>
      <c r="E243" s="19">
        <f>IF($D243&lt;&gt;"Entregado",0,IF($C243="","",VLOOKUP($C243,'DATA DE TARIFA'!$A$4:$C$68,2,FALSE)/1.18))</f>
        <v>17.79661017</v>
      </c>
      <c r="F243" s="19">
        <f>IF($C243="","",IF($D243="",0,VLOOKUP($C243,'DATA DE TARIFA'!$A$4:$C$68,3,FALSE)))</f>
        <v>10</v>
      </c>
      <c r="G243" s="66">
        <v>0.0</v>
      </c>
      <c r="H243" s="19">
        <f t="shared" si="1"/>
        <v>17.79661017</v>
      </c>
      <c r="I243" s="19">
        <f t="shared" si="2"/>
        <v>10</v>
      </c>
      <c r="J243" s="67"/>
      <c r="K243" s="44" t="str">
        <f>IF($B243="","",IFERROR(VLOOKUP($B243,Tiendas!$A$4:$B$176,2,FALSE),""))</f>
        <v>JORDAN</v>
      </c>
      <c r="L243" s="68" t="s">
        <v>296</v>
      </c>
      <c r="M243" s="44" t="str">
        <f>IF($B243="","",IFERROR(VLOOKUP($B243,Tiendas!$A$4:$I$176,9,FALSE),""))</f>
        <v>Si</v>
      </c>
      <c r="N243" s="71">
        <f t="shared" si="3"/>
        <v>0</v>
      </c>
      <c r="O243" s="71">
        <f t="shared" si="4"/>
        <v>0</v>
      </c>
    </row>
    <row r="244" ht="15.75" customHeight="1">
      <c r="A244" s="17">
        <v>46023.0</v>
      </c>
      <c r="B244" s="44" t="s">
        <v>239</v>
      </c>
      <c r="C244" s="44" t="s">
        <v>55</v>
      </c>
      <c r="D244" s="45" t="s">
        <v>295</v>
      </c>
      <c r="E244" s="19">
        <f>IF($D244&lt;&gt;"Entregado",0,IF($C244="","",VLOOKUP($C244,'DATA DE TARIFA'!$A$4:$C$68,2,FALSE)/1.18))</f>
        <v>8.474576271</v>
      </c>
      <c r="F244" s="19">
        <f>IF($C244="","",IF($D244="",0,VLOOKUP($C244,'DATA DE TARIFA'!$A$4:$C$68,3,FALSE)))</f>
        <v>4</v>
      </c>
      <c r="G244" s="66">
        <v>0.0</v>
      </c>
      <c r="H244" s="19">
        <f t="shared" si="1"/>
        <v>8.474576271</v>
      </c>
      <c r="I244" s="19">
        <f t="shared" si="2"/>
        <v>4</v>
      </c>
      <c r="J244" s="67"/>
      <c r="K244" s="44" t="str">
        <f>IF($B244="","",IFERROR(VLOOKUP($B244,Tiendas!$A$4:$B$176,2,FALSE),""))</f>
        <v>JORDAN</v>
      </c>
      <c r="L244" s="68" t="s">
        <v>296</v>
      </c>
      <c r="M244" s="44" t="str">
        <f>IF($B244="","",IFERROR(VLOOKUP($B244,Tiendas!$A$4:$I$176,9,FALSE),""))</f>
        <v>Si</v>
      </c>
      <c r="N244" s="71">
        <f t="shared" si="3"/>
        <v>0</v>
      </c>
      <c r="O244" s="71">
        <f t="shared" si="4"/>
        <v>0</v>
      </c>
    </row>
    <row r="245" ht="15.75" customHeight="1">
      <c r="A245" s="17">
        <v>46023.0</v>
      </c>
      <c r="B245" s="44" t="s">
        <v>239</v>
      </c>
      <c r="C245" s="44" t="s">
        <v>57</v>
      </c>
      <c r="D245" s="45" t="s">
        <v>295</v>
      </c>
      <c r="E245" s="19">
        <f>IF($D245&lt;&gt;"Entregado",0,IF($C245="","",VLOOKUP($C245,'DATA DE TARIFA'!$A$4:$C$68,2,FALSE)/1.18))</f>
        <v>8.474576271</v>
      </c>
      <c r="F245" s="19">
        <f>IF($C245="","",IF($D245="",0,VLOOKUP($C245,'DATA DE TARIFA'!$A$4:$C$68,3,FALSE)))</f>
        <v>4.5</v>
      </c>
      <c r="G245" s="66">
        <v>0.0</v>
      </c>
      <c r="H245" s="19">
        <f t="shared" si="1"/>
        <v>8.474576271</v>
      </c>
      <c r="I245" s="19">
        <f t="shared" si="2"/>
        <v>4.5</v>
      </c>
      <c r="J245" s="67"/>
      <c r="K245" s="44" t="str">
        <f>IF($B245="","",IFERROR(VLOOKUP($B245,Tiendas!$A$4:$B$176,2,FALSE),""))</f>
        <v>JORDAN</v>
      </c>
      <c r="L245" s="68" t="s">
        <v>296</v>
      </c>
      <c r="M245" s="44" t="str">
        <f>IF($B245="","",IFERROR(VLOOKUP($B245,Tiendas!$A$4:$I$176,9,FALSE),""))</f>
        <v>Si</v>
      </c>
      <c r="N245" s="71">
        <f t="shared" si="3"/>
        <v>0</v>
      </c>
      <c r="O245" s="71">
        <f t="shared" si="4"/>
        <v>0</v>
      </c>
    </row>
    <row r="246" ht="15.75" customHeight="1">
      <c r="A246" s="17">
        <v>46023.0</v>
      </c>
      <c r="B246" s="44" t="s">
        <v>239</v>
      </c>
      <c r="C246" s="44" t="s">
        <v>32</v>
      </c>
      <c r="D246" s="45" t="s">
        <v>295</v>
      </c>
      <c r="E246" s="19">
        <f>IF($D246&lt;&gt;"Entregado",0,IF($C246="","",VLOOKUP($C246,'DATA DE TARIFA'!$A$4:$C$68,2,FALSE)/1.18))</f>
        <v>8.474576271</v>
      </c>
      <c r="F246" s="19">
        <f>IF($C246="","",IF($D246="",0,VLOOKUP($C246,'DATA DE TARIFA'!$A$4:$C$68,3,FALSE)))</f>
        <v>4.5</v>
      </c>
      <c r="G246" s="66">
        <v>0.0</v>
      </c>
      <c r="H246" s="19">
        <f t="shared" si="1"/>
        <v>8.474576271</v>
      </c>
      <c r="I246" s="19">
        <f t="shared" si="2"/>
        <v>4.5</v>
      </c>
      <c r="J246" s="67"/>
      <c r="K246" s="44" t="str">
        <f>IF($B246="","",IFERROR(VLOOKUP($B246,Tiendas!$A$4:$B$176,2,FALSE),""))</f>
        <v>JORDAN</v>
      </c>
      <c r="L246" s="68" t="s">
        <v>296</v>
      </c>
      <c r="M246" s="44" t="str">
        <f>IF($B246="","",IFERROR(VLOOKUP($B246,Tiendas!$A$4:$I$176,9,FALSE),""))</f>
        <v>Si</v>
      </c>
      <c r="N246" s="71">
        <f t="shared" si="3"/>
        <v>0</v>
      </c>
      <c r="O246" s="71">
        <f t="shared" si="4"/>
        <v>0</v>
      </c>
    </row>
    <row r="247" ht="15.75" customHeight="1">
      <c r="A247" s="17">
        <v>46023.0</v>
      </c>
      <c r="B247" s="44" t="s">
        <v>239</v>
      </c>
      <c r="C247" s="44" t="s">
        <v>61</v>
      </c>
      <c r="D247" s="45" t="s">
        <v>295</v>
      </c>
      <c r="E247" s="19">
        <f>IF($D247&lt;&gt;"Entregado",0,IF($C247="","",VLOOKUP($C247,'DATA DE TARIFA'!$A$4:$C$68,2,FALSE)/1.18))</f>
        <v>8.474576271</v>
      </c>
      <c r="F247" s="19">
        <f>IF($C247="","",IF($D247="",0,VLOOKUP($C247,'DATA DE TARIFA'!$A$4:$C$68,3,FALSE)))</f>
        <v>4.5</v>
      </c>
      <c r="G247" s="66">
        <v>0.0</v>
      </c>
      <c r="H247" s="19">
        <f t="shared" si="1"/>
        <v>8.474576271</v>
      </c>
      <c r="I247" s="19">
        <f t="shared" si="2"/>
        <v>4.5</v>
      </c>
      <c r="J247" s="67"/>
      <c r="K247" s="44" t="str">
        <f>IF($B247="","",IFERROR(VLOOKUP($B247,Tiendas!$A$4:$B$176,2,FALSE),""))</f>
        <v>JORDAN</v>
      </c>
      <c r="L247" s="68" t="s">
        <v>296</v>
      </c>
      <c r="M247" s="44" t="str">
        <f>IF($B247="","",IFERROR(VLOOKUP($B247,Tiendas!$A$4:$I$176,9,FALSE),""))</f>
        <v>Si</v>
      </c>
      <c r="N247" s="71">
        <f t="shared" si="3"/>
        <v>0</v>
      </c>
      <c r="O247" s="71">
        <f t="shared" si="4"/>
        <v>0</v>
      </c>
    </row>
    <row r="248" ht="15.75" customHeight="1">
      <c r="A248" s="17">
        <v>46023.0</v>
      </c>
      <c r="B248" s="44" t="s">
        <v>239</v>
      </c>
      <c r="C248" s="44" t="s">
        <v>61</v>
      </c>
      <c r="D248" s="45" t="s">
        <v>295</v>
      </c>
      <c r="E248" s="19">
        <f>IF($D248&lt;&gt;"Entregado",0,IF($C248="","",VLOOKUP($C248,'DATA DE TARIFA'!$A$4:$C$68,2,FALSE)/1.18))</f>
        <v>8.474576271</v>
      </c>
      <c r="F248" s="19">
        <f>IF($C248="","",IF($D248="",0,VLOOKUP($C248,'DATA DE TARIFA'!$A$4:$C$68,3,FALSE)))</f>
        <v>4.5</v>
      </c>
      <c r="G248" s="66">
        <v>0.0</v>
      </c>
      <c r="H248" s="19">
        <f t="shared" si="1"/>
        <v>8.474576271</v>
      </c>
      <c r="I248" s="19">
        <f t="shared" si="2"/>
        <v>4.5</v>
      </c>
      <c r="J248" s="67"/>
      <c r="K248" s="44" t="str">
        <f>IF($B248="","",IFERROR(VLOOKUP($B248,Tiendas!$A$4:$B$176,2,FALSE),""))</f>
        <v>JORDAN</v>
      </c>
      <c r="L248" s="68" t="s">
        <v>296</v>
      </c>
      <c r="M248" s="44" t="str">
        <f>IF($B248="","",IFERROR(VLOOKUP($B248,Tiendas!$A$4:$I$176,9,FALSE),""))</f>
        <v>Si</v>
      </c>
      <c r="N248" s="71">
        <f t="shared" si="3"/>
        <v>0</v>
      </c>
      <c r="O248" s="71">
        <f t="shared" si="4"/>
        <v>0</v>
      </c>
    </row>
    <row r="249" ht="15.75" customHeight="1">
      <c r="A249" s="17">
        <v>46023.0</v>
      </c>
      <c r="B249" s="44" t="s">
        <v>239</v>
      </c>
      <c r="C249" s="44" t="s">
        <v>32</v>
      </c>
      <c r="D249" s="45" t="s">
        <v>295</v>
      </c>
      <c r="E249" s="19">
        <f>IF($D249&lt;&gt;"Entregado",0,IF($C249="","",VLOOKUP($C249,'DATA DE TARIFA'!$A$4:$C$68,2,FALSE)/1.18))</f>
        <v>8.474576271</v>
      </c>
      <c r="F249" s="19">
        <f>IF($C249="","",IF($D249="",0,VLOOKUP($C249,'DATA DE TARIFA'!$A$4:$C$68,3,FALSE)))</f>
        <v>4.5</v>
      </c>
      <c r="G249" s="66">
        <v>0.0</v>
      </c>
      <c r="H249" s="19">
        <f t="shared" si="1"/>
        <v>8.474576271</v>
      </c>
      <c r="I249" s="19">
        <f t="shared" si="2"/>
        <v>4.5</v>
      </c>
      <c r="J249" s="67"/>
      <c r="K249" s="44" t="str">
        <f>IF($B249="","",IFERROR(VLOOKUP($B249,Tiendas!$A$4:$B$176,2,FALSE),""))</f>
        <v>JORDAN</v>
      </c>
      <c r="L249" s="68" t="s">
        <v>296</v>
      </c>
      <c r="M249" s="44" t="str">
        <f>IF($B249="","",IFERROR(VLOOKUP($B249,Tiendas!$A$4:$I$176,9,FALSE),""))</f>
        <v>Si</v>
      </c>
      <c r="N249" s="71">
        <f t="shared" si="3"/>
        <v>0</v>
      </c>
      <c r="O249" s="71">
        <f t="shared" si="4"/>
        <v>0</v>
      </c>
    </row>
    <row r="250" ht="15.75" customHeight="1">
      <c r="A250" s="17">
        <v>46023.0</v>
      </c>
      <c r="B250" s="44" t="s">
        <v>239</v>
      </c>
      <c r="C250" s="44" t="s">
        <v>40</v>
      </c>
      <c r="D250" s="45" t="s">
        <v>295</v>
      </c>
      <c r="E250" s="19">
        <f>IF($D250&lt;&gt;"Entregado",0,IF($C250="","",VLOOKUP($C250,'DATA DE TARIFA'!$A$4:$C$68,2,FALSE)/1.18))</f>
        <v>8.474576271</v>
      </c>
      <c r="F250" s="19">
        <f>IF($C250="","",IF($D250="",0,VLOOKUP($C250,'DATA DE TARIFA'!$A$4:$C$68,3,FALSE)))</f>
        <v>4</v>
      </c>
      <c r="G250" s="66">
        <v>0.0</v>
      </c>
      <c r="H250" s="19">
        <f t="shared" si="1"/>
        <v>8.474576271</v>
      </c>
      <c r="I250" s="19">
        <f t="shared" si="2"/>
        <v>4</v>
      </c>
      <c r="J250" s="67"/>
      <c r="K250" s="44" t="str">
        <f>IF($B250="","",IFERROR(VLOOKUP($B250,Tiendas!$A$4:$B$176,2,FALSE),""))</f>
        <v>JORDAN</v>
      </c>
      <c r="L250" s="68" t="s">
        <v>296</v>
      </c>
      <c r="M250" s="44" t="str">
        <f>IF($B250="","",IFERROR(VLOOKUP($B250,Tiendas!$A$4:$I$176,9,FALSE),""))</f>
        <v>Si</v>
      </c>
      <c r="N250" s="71">
        <f t="shared" si="3"/>
        <v>0</v>
      </c>
      <c r="O250" s="71">
        <f t="shared" si="4"/>
        <v>0</v>
      </c>
    </row>
    <row r="251" ht="15.75" customHeight="1">
      <c r="A251" s="17">
        <v>46023.0</v>
      </c>
      <c r="B251" s="44" t="s">
        <v>239</v>
      </c>
      <c r="C251" s="44" t="s">
        <v>30</v>
      </c>
      <c r="D251" s="45" t="s">
        <v>295</v>
      </c>
      <c r="E251" s="19">
        <f>IF($D251&lt;&gt;"Entregado",0,IF($C251="","",VLOOKUP($C251,'DATA DE TARIFA'!$A$4:$C$68,2,FALSE)/1.18))</f>
        <v>8.474576271</v>
      </c>
      <c r="F251" s="19">
        <f>IF($C251="","",IF($D251="",0,VLOOKUP($C251,'DATA DE TARIFA'!$A$4:$C$68,3,FALSE)))</f>
        <v>4.5</v>
      </c>
      <c r="G251" s="66">
        <v>0.0</v>
      </c>
      <c r="H251" s="19">
        <f t="shared" si="1"/>
        <v>8.474576271</v>
      </c>
      <c r="I251" s="19">
        <f t="shared" si="2"/>
        <v>4.5</v>
      </c>
      <c r="J251" s="67"/>
      <c r="K251" s="44" t="str">
        <f>IF($B251="","",IFERROR(VLOOKUP($B251,Tiendas!$A$4:$B$176,2,FALSE),""))</f>
        <v>JORDAN</v>
      </c>
      <c r="L251" s="68" t="s">
        <v>296</v>
      </c>
      <c r="M251" s="44" t="str">
        <f>IF($B251="","",IFERROR(VLOOKUP($B251,Tiendas!$A$4:$I$176,9,FALSE),""))</f>
        <v>Si</v>
      </c>
      <c r="N251" s="71">
        <f t="shared" si="3"/>
        <v>0</v>
      </c>
      <c r="O251" s="71">
        <f t="shared" si="4"/>
        <v>0</v>
      </c>
    </row>
    <row r="252" ht="15.75" customHeight="1">
      <c r="A252" s="17">
        <v>46023.0</v>
      </c>
      <c r="B252" s="44" t="s">
        <v>239</v>
      </c>
      <c r="C252" s="44" t="s">
        <v>32</v>
      </c>
      <c r="D252" s="45" t="s">
        <v>295</v>
      </c>
      <c r="E252" s="19">
        <f>IF($D252&lt;&gt;"Entregado",0,IF($C252="","",VLOOKUP($C252,'DATA DE TARIFA'!$A$4:$C$68,2,FALSE)/1.18))</f>
        <v>8.474576271</v>
      </c>
      <c r="F252" s="19">
        <f>IF($C252="","",IF($D252="",0,VLOOKUP($C252,'DATA DE TARIFA'!$A$4:$C$68,3,FALSE)))</f>
        <v>4.5</v>
      </c>
      <c r="G252" s="66">
        <v>0.0</v>
      </c>
      <c r="H252" s="19">
        <f t="shared" si="1"/>
        <v>8.474576271</v>
      </c>
      <c r="I252" s="19">
        <f t="shared" si="2"/>
        <v>4.5</v>
      </c>
      <c r="J252" s="67"/>
      <c r="K252" s="44" t="str">
        <f>IF($B252="","",IFERROR(VLOOKUP($B252,Tiendas!$A$4:$B$176,2,FALSE),""))</f>
        <v>JORDAN</v>
      </c>
      <c r="L252" s="68" t="s">
        <v>296</v>
      </c>
      <c r="M252" s="44" t="str">
        <f>IF($B252="","",IFERROR(VLOOKUP($B252,Tiendas!$A$4:$I$176,9,FALSE),""))</f>
        <v>Si</v>
      </c>
      <c r="N252" s="71">
        <f t="shared" si="3"/>
        <v>0</v>
      </c>
      <c r="O252" s="71">
        <f t="shared" si="4"/>
        <v>0</v>
      </c>
    </row>
    <row r="253" ht="15.75" customHeight="1">
      <c r="A253" s="17">
        <v>46023.0</v>
      </c>
      <c r="B253" s="44" t="s">
        <v>239</v>
      </c>
      <c r="C253" s="44" t="s">
        <v>63</v>
      </c>
      <c r="D253" s="45" t="s">
        <v>295</v>
      </c>
      <c r="E253" s="19">
        <f>IF($D253&lt;&gt;"Entregado",0,IF($C253="","",VLOOKUP($C253,'DATA DE TARIFA'!$A$4:$C$68,2,FALSE)/1.18))</f>
        <v>8.474576271</v>
      </c>
      <c r="F253" s="19">
        <f>IF($C253="","",IF($D253="",0,VLOOKUP($C253,'DATA DE TARIFA'!$A$4:$C$68,3,FALSE)))</f>
        <v>4</v>
      </c>
      <c r="G253" s="66">
        <v>0.0</v>
      </c>
      <c r="H253" s="19">
        <f t="shared" si="1"/>
        <v>8.474576271</v>
      </c>
      <c r="I253" s="19">
        <f t="shared" si="2"/>
        <v>4</v>
      </c>
      <c r="J253" s="67"/>
      <c r="K253" s="44" t="str">
        <f>IF($B253="","",IFERROR(VLOOKUP($B253,Tiendas!$A$4:$B$176,2,FALSE),""))</f>
        <v>JORDAN</v>
      </c>
      <c r="L253" s="68" t="s">
        <v>296</v>
      </c>
      <c r="M253" s="44" t="str">
        <f>IF($B253="","",IFERROR(VLOOKUP($B253,Tiendas!$A$4:$I$176,9,FALSE),""))</f>
        <v>Si</v>
      </c>
      <c r="N253" s="71">
        <f t="shared" si="3"/>
        <v>0</v>
      </c>
      <c r="O253" s="71">
        <f t="shared" si="4"/>
        <v>0</v>
      </c>
    </row>
    <row r="254" ht="15.75" customHeight="1">
      <c r="A254" s="17">
        <v>46023.0</v>
      </c>
      <c r="B254" s="44" t="s">
        <v>239</v>
      </c>
      <c r="C254" s="44" t="s">
        <v>23</v>
      </c>
      <c r="D254" s="45" t="s">
        <v>295</v>
      </c>
      <c r="E254" s="19">
        <f>IF($D254&lt;&gt;"Entregado",0,IF($C254="","",VLOOKUP($C254,'DATA DE TARIFA'!$A$4:$C$68,2,FALSE)/1.18))</f>
        <v>8.474576271</v>
      </c>
      <c r="F254" s="19">
        <f>IF($C254="","",IF($D254="",0,VLOOKUP($C254,'DATA DE TARIFA'!$A$4:$C$68,3,FALSE)))</f>
        <v>4.5</v>
      </c>
      <c r="G254" s="66">
        <v>0.0</v>
      </c>
      <c r="H254" s="19">
        <f t="shared" si="1"/>
        <v>8.474576271</v>
      </c>
      <c r="I254" s="19">
        <f t="shared" si="2"/>
        <v>4.5</v>
      </c>
      <c r="J254" s="67"/>
      <c r="K254" s="44" t="str">
        <f>IF($B254="","",IFERROR(VLOOKUP($B254,Tiendas!$A$4:$B$176,2,FALSE),""))</f>
        <v>JORDAN</v>
      </c>
      <c r="L254" s="68" t="s">
        <v>296</v>
      </c>
      <c r="M254" s="44" t="str">
        <f>IF($B254="","",IFERROR(VLOOKUP($B254,Tiendas!$A$4:$I$176,9,FALSE),""))</f>
        <v>Si</v>
      </c>
      <c r="N254" s="71">
        <f t="shared" si="3"/>
        <v>0</v>
      </c>
      <c r="O254" s="71">
        <f t="shared" si="4"/>
        <v>0</v>
      </c>
    </row>
    <row r="255" ht="15.75" customHeight="1">
      <c r="A255" s="17">
        <v>46023.0</v>
      </c>
      <c r="B255" s="44" t="s">
        <v>239</v>
      </c>
      <c r="C255" s="44" t="s">
        <v>63</v>
      </c>
      <c r="D255" s="45" t="s">
        <v>295</v>
      </c>
      <c r="E255" s="19">
        <f>IF($D255&lt;&gt;"Entregado",0,IF($C255="","",VLOOKUP($C255,'DATA DE TARIFA'!$A$4:$C$68,2,FALSE)/1.18))</f>
        <v>8.474576271</v>
      </c>
      <c r="F255" s="19">
        <f>IF($C255="","",IF($D255="",0,VLOOKUP($C255,'DATA DE TARIFA'!$A$4:$C$68,3,FALSE)))</f>
        <v>4</v>
      </c>
      <c r="G255" s="66">
        <v>0.0</v>
      </c>
      <c r="H255" s="19">
        <f t="shared" si="1"/>
        <v>8.474576271</v>
      </c>
      <c r="I255" s="19">
        <f t="shared" si="2"/>
        <v>4</v>
      </c>
      <c r="J255" s="67"/>
      <c r="K255" s="44" t="str">
        <f>IF($B255="","",IFERROR(VLOOKUP($B255,Tiendas!$A$4:$B$176,2,FALSE),""))</f>
        <v>JORDAN</v>
      </c>
      <c r="L255" s="68" t="s">
        <v>296</v>
      </c>
      <c r="M255" s="44" t="str">
        <f>IF($B255="","",IFERROR(VLOOKUP($B255,Tiendas!$A$4:$I$176,9,FALSE),""))</f>
        <v>Si</v>
      </c>
      <c r="N255" s="71">
        <f t="shared" si="3"/>
        <v>0</v>
      </c>
      <c r="O255" s="71">
        <f t="shared" si="4"/>
        <v>0</v>
      </c>
    </row>
    <row r="256" ht="15.75" customHeight="1">
      <c r="A256" s="17">
        <v>46023.0</v>
      </c>
      <c r="B256" s="44" t="s">
        <v>239</v>
      </c>
      <c r="C256" s="44" t="s">
        <v>32</v>
      </c>
      <c r="D256" s="45" t="s">
        <v>295</v>
      </c>
      <c r="E256" s="19">
        <f>IF($D256&lt;&gt;"Entregado",0,IF($C256="","",VLOOKUP($C256,'DATA DE TARIFA'!$A$4:$C$68,2,FALSE)/1.18))</f>
        <v>8.474576271</v>
      </c>
      <c r="F256" s="19">
        <f>IF($C256="","",IF($D256="",0,VLOOKUP($C256,'DATA DE TARIFA'!$A$4:$C$68,3,FALSE)))</f>
        <v>4.5</v>
      </c>
      <c r="G256" s="66">
        <v>0.0</v>
      </c>
      <c r="H256" s="19">
        <f t="shared" si="1"/>
        <v>8.474576271</v>
      </c>
      <c r="I256" s="19">
        <f t="shared" si="2"/>
        <v>4.5</v>
      </c>
      <c r="J256" s="67"/>
      <c r="K256" s="44" t="str">
        <f>IF($B256="","",IFERROR(VLOOKUP($B256,Tiendas!$A$4:$B$176,2,FALSE),""))</f>
        <v>JORDAN</v>
      </c>
      <c r="L256" s="68" t="s">
        <v>296</v>
      </c>
      <c r="M256" s="44" t="str">
        <f>IF($B256="","",IFERROR(VLOOKUP($B256,Tiendas!$A$4:$I$176,9,FALSE),""))</f>
        <v>Si</v>
      </c>
      <c r="N256" s="71">
        <f t="shared" si="3"/>
        <v>0</v>
      </c>
      <c r="O256" s="71">
        <f t="shared" si="4"/>
        <v>0</v>
      </c>
    </row>
    <row r="257" ht="15.75" customHeight="1">
      <c r="A257" s="17">
        <v>46023.0</v>
      </c>
      <c r="B257" s="44" t="s">
        <v>239</v>
      </c>
      <c r="C257" s="44" t="s">
        <v>30</v>
      </c>
      <c r="D257" s="45" t="s">
        <v>295</v>
      </c>
      <c r="E257" s="19">
        <f>IF($D257&lt;&gt;"Entregado",0,IF($C257="","",VLOOKUP($C257,'DATA DE TARIFA'!$A$4:$C$68,2,FALSE)/1.18))</f>
        <v>8.474576271</v>
      </c>
      <c r="F257" s="19">
        <f>IF($C257="","",IF($D257="",0,VLOOKUP($C257,'DATA DE TARIFA'!$A$4:$C$68,3,FALSE)))</f>
        <v>4.5</v>
      </c>
      <c r="G257" s="66">
        <v>0.0</v>
      </c>
      <c r="H257" s="19">
        <f t="shared" si="1"/>
        <v>8.474576271</v>
      </c>
      <c r="I257" s="19">
        <f t="shared" si="2"/>
        <v>4.5</v>
      </c>
      <c r="J257" s="67"/>
      <c r="K257" s="44" t="str">
        <f>IF($B257="","",IFERROR(VLOOKUP($B257,Tiendas!$A$4:$B$176,2,FALSE),""))</f>
        <v>JORDAN</v>
      </c>
      <c r="L257" s="68" t="s">
        <v>296</v>
      </c>
      <c r="M257" s="44" t="str">
        <f>IF($B257="","",IFERROR(VLOOKUP($B257,Tiendas!$A$4:$I$176,9,FALSE),""))</f>
        <v>Si</v>
      </c>
      <c r="N257" s="71">
        <f t="shared" si="3"/>
        <v>0</v>
      </c>
      <c r="O257" s="71">
        <f t="shared" si="4"/>
        <v>0</v>
      </c>
    </row>
    <row r="258" ht="15.75" customHeight="1">
      <c r="A258" s="17">
        <v>46023.0</v>
      </c>
      <c r="B258" s="44" t="s">
        <v>239</v>
      </c>
      <c r="C258" s="44" t="s">
        <v>70</v>
      </c>
      <c r="D258" s="45" t="s">
        <v>295</v>
      </c>
      <c r="E258" s="19">
        <f>IF($D258&lt;&gt;"Entregado",0,IF($C258="","",VLOOKUP($C258,'DATA DE TARIFA'!$A$4:$C$68,2,FALSE)/1.18))</f>
        <v>8.474576271</v>
      </c>
      <c r="F258" s="19">
        <f>IF($C258="","",IF($D258="",0,VLOOKUP($C258,'DATA DE TARIFA'!$A$4:$C$68,3,FALSE)))</f>
        <v>4</v>
      </c>
      <c r="G258" s="66">
        <v>0.0</v>
      </c>
      <c r="H258" s="19">
        <f t="shared" si="1"/>
        <v>8.474576271</v>
      </c>
      <c r="I258" s="19">
        <f t="shared" si="2"/>
        <v>4</v>
      </c>
      <c r="J258" s="67"/>
      <c r="K258" s="44" t="str">
        <f>IF($B258="","",IFERROR(VLOOKUP($B258,Tiendas!$A$4:$B$176,2,FALSE),""))</f>
        <v>JORDAN</v>
      </c>
      <c r="L258" s="68" t="s">
        <v>296</v>
      </c>
      <c r="M258" s="44" t="str">
        <f>IF($B258="","",IFERROR(VLOOKUP($B258,Tiendas!$A$4:$I$176,9,FALSE),""))</f>
        <v>Si</v>
      </c>
      <c r="N258" s="71">
        <f t="shared" si="3"/>
        <v>0</v>
      </c>
      <c r="O258" s="71">
        <f t="shared" si="4"/>
        <v>0</v>
      </c>
    </row>
    <row r="259" ht="15.75" customHeight="1">
      <c r="A259" s="17">
        <v>46023.0</v>
      </c>
      <c r="B259" s="44" t="s">
        <v>239</v>
      </c>
      <c r="C259" s="44" t="s">
        <v>42</v>
      </c>
      <c r="D259" s="45" t="s">
        <v>295</v>
      </c>
      <c r="E259" s="19">
        <f>IF($D259&lt;&gt;"Entregado",0,IF($C259="","",VLOOKUP($C259,'DATA DE TARIFA'!$A$4:$C$68,2,FALSE)/1.18))</f>
        <v>8.474576271</v>
      </c>
      <c r="F259" s="19">
        <f>IF($C259="","",IF($D259="",0,VLOOKUP($C259,'DATA DE TARIFA'!$A$4:$C$68,3,FALSE)))</f>
        <v>4</v>
      </c>
      <c r="G259" s="66">
        <v>0.0</v>
      </c>
      <c r="H259" s="19">
        <f t="shared" si="1"/>
        <v>8.474576271</v>
      </c>
      <c r="I259" s="19">
        <f t="shared" si="2"/>
        <v>4</v>
      </c>
      <c r="J259" s="67"/>
      <c r="K259" s="44" t="str">
        <f>IF($B259="","",IFERROR(VLOOKUP($B259,Tiendas!$A$4:$B$176,2,FALSE),""))</f>
        <v>JORDAN</v>
      </c>
      <c r="L259" s="68" t="s">
        <v>296</v>
      </c>
      <c r="M259" s="44" t="str">
        <f>IF($B259="","",IFERROR(VLOOKUP($B259,Tiendas!$A$4:$I$176,9,FALSE),""))</f>
        <v>Si</v>
      </c>
      <c r="N259" s="71">
        <f t="shared" si="3"/>
        <v>0</v>
      </c>
      <c r="O259" s="71">
        <f t="shared" si="4"/>
        <v>0</v>
      </c>
    </row>
    <row r="260" ht="15.75" customHeight="1">
      <c r="A260" s="17">
        <v>46023.0</v>
      </c>
      <c r="B260" s="44" t="s">
        <v>239</v>
      </c>
      <c r="C260" s="44" t="s">
        <v>24</v>
      </c>
      <c r="D260" s="45" t="s">
        <v>295</v>
      </c>
      <c r="E260" s="19">
        <f>IF($D260&lt;&gt;"Entregado",0,IF($C260="","",VLOOKUP($C260,'DATA DE TARIFA'!$A$4:$C$68,2,FALSE)/1.18))</f>
        <v>8.474576271</v>
      </c>
      <c r="F260" s="19">
        <f>IF($C260="","",IF($D260="",0,VLOOKUP($C260,'DATA DE TARIFA'!$A$4:$C$68,3,FALSE)))</f>
        <v>4.5</v>
      </c>
      <c r="G260" s="66">
        <v>0.0</v>
      </c>
      <c r="H260" s="19">
        <f t="shared" si="1"/>
        <v>8.474576271</v>
      </c>
      <c r="I260" s="19">
        <f t="shared" si="2"/>
        <v>4.5</v>
      </c>
      <c r="J260" s="67"/>
      <c r="K260" s="44" t="str">
        <f>IF($B260="","",IFERROR(VLOOKUP($B260,Tiendas!$A$4:$B$176,2,FALSE),""))</f>
        <v>JORDAN</v>
      </c>
      <c r="L260" s="68" t="s">
        <v>296</v>
      </c>
      <c r="M260" s="44" t="str">
        <f>IF($B260="","",IFERROR(VLOOKUP($B260,Tiendas!$A$4:$I$176,9,FALSE),""))</f>
        <v>Si</v>
      </c>
      <c r="N260" s="71">
        <f t="shared" si="3"/>
        <v>0</v>
      </c>
      <c r="O260" s="71">
        <f t="shared" si="4"/>
        <v>0</v>
      </c>
    </row>
    <row r="261" ht="15.75" customHeight="1">
      <c r="A261" s="17">
        <v>46023.0</v>
      </c>
      <c r="B261" s="44" t="s">
        <v>239</v>
      </c>
      <c r="C261" s="44" t="s">
        <v>49</v>
      </c>
      <c r="D261" s="45" t="s">
        <v>295</v>
      </c>
      <c r="E261" s="19">
        <f>IF($D261&lt;&gt;"Entregado",0,IF($C261="","",VLOOKUP($C261,'DATA DE TARIFA'!$A$4:$C$68,2,FALSE)/1.18))</f>
        <v>10.16949153</v>
      </c>
      <c r="F261" s="19">
        <f>IF($C261="","",IF($D261="",0,VLOOKUP($C261,'DATA DE TARIFA'!$A$4:$C$68,3,FALSE)))</f>
        <v>5.5</v>
      </c>
      <c r="G261" s="66">
        <v>0.0</v>
      </c>
      <c r="H261" s="19">
        <f t="shared" si="1"/>
        <v>10.16949153</v>
      </c>
      <c r="I261" s="19">
        <f t="shared" si="2"/>
        <v>5.5</v>
      </c>
      <c r="J261" s="67"/>
      <c r="K261" s="44" t="str">
        <f>IF($B261="","",IFERROR(VLOOKUP($B261,Tiendas!$A$4:$B$176,2,FALSE),""))</f>
        <v>JORDAN</v>
      </c>
      <c r="L261" s="68" t="s">
        <v>296</v>
      </c>
      <c r="M261" s="44" t="str">
        <f>IF($B261="","",IFERROR(VLOOKUP($B261,Tiendas!$A$4:$I$176,9,FALSE),""))</f>
        <v>Si</v>
      </c>
      <c r="N261" s="71">
        <f t="shared" si="3"/>
        <v>0</v>
      </c>
      <c r="O261" s="71">
        <f t="shared" si="4"/>
        <v>0</v>
      </c>
    </row>
    <row r="262" ht="15.75" customHeight="1">
      <c r="A262" s="17">
        <v>46023.0</v>
      </c>
      <c r="B262" s="44" t="s">
        <v>239</v>
      </c>
      <c r="C262" s="44" t="s">
        <v>44</v>
      </c>
      <c r="D262" s="45" t="s">
        <v>295</v>
      </c>
      <c r="E262" s="19">
        <f>IF($D262&lt;&gt;"Entregado",0,IF($C262="","",VLOOKUP($C262,'DATA DE TARIFA'!$A$4:$C$68,2,FALSE)/1.18))</f>
        <v>10.16949153</v>
      </c>
      <c r="F262" s="19">
        <f>IF($C262="","",IF($D262="",0,VLOOKUP($C262,'DATA DE TARIFA'!$A$4:$C$68,3,FALSE)))</f>
        <v>5.5</v>
      </c>
      <c r="G262" s="66">
        <v>0.0</v>
      </c>
      <c r="H262" s="19">
        <f t="shared" si="1"/>
        <v>10.16949153</v>
      </c>
      <c r="I262" s="19">
        <f t="shared" si="2"/>
        <v>5.5</v>
      </c>
      <c r="J262" s="67"/>
      <c r="K262" s="44" t="str">
        <f>IF($B262="","",IFERROR(VLOOKUP($B262,Tiendas!$A$4:$B$176,2,FALSE),""))</f>
        <v>JORDAN</v>
      </c>
      <c r="L262" s="68" t="s">
        <v>296</v>
      </c>
      <c r="M262" s="44" t="str">
        <f>IF($B262="","",IFERROR(VLOOKUP($B262,Tiendas!$A$4:$I$176,9,FALSE),""))</f>
        <v>Si</v>
      </c>
      <c r="N262" s="71">
        <f t="shared" si="3"/>
        <v>0</v>
      </c>
      <c r="O262" s="71">
        <f t="shared" si="4"/>
        <v>0</v>
      </c>
    </row>
    <row r="263" ht="15.75" customHeight="1">
      <c r="A263" s="17">
        <v>46023.0</v>
      </c>
      <c r="B263" s="44" t="s">
        <v>239</v>
      </c>
      <c r="C263" s="44" t="s">
        <v>72</v>
      </c>
      <c r="D263" s="45" t="s">
        <v>295</v>
      </c>
      <c r="E263" s="19">
        <f>IF($D263&lt;&gt;"Entregado",0,IF($C263="","",VLOOKUP($C263,'DATA DE TARIFA'!$A$4:$C$68,2,FALSE)/1.18))</f>
        <v>10.16949153</v>
      </c>
      <c r="F263" s="19">
        <f>IF($C263="","",IF($D263="",0,VLOOKUP($C263,'DATA DE TARIFA'!$A$4:$C$68,3,FALSE)))</f>
        <v>4.5</v>
      </c>
      <c r="G263" s="66">
        <v>0.0</v>
      </c>
      <c r="H263" s="19">
        <f t="shared" si="1"/>
        <v>10.16949153</v>
      </c>
      <c r="I263" s="19">
        <f t="shared" si="2"/>
        <v>4.5</v>
      </c>
      <c r="J263" s="67"/>
      <c r="K263" s="44" t="str">
        <f>IF($B263="","",IFERROR(VLOOKUP($B263,Tiendas!$A$4:$B$176,2,FALSE),""))</f>
        <v>JORDAN</v>
      </c>
      <c r="L263" s="68" t="s">
        <v>296</v>
      </c>
      <c r="M263" s="44" t="str">
        <f>IF($B263="","",IFERROR(VLOOKUP($B263,Tiendas!$A$4:$I$176,9,FALSE),""))</f>
        <v>Si</v>
      </c>
      <c r="N263" s="71">
        <f t="shared" si="3"/>
        <v>0</v>
      </c>
      <c r="O263" s="71">
        <f t="shared" si="4"/>
        <v>0</v>
      </c>
    </row>
    <row r="264" ht="15.75" customHeight="1">
      <c r="A264" s="17">
        <v>46023.0</v>
      </c>
      <c r="B264" s="44" t="s">
        <v>239</v>
      </c>
      <c r="C264" s="44" t="s">
        <v>65</v>
      </c>
      <c r="D264" s="45" t="s">
        <v>295</v>
      </c>
      <c r="E264" s="19">
        <f>IF($D264&lt;&gt;"Entregado",0,IF($C264="","",VLOOKUP($C264,'DATA DE TARIFA'!$A$4:$C$68,2,FALSE)/1.18))</f>
        <v>10.16949153</v>
      </c>
      <c r="F264" s="19">
        <f>IF($C264="","",IF($D264="",0,VLOOKUP($C264,'DATA DE TARIFA'!$A$4:$C$68,3,FALSE)))</f>
        <v>4.5</v>
      </c>
      <c r="G264" s="66">
        <v>0.0</v>
      </c>
      <c r="H264" s="19">
        <f t="shared" si="1"/>
        <v>10.16949153</v>
      </c>
      <c r="I264" s="19">
        <f t="shared" si="2"/>
        <v>4.5</v>
      </c>
      <c r="J264" s="67"/>
      <c r="K264" s="44" t="str">
        <f>IF($B264="","",IFERROR(VLOOKUP($B264,Tiendas!$A$4:$B$176,2,FALSE),""))</f>
        <v>JORDAN</v>
      </c>
      <c r="L264" s="68" t="s">
        <v>296</v>
      </c>
      <c r="M264" s="44" t="str">
        <f>IF($B264="","",IFERROR(VLOOKUP($B264,Tiendas!$A$4:$I$176,9,FALSE),""))</f>
        <v>Si</v>
      </c>
      <c r="N264" s="71">
        <f t="shared" si="3"/>
        <v>0</v>
      </c>
      <c r="O264" s="71">
        <f t="shared" si="4"/>
        <v>0</v>
      </c>
    </row>
    <row r="265" ht="15.75" customHeight="1">
      <c r="A265" s="17">
        <v>46023.0</v>
      </c>
      <c r="B265" s="44" t="s">
        <v>239</v>
      </c>
      <c r="C265" s="44" t="s">
        <v>65</v>
      </c>
      <c r="D265" s="45" t="s">
        <v>295</v>
      </c>
      <c r="E265" s="19">
        <f>IF($D265&lt;&gt;"Entregado",0,IF($C265="","",VLOOKUP($C265,'DATA DE TARIFA'!$A$4:$C$68,2,FALSE)/1.18))</f>
        <v>10.16949153</v>
      </c>
      <c r="F265" s="19">
        <f>IF($C265="","",IF($D265="",0,VLOOKUP($C265,'DATA DE TARIFA'!$A$4:$C$68,3,FALSE)))</f>
        <v>4.5</v>
      </c>
      <c r="G265" s="66">
        <v>0.0</v>
      </c>
      <c r="H265" s="19">
        <f t="shared" si="1"/>
        <v>10.16949153</v>
      </c>
      <c r="I265" s="19">
        <f t="shared" si="2"/>
        <v>4.5</v>
      </c>
      <c r="J265" s="67"/>
      <c r="K265" s="44" t="str">
        <f>IF($B265="","",IFERROR(VLOOKUP($B265,Tiendas!$A$4:$B$176,2,FALSE),""))</f>
        <v>JORDAN</v>
      </c>
      <c r="L265" s="68" t="s">
        <v>296</v>
      </c>
      <c r="M265" s="44" t="str">
        <f>IF($B265="","",IFERROR(VLOOKUP($B265,Tiendas!$A$4:$I$176,9,FALSE),""))</f>
        <v>Si</v>
      </c>
      <c r="N265" s="71">
        <f t="shared" si="3"/>
        <v>0</v>
      </c>
      <c r="O265" s="71">
        <f t="shared" si="4"/>
        <v>0</v>
      </c>
    </row>
    <row r="266" ht="15.75" customHeight="1">
      <c r="A266" s="17">
        <v>46023.0</v>
      </c>
      <c r="B266" s="44" t="s">
        <v>239</v>
      </c>
      <c r="C266" s="44" t="s">
        <v>79</v>
      </c>
      <c r="D266" s="45" t="s">
        <v>295</v>
      </c>
      <c r="E266" s="19">
        <f>IF($D266&lt;&gt;"Entregado",0,IF($C266="","",VLOOKUP($C266,'DATA DE TARIFA'!$A$4:$C$68,2,FALSE)/1.18))</f>
        <v>10.16949153</v>
      </c>
      <c r="F266" s="19">
        <f>IF($C266="","",IF($D266="",0,VLOOKUP($C266,'DATA DE TARIFA'!$A$4:$C$68,3,FALSE)))</f>
        <v>5.5</v>
      </c>
      <c r="G266" s="66">
        <v>0.0</v>
      </c>
      <c r="H266" s="19">
        <f t="shared" si="1"/>
        <v>10.16949153</v>
      </c>
      <c r="I266" s="19">
        <f t="shared" si="2"/>
        <v>5.5</v>
      </c>
      <c r="J266" s="67"/>
      <c r="K266" s="44" t="str">
        <f>IF($B266="","",IFERROR(VLOOKUP($B266,Tiendas!$A$4:$B$176,2,FALSE),""))</f>
        <v>JORDAN</v>
      </c>
      <c r="L266" s="68" t="s">
        <v>296</v>
      </c>
      <c r="M266" s="44" t="str">
        <f>IF($B266="","",IFERROR(VLOOKUP($B266,Tiendas!$A$4:$I$176,9,FALSE),""))</f>
        <v>Si</v>
      </c>
      <c r="N266" s="71">
        <f t="shared" si="3"/>
        <v>0</v>
      </c>
      <c r="O266" s="71">
        <f t="shared" si="4"/>
        <v>0</v>
      </c>
    </row>
    <row r="267" ht="15.75" customHeight="1">
      <c r="A267" s="17">
        <v>46023.0</v>
      </c>
      <c r="B267" s="44" t="s">
        <v>239</v>
      </c>
      <c r="C267" s="44" t="s">
        <v>51</v>
      </c>
      <c r="D267" s="45" t="s">
        <v>295</v>
      </c>
      <c r="E267" s="19">
        <f>IF($D267&lt;&gt;"Entregado",0,IF($C267="","",VLOOKUP($C267,'DATA DE TARIFA'!$A$4:$C$68,2,FALSE)/1.18))</f>
        <v>10.16949153</v>
      </c>
      <c r="F267" s="19">
        <f>IF($C267="","",IF($D267="",0,VLOOKUP($C267,'DATA DE TARIFA'!$A$4:$C$68,3,FALSE)))</f>
        <v>5.5</v>
      </c>
      <c r="G267" s="66">
        <v>0.0</v>
      </c>
      <c r="H267" s="19">
        <f t="shared" si="1"/>
        <v>10.16949153</v>
      </c>
      <c r="I267" s="19">
        <f t="shared" si="2"/>
        <v>5.5</v>
      </c>
      <c r="J267" s="67"/>
      <c r="K267" s="44" t="str">
        <f>IF($B267="","",IFERROR(VLOOKUP($B267,Tiendas!$A$4:$B$176,2,FALSE),""))</f>
        <v>JORDAN</v>
      </c>
      <c r="L267" s="68" t="s">
        <v>296</v>
      </c>
      <c r="M267" s="44" t="str">
        <f>IF($B267="","",IFERROR(VLOOKUP($B267,Tiendas!$A$4:$I$176,9,FALSE),""))</f>
        <v>Si</v>
      </c>
      <c r="N267" s="71">
        <f t="shared" si="3"/>
        <v>0</v>
      </c>
      <c r="O267" s="71">
        <f t="shared" si="4"/>
        <v>0</v>
      </c>
    </row>
    <row r="268" ht="15.75" customHeight="1">
      <c r="A268" s="17">
        <v>46023.0</v>
      </c>
      <c r="B268" s="44" t="s">
        <v>239</v>
      </c>
      <c r="C268" s="44" t="s">
        <v>51</v>
      </c>
      <c r="D268" s="45" t="s">
        <v>295</v>
      </c>
      <c r="E268" s="19">
        <f>IF($D268&lt;&gt;"Entregado",0,IF($C268="","",VLOOKUP($C268,'DATA DE TARIFA'!$A$4:$C$68,2,FALSE)/1.18))</f>
        <v>10.16949153</v>
      </c>
      <c r="F268" s="19">
        <f>IF($C268="","",IF($D268="",0,VLOOKUP($C268,'DATA DE TARIFA'!$A$4:$C$68,3,FALSE)))</f>
        <v>5.5</v>
      </c>
      <c r="G268" s="66">
        <v>0.0</v>
      </c>
      <c r="H268" s="19">
        <f t="shared" si="1"/>
        <v>10.16949153</v>
      </c>
      <c r="I268" s="19">
        <f t="shared" si="2"/>
        <v>5.5</v>
      </c>
      <c r="J268" s="67"/>
      <c r="K268" s="44" t="str">
        <f>IF($B268="","",IFERROR(VLOOKUP($B268,Tiendas!$A$4:$B$176,2,FALSE),""))</f>
        <v>JORDAN</v>
      </c>
      <c r="L268" s="68" t="s">
        <v>296</v>
      </c>
      <c r="M268" s="44" t="str">
        <f>IF($B268="","",IFERROR(VLOOKUP($B268,Tiendas!$A$4:$I$176,9,FALSE),""))</f>
        <v>Si</v>
      </c>
      <c r="N268" s="71">
        <f t="shared" si="3"/>
        <v>0</v>
      </c>
      <c r="O268" s="71">
        <f t="shared" si="4"/>
        <v>0</v>
      </c>
    </row>
    <row r="269" ht="15.75" customHeight="1">
      <c r="A269" s="17">
        <v>46023.0</v>
      </c>
      <c r="B269" s="44" t="s">
        <v>239</v>
      </c>
      <c r="C269" s="44" t="s">
        <v>47</v>
      </c>
      <c r="D269" s="45" t="s">
        <v>295</v>
      </c>
      <c r="E269" s="19">
        <f>IF($D269&lt;&gt;"Entregado",0,IF($C269="","",VLOOKUP($C269,'DATA DE TARIFA'!$A$4:$C$68,2,FALSE)/1.18))</f>
        <v>10.16949153</v>
      </c>
      <c r="F269" s="19">
        <f>IF($C269="","",IF($D269="",0,VLOOKUP($C269,'DATA DE TARIFA'!$A$4:$C$68,3,FALSE)))</f>
        <v>5.5</v>
      </c>
      <c r="G269" s="66">
        <v>0.0</v>
      </c>
      <c r="H269" s="19">
        <f t="shared" si="1"/>
        <v>10.16949153</v>
      </c>
      <c r="I269" s="19">
        <f t="shared" si="2"/>
        <v>5.5</v>
      </c>
      <c r="J269" s="67"/>
      <c r="K269" s="44" t="str">
        <f>IF($B269="","",IFERROR(VLOOKUP($B269,Tiendas!$A$4:$B$176,2,FALSE),""))</f>
        <v>JORDAN</v>
      </c>
      <c r="L269" s="68" t="s">
        <v>296</v>
      </c>
      <c r="M269" s="44" t="str">
        <f>IF($B269="","",IFERROR(VLOOKUP($B269,Tiendas!$A$4:$I$176,9,FALSE),""))</f>
        <v>Si</v>
      </c>
      <c r="N269" s="71">
        <f t="shared" si="3"/>
        <v>0</v>
      </c>
      <c r="O269" s="71">
        <f t="shared" si="4"/>
        <v>0</v>
      </c>
    </row>
    <row r="270" ht="15.75" customHeight="1">
      <c r="A270" s="17">
        <v>46023.0</v>
      </c>
      <c r="B270" s="44" t="s">
        <v>239</v>
      </c>
      <c r="C270" s="44" t="s">
        <v>26</v>
      </c>
      <c r="D270" s="45" t="s">
        <v>295</v>
      </c>
      <c r="E270" s="19">
        <f>IF($D270&lt;&gt;"Entregado",0,IF($C270="","",VLOOKUP($C270,'DATA DE TARIFA'!$A$4:$C$68,2,FALSE)/1.18))</f>
        <v>10.16949153</v>
      </c>
      <c r="F270" s="19">
        <f>IF($C270="","",IF($D270="",0,VLOOKUP($C270,'DATA DE TARIFA'!$A$4:$C$68,3,FALSE)))</f>
        <v>5</v>
      </c>
      <c r="G270" s="66">
        <v>0.0</v>
      </c>
      <c r="H270" s="19">
        <f t="shared" si="1"/>
        <v>10.16949153</v>
      </c>
      <c r="I270" s="19">
        <f t="shared" si="2"/>
        <v>5</v>
      </c>
      <c r="J270" s="67"/>
      <c r="K270" s="44" t="str">
        <f>IF($B270="","",IFERROR(VLOOKUP($B270,Tiendas!$A$4:$B$176,2,FALSE),""))</f>
        <v>JORDAN</v>
      </c>
      <c r="L270" s="68" t="s">
        <v>296</v>
      </c>
      <c r="M270" s="44" t="str">
        <f>IF($B270="","",IFERROR(VLOOKUP($B270,Tiendas!$A$4:$I$176,9,FALSE),""))</f>
        <v>Si</v>
      </c>
      <c r="N270" s="71">
        <f t="shared" si="3"/>
        <v>0</v>
      </c>
      <c r="O270" s="71">
        <f t="shared" si="4"/>
        <v>0</v>
      </c>
    </row>
    <row r="271" ht="15.75" customHeight="1">
      <c r="A271" s="17">
        <v>46023.0</v>
      </c>
      <c r="B271" s="44" t="s">
        <v>239</v>
      </c>
      <c r="C271" s="44" t="s">
        <v>74</v>
      </c>
      <c r="D271" s="45" t="s">
        <v>295</v>
      </c>
      <c r="E271" s="19">
        <f>IF($D271&lt;&gt;"Entregado",0,IF($C271="","",VLOOKUP($C271,'DATA DE TARIFA'!$A$4:$C$68,2,FALSE)/1.18))</f>
        <v>10.16949153</v>
      </c>
      <c r="F271" s="19">
        <f>IF($C271="","",IF($D271="",0,VLOOKUP($C271,'DATA DE TARIFA'!$A$4:$C$68,3,FALSE)))</f>
        <v>5.5</v>
      </c>
      <c r="G271" s="66">
        <v>0.0</v>
      </c>
      <c r="H271" s="19">
        <f t="shared" si="1"/>
        <v>10.16949153</v>
      </c>
      <c r="I271" s="19">
        <f t="shared" si="2"/>
        <v>5.5</v>
      </c>
      <c r="J271" s="67"/>
      <c r="K271" s="44" t="str">
        <f>IF($B271="","",IFERROR(VLOOKUP($B271,Tiendas!$A$4:$B$176,2,FALSE),""))</f>
        <v>JORDAN</v>
      </c>
      <c r="L271" s="68" t="s">
        <v>296</v>
      </c>
      <c r="M271" s="44" t="str">
        <f>IF($B271="","",IFERROR(VLOOKUP($B271,Tiendas!$A$4:$I$176,9,FALSE),""))</f>
        <v>Si</v>
      </c>
      <c r="N271" s="71">
        <f t="shared" si="3"/>
        <v>0</v>
      </c>
      <c r="O271" s="71">
        <f t="shared" si="4"/>
        <v>0</v>
      </c>
    </row>
    <row r="272" ht="15.75" customHeight="1">
      <c r="A272" s="17">
        <v>46023.0</v>
      </c>
      <c r="B272" s="44" t="s">
        <v>239</v>
      </c>
      <c r="C272" s="44" t="s">
        <v>211</v>
      </c>
      <c r="D272" s="45" t="s">
        <v>295</v>
      </c>
      <c r="E272" s="19">
        <f>IF($D272&lt;&gt;"Entregado",0,IF($C272="","",VLOOKUP($C272,'DATA DE TARIFA'!$A$4:$C$68,2,FALSE)/1.18))</f>
        <v>6.779661017</v>
      </c>
      <c r="F272" s="19">
        <f>IF($C272="","",IF($D272="",0,VLOOKUP($C272,'DATA DE TARIFA'!$A$4:$C$68,3,FALSE)))</f>
        <v>4</v>
      </c>
      <c r="G272" s="66">
        <v>0.0</v>
      </c>
      <c r="H272" s="19">
        <f t="shared" si="1"/>
        <v>6.779661017</v>
      </c>
      <c r="I272" s="19">
        <f t="shared" si="2"/>
        <v>4</v>
      </c>
      <c r="J272" s="67"/>
      <c r="K272" s="44" t="str">
        <f>IF($B272="","",IFERROR(VLOOKUP($B272,Tiendas!$A$4:$B$176,2,FALSE),""))</f>
        <v>JORDAN</v>
      </c>
      <c r="L272" s="68" t="s">
        <v>296</v>
      </c>
      <c r="M272" s="44" t="str">
        <f>IF($B272="","",IFERROR(VLOOKUP($B272,Tiendas!$A$4:$I$176,9,FALSE),""))</f>
        <v>Si</v>
      </c>
      <c r="N272" s="71">
        <f t="shared" si="3"/>
        <v>0</v>
      </c>
      <c r="O272" s="71">
        <f t="shared" si="4"/>
        <v>0</v>
      </c>
    </row>
    <row r="273" ht="15.75" customHeight="1">
      <c r="A273" s="17">
        <v>46023.0</v>
      </c>
      <c r="B273" s="44" t="s">
        <v>239</v>
      </c>
      <c r="C273" s="44" t="s">
        <v>38</v>
      </c>
      <c r="D273" s="45" t="s">
        <v>295</v>
      </c>
      <c r="E273" s="19">
        <f>IF($D273&lt;&gt;"Entregado",0,IF($C273="","",VLOOKUP($C273,'DATA DE TARIFA'!$A$4:$C$68,2,FALSE)/1.18))</f>
        <v>8.474576271</v>
      </c>
      <c r="F273" s="19">
        <f>IF($C273="","",IF($D273="",0,VLOOKUP($C273,'DATA DE TARIFA'!$A$4:$C$68,3,FALSE)))</f>
        <v>4</v>
      </c>
      <c r="G273" s="66">
        <v>0.0</v>
      </c>
      <c r="H273" s="19">
        <f t="shared" si="1"/>
        <v>8.474576271</v>
      </c>
      <c r="I273" s="19">
        <f t="shared" si="2"/>
        <v>4</v>
      </c>
      <c r="J273" s="67"/>
      <c r="K273" s="44" t="str">
        <f>IF($B273="","",IFERROR(VLOOKUP($B273,Tiendas!$A$4:$B$176,2,FALSE),""))</f>
        <v>JORDAN</v>
      </c>
      <c r="L273" s="68" t="s">
        <v>296</v>
      </c>
      <c r="M273" s="44" t="str">
        <f>IF($B273="","",IFERROR(VLOOKUP($B273,Tiendas!$A$4:$I$176,9,FALSE),""))</f>
        <v>Si</v>
      </c>
      <c r="N273" s="71">
        <f t="shared" si="3"/>
        <v>0</v>
      </c>
      <c r="O273" s="71">
        <f t="shared" si="4"/>
        <v>0</v>
      </c>
    </row>
    <row r="274" ht="15.75" customHeight="1">
      <c r="A274" s="17">
        <v>46023.0</v>
      </c>
      <c r="B274" s="44" t="s">
        <v>239</v>
      </c>
      <c r="C274" s="44" t="s">
        <v>21</v>
      </c>
      <c r="D274" s="45" t="s">
        <v>295</v>
      </c>
      <c r="E274" s="19">
        <f>IF($D274&lt;&gt;"Entregado",0,IF($C274="","",VLOOKUP($C274,'DATA DE TARIFA'!$A$4:$C$68,2,FALSE)/1.18))</f>
        <v>10.16949153</v>
      </c>
      <c r="F274" s="19">
        <f>IF($C274="","",IF($D274="",0,VLOOKUP($C274,'DATA DE TARIFA'!$A$4:$C$68,3,FALSE)))</f>
        <v>4.5</v>
      </c>
      <c r="G274" s="66">
        <v>0.0</v>
      </c>
      <c r="H274" s="19">
        <f t="shared" si="1"/>
        <v>10.16949153</v>
      </c>
      <c r="I274" s="19">
        <f t="shared" si="2"/>
        <v>4.5</v>
      </c>
      <c r="J274" s="67"/>
      <c r="K274" s="44" t="str">
        <f>IF($B274="","",IFERROR(VLOOKUP($B274,Tiendas!$A$4:$B$176,2,FALSE),""))</f>
        <v>JORDAN</v>
      </c>
      <c r="L274" s="68" t="s">
        <v>296</v>
      </c>
      <c r="M274" s="44" t="str">
        <f>IF($B274="","",IFERROR(VLOOKUP($B274,Tiendas!$A$4:$I$176,9,FALSE),""))</f>
        <v>Si</v>
      </c>
      <c r="N274" s="71">
        <f t="shared" si="3"/>
        <v>0</v>
      </c>
      <c r="O274" s="71">
        <f t="shared" si="4"/>
        <v>0</v>
      </c>
    </row>
    <row r="275" ht="15.75" customHeight="1">
      <c r="A275" s="17">
        <v>46023.0</v>
      </c>
      <c r="B275" s="44" t="s">
        <v>239</v>
      </c>
      <c r="C275" s="44" t="s">
        <v>26</v>
      </c>
      <c r="D275" s="45" t="s">
        <v>295</v>
      </c>
      <c r="E275" s="19">
        <f>IF($D275&lt;&gt;"Entregado",0,IF($C275="","",VLOOKUP($C275,'DATA DE TARIFA'!$A$4:$C$68,2,FALSE)/1.18))</f>
        <v>10.16949153</v>
      </c>
      <c r="F275" s="19">
        <f>IF($C275="","",IF($D275="",0,VLOOKUP($C275,'DATA DE TARIFA'!$A$4:$C$68,3,FALSE)))</f>
        <v>5</v>
      </c>
      <c r="G275" s="66">
        <v>0.0</v>
      </c>
      <c r="H275" s="19">
        <f t="shared" si="1"/>
        <v>10.16949153</v>
      </c>
      <c r="I275" s="19">
        <f t="shared" si="2"/>
        <v>5</v>
      </c>
      <c r="J275" s="67"/>
      <c r="K275" s="44" t="str">
        <f>IF($B275="","",IFERROR(VLOOKUP($B275,Tiendas!$A$4:$B$176,2,FALSE),""))</f>
        <v>JORDAN</v>
      </c>
      <c r="L275" s="68" t="s">
        <v>296</v>
      </c>
      <c r="M275" s="44" t="str">
        <f>IF($B275="","",IFERROR(VLOOKUP($B275,Tiendas!$A$4:$I$176,9,FALSE),""))</f>
        <v>Si</v>
      </c>
      <c r="N275" s="71">
        <f t="shared" si="3"/>
        <v>0</v>
      </c>
      <c r="O275" s="71">
        <f t="shared" si="4"/>
        <v>0</v>
      </c>
    </row>
    <row r="276" ht="15.75" customHeight="1">
      <c r="A276" s="17">
        <v>46023.0</v>
      </c>
      <c r="B276" s="44" t="s">
        <v>239</v>
      </c>
      <c r="C276" s="44" t="s">
        <v>18</v>
      </c>
      <c r="D276" s="45" t="s">
        <v>295</v>
      </c>
      <c r="E276" s="19">
        <f>IF($D276&lt;&gt;"Entregado",0,IF($C276="","",VLOOKUP($C276,'DATA DE TARIFA'!$A$4:$C$68,2,FALSE)/1.18))</f>
        <v>10.16949153</v>
      </c>
      <c r="F276" s="19">
        <f>IF($C276="","",IF($D276="",0,VLOOKUP($C276,'DATA DE TARIFA'!$A$4:$C$68,3,FALSE)))</f>
        <v>4.5</v>
      </c>
      <c r="G276" s="66">
        <v>0.0</v>
      </c>
      <c r="H276" s="19">
        <f t="shared" si="1"/>
        <v>10.16949153</v>
      </c>
      <c r="I276" s="19">
        <f t="shared" si="2"/>
        <v>4.5</v>
      </c>
      <c r="J276" s="67"/>
      <c r="K276" s="44" t="str">
        <f>IF($B276="","",IFERROR(VLOOKUP($B276,Tiendas!$A$4:$B$176,2,FALSE),""))</f>
        <v>JORDAN</v>
      </c>
      <c r="L276" s="68" t="s">
        <v>296</v>
      </c>
      <c r="M276" s="44" t="str">
        <f>IF($B276="","",IFERROR(VLOOKUP($B276,Tiendas!$A$4:$I$176,9,FALSE),""))</f>
        <v>Si</v>
      </c>
      <c r="N276" s="71">
        <f t="shared" si="3"/>
        <v>0</v>
      </c>
      <c r="O276" s="71">
        <f t="shared" si="4"/>
        <v>0</v>
      </c>
    </row>
    <row r="277" ht="15.75" customHeight="1">
      <c r="A277" s="17">
        <v>46023.0</v>
      </c>
      <c r="B277" s="44" t="s">
        <v>239</v>
      </c>
      <c r="C277" s="44" t="s">
        <v>40</v>
      </c>
      <c r="D277" s="45" t="s">
        <v>295</v>
      </c>
      <c r="E277" s="19">
        <f>IF($D277&lt;&gt;"Entregado",0,IF($C277="","",VLOOKUP($C277,'DATA DE TARIFA'!$A$4:$C$68,2,FALSE)/1.18))</f>
        <v>8.474576271</v>
      </c>
      <c r="F277" s="19">
        <f>IF($C277="","",IF($D277="",0,VLOOKUP($C277,'DATA DE TARIFA'!$A$4:$C$68,3,FALSE)))</f>
        <v>4</v>
      </c>
      <c r="G277" s="66">
        <v>0.0</v>
      </c>
      <c r="H277" s="19">
        <f t="shared" si="1"/>
        <v>8.474576271</v>
      </c>
      <c r="I277" s="19">
        <f t="shared" si="2"/>
        <v>4</v>
      </c>
      <c r="J277" s="67"/>
      <c r="K277" s="44" t="str">
        <f>IF($B277="","",IFERROR(VLOOKUP($B277,Tiendas!$A$4:$B$176,2,FALSE),""))</f>
        <v>JORDAN</v>
      </c>
      <c r="L277" s="68" t="s">
        <v>296</v>
      </c>
      <c r="M277" s="44" t="str">
        <f>IF($B277="","",IFERROR(VLOOKUP($B277,Tiendas!$A$4:$I$176,9,FALSE),""))</f>
        <v>Si</v>
      </c>
      <c r="N277" s="71">
        <f t="shared" si="3"/>
        <v>0</v>
      </c>
      <c r="O277" s="71">
        <f t="shared" si="4"/>
        <v>0</v>
      </c>
    </row>
    <row r="278" ht="15.75" customHeight="1">
      <c r="A278" s="17">
        <v>46023.0</v>
      </c>
      <c r="B278" s="44" t="s">
        <v>239</v>
      </c>
      <c r="C278" s="44" t="s">
        <v>18</v>
      </c>
      <c r="D278" s="45" t="s">
        <v>295</v>
      </c>
      <c r="E278" s="19">
        <f>IF($D278&lt;&gt;"Entregado",0,IF($C278="","",VLOOKUP($C278,'DATA DE TARIFA'!$A$4:$C$68,2,FALSE)/1.18))</f>
        <v>10.16949153</v>
      </c>
      <c r="F278" s="19">
        <f>IF($C278="","",IF($D278="",0,VLOOKUP($C278,'DATA DE TARIFA'!$A$4:$C$68,3,FALSE)))</f>
        <v>4.5</v>
      </c>
      <c r="G278" s="66">
        <v>0.0</v>
      </c>
      <c r="H278" s="19">
        <f t="shared" si="1"/>
        <v>10.16949153</v>
      </c>
      <c r="I278" s="19">
        <f t="shared" si="2"/>
        <v>4.5</v>
      </c>
      <c r="J278" s="67"/>
      <c r="K278" s="44" t="str">
        <f>IF($B278="","",IFERROR(VLOOKUP($B278,Tiendas!$A$4:$B$176,2,FALSE),""))</f>
        <v>JORDAN</v>
      </c>
      <c r="L278" s="68" t="s">
        <v>296</v>
      </c>
      <c r="M278" s="44" t="str">
        <f>IF($B278="","",IFERROR(VLOOKUP($B278,Tiendas!$A$4:$I$176,9,FALSE),""))</f>
        <v>Si</v>
      </c>
      <c r="N278" s="71">
        <f t="shared" si="3"/>
        <v>0</v>
      </c>
      <c r="O278" s="71">
        <f t="shared" si="4"/>
        <v>0</v>
      </c>
    </row>
    <row r="279" ht="15.75" customHeight="1">
      <c r="A279" s="17">
        <v>46023.0</v>
      </c>
      <c r="B279" s="44" t="s">
        <v>239</v>
      </c>
      <c r="C279" s="44" t="s">
        <v>51</v>
      </c>
      <c r="D279" s="45" t="s">
        <v>295</v>
      </c>
      <c r="E279" s="19">
        <f>IF($D279&lt;&gt;"Entregado",0,IF($C279="","",VLOOKUP($C279,'DATA DE TARIFA'!$A$4:$C$68,2,FALSE)/1.18))</f>
        <v>10.16949153</v>
      </c>
      <c r="F279" s="19">
        <f>IF($C279="","",IF($D279="",0,VLOOKUP($C279,'DATA DE TARIFA'!$A$4:$C$68,3,FALSE)))</f>
        <v>5.5</v>
      </c>
      <c r="G279" s="66">
        <v>0.0</v>
      </c>
      <c r="H279" s="19">
        <f t="shared" si="1"/>
        <v>10.16949153</v>
      </c>
      <c r="I279" s="19">
        <f t="shared" si="2"/>
        <v>5.5</v>
      </c>
      <c r="J279" s="67"/>
      <c r="K279" s="44" t="str">
        <f>IF($B279="","",IFERROR(VLOOKUP($B279,Tiendas!$A$4:$B$176,2,FALSE),""))</f>
        <v>JORDAN</v>
      </c>
      <c r="L279" s="68" t="s">
        <v>296</v>
      </c>
      <c r="M279" s="44" t="str">
        <f>IF($B279="","",IFERROR(VLOOKUP($B279,Tiendas!$A$4:$I$176,9,FALSE),""))</f>
        <v>Si</v>
      </c>
      <c r="N279" s="71">
        <f t="shared" si="3"/>
        <v>0</v>
      </c>
      <c r="O279" s="71">
        <f t="shared" si="4"/>
        <v>0</v>
      </c>
    </row>
    <row r="280" ht="15.75" customHeight="1">
      <c r="A280" s="17">
        <v>46023.0</v>
      </c>
      <c r="B280" s="44" t="s">
        <v>239</v>
      </c>
      <c r="C280" s="44" t="s">
        <v>44</v>
      </c>
      <c r="D280" s="45" t="s">
        <v>295</v>
      </c>
      <c r="E280" s="19">
        <f>IF($D280&lt;&gt;"Entregado",0,IF($C280="","",VLOOKUP($C280,'DATA DE TARIFA'!$A$4:$C$68,2,FALSE)/1.18))</f>
        <v>10.16949153</v>
      </c>
      <c r="F280" s="19">
        <f>IF($C280="","",IF($D280="",0,VLOOKUP($C280,'DATA DE TARIFA'!$A$4:$C$68,3,FALSE)))</f>
        <v>5.5</v>
      </c>
      <c r="G280" s="66">
        <v>0.0</v>
      </c>
      <c r="H280" s="19">
        <f t="shared" si="1"/>
        <v>10.16949153</v>
      </c>
      <c r="I280" s="19">
        <f t="shared" si="2"/>
        <v>5.5</v>
      </c>
      <c r="J280" s="67"/>
      <c r="K280" s="44" t="str">
        <f>IF($B280="","",IFERROR(VLOOKUP($B280,Tiendas!$A$4:$B$176,2,FALSE),""))</f>
        <v>JORDAN</v>
      </c>
      <c r="L280" s="68" t="s">
        <v>296</v>
      </c>
      <c r="M280" s="44" t="str">
        <f>IF($B280="","",IFERROR(VLOOKUP($B280,Tiendas!$A$4:$I$176,9,FALSE),""))</f>
        <v>Si</v>
      </c>
      <c r="N280" s="71">
        <f t="shared" si="3"/>
        <v>0</v>
      </c>
      <c r="O280" s="71">
        <f t="shared" si="4"/>
        <v>0</v>
      </c>
    </row>
    <row r="281" ht="15.75" customHeight="1">
      <c r="A281" s="17">
        <v>46023.0</v>
      </c>
      <c r="B281" s="44" t="s">
        <v>239</v>
      </c>
      <c r="C281" s="44" t="s">
        <v>21</v>
      </c>
      <c r="D281" s="45" t="s">
        <v>295</v>
      </c>
      <c r="E281" s="19">
        <f>IF($D281&lt;&gt;"Entregado",0,IF($C281="","",VLOOKUP($C281,'DATA DE TARIFA'!$A$4:$C$68,2,FALSE)/1.18))</f>
        <v>10.16949153</v>
      </c>
      <c r="F281" s="19">
        <f>IF($C281="","",IF($D281="",0,VLOOKUP($C281,'DATA DE TARIFA'!$A$4:$C$68,3,FALSE)))</f>
        <v>4.5</v>
      </c>
      <c r="G281" s="66">
        <v>0.0</v>
      </c>
      <c r="H281" s="19">
        <f t="shared" si="1"/>
        <v>10.16949153</v>
      </c>
      <c r="I281" s="19">
        <f t="shared" si="2"/>
        <v>4.5</v>
      </c>
      <c r="J281" s="67"/>
      <c r="K281" s="44" t="str">
        <f>IF($B281="","",IFERROR(VLOOKUP($B281,Tiendas!$A$4:$B$176,2,FALSE),""))</f>
        <v>JORDAN</v>
      </c>
      <c r="L281" s="68" t="s">
        <v>296</v>
      </c>
      <c r="M281" s="44" t="str">
        <f>IF($B281="","",IFERROR(VLOOKUP($B281,Tiendas!$A$4:$I$176,9,FALSE),""))</f>
        <v>Si</v>
      </c>
      <c r="N281" s="71">
        <f t="shared" si="3"/>
        <v>0</v>
      </c>
      <c r="O281" s="71">
        <f t="shared" si="4"/>
        <v>0</v>
      </c>
    </row>
    <row r="282" ht="15.75" customHeight="1">
      <c r="A282" s="17">
        <v>46023.0</v>
      </c>
      <c r="B282" s="44" t="s">
        <v>239</v>
      </c>
      <c r="C282" s="44" t="s">
        <v>34</v>
      </c>
      <c r="D282" s="45" t="s">
        <v>295</v>
      </c>
      <c r="E282" s="19">
        <f>IF($D282&lt;&gt;"Entregado",0,IF($C282="","",VLOOKUP($C282,'DATA DE TARIFA'!$A$4:$C$68,2,FALSE)/1.18))</f>
        <v>10.16949153</v>
      </c>
      <c r="F282" s="19">
        <f>IF($C282="","",IF($D282="",0,VLOOKUP($C282,'DATA DE TARIFA'!$A$4:$C$68,3,FALSE)))</f>
        <v>4.5</v>
      </c>
      <c r="G282" s="66">
        <v>0.0</v>
      </c>
      <c r="H282" s="19">
        <f t="shared" si="1"/>
        <v>10.16949153</v>
      </c>
      <c r="I282" s="19">
        <f t="shared" si="2"/>
        <v>4.5</v>
      </c>
      <c r="J282" s="67"/>
      <c r="K282" s="44" t="str">
        <f>IF($B282="","",IFERROR(VLOOKUP($B282,Tiendas!$A$4:$B$176,2,FALSE),""))</f>
        <v>JORDAN</v>
      </c>
      <c r="L282" s="68" t="s">
        <v>296</v>
      </c>
      <c r="M282" s="44" t="str">
        <f>IF($B282="","",IFERROR(VLOOKUP($B282,Tiendas!$A$4:$I$176,9,FALSE),""))</f>
        <v>Si</v>
      </c>
      <c r="N282" s="71">
        <f t="shared" si="3"/>
        <v>0</v>
      </c>
      <c r="O282" s="71">
        <f t="shared" si="4"/>
        <v>0</v>
      </c>
    </row>
    <row r="283" ht="15.75" customHeight="1">
      <c r="A283" s="17">
        <v>46023.0</v>
      </c>
      <c r="B283" s="44" t="s">
        <v>239</v>
      </c>
      <c r="C283" s="44" t="s">
        <v>26</v>
      </c>
      <c r="D283" s="45" t="s">
        <v>295</v>
      </c>
      <c r="E283" s="19">
        <f>IF($D283&lt;&gt;"Entregado",0,IF($C283="","",VLOOKUP($C283,'DATA DE TARIFA'!$A$4:$C$68,2,FALSE)/1.18))</f>
        <v>10.16949153</v>
      </c>
      <c r="F283" s="19">
        <f>IF($C283="","",IF($D283="",0,VLOOKUP($C283,'DATA DE TARIFA'!$A$4:$C$68,3,FALSE)))</f>
        <v>5</v>
      </c>
      <c r="G283" s="66">
        <v>0.0</v>
      </c>
      <c r="H283" s="19">
        <f t="shared" si="1"/>
        <v>10.16949153</v>
      </c>
      <c r="I283" s="19">
        <f t="shared" si="2"/>
        <v>5</v>
      </c>
      <c r="J283" s="67"/>
      <c r="K283" s="44" t="str">
        <f>IF($B283="","",IFERROR(VLOOKUP($B283,Tiendas!$A$4:$B$176,2,FALSE),""))</f>
        <v>JORDAN</v>
      </c>
      <c r="L283" s="68" t="s">
        <v>296</v>
      </c>
      <c r="M283" s="44" t="str">
        <f>IF($B283="","",IFERROR(VLOOKUP($B283,Tiendas!$A$4:$I$176,9,FALSE),""))</f>
        <v>Si</v>
      </c>
      <c r="N283" s="71">
        <f t="shared" si="3"/>
        <v>0</v>
      </c>
      <c r="O283" s="71">
        <f t="shared" si="4"/>
        <v>0</v>
      </c>
    </row>
    <row r="284" ht="15.75" customHeight="1">
      <c r="A284" s="17">
        <v>46023.0</v>
      </c>
      <c r="B284" s="44" t="s">
        <v>239</v>
      </c>
      <c r="C284" s="44" t="s">
        <v>51</v>
      </c>
      <c r="D284" s="45" t="s">
        <v>295</v>
      </c>
      <c r="E284" s="19">
        <f>IF($D284&lt;&gt;"Entregado",0,IF($C284="","",VLOOKUP($C284,'DATA DE TARIFA'!$A$4:$C$68,2,FALSE)/1.18))</f>
        <v>10.16949153</v>
      </c>
      <c r="F284" s="19">
        <f>IF($C284="","",IF($D284="",0,VLOOKUP($C284,'DATA DE TARIFA'!$A$4:$C$68,3,FALSE)))</f>
        <v>5.5</v>
      </c>
      <c r="G284" s="66">
        <v>0.0</v>
      </c>
      <c r="H284" s="19">
        <f t="shared" si="1"/>
        <v>10.16949153</v>
      </c>
      <c r="I284" s="19">
        <f t="shared" si="2"/>
        <v>5.5</v>
      </c>
      <c r="J284" s="67"/>
      <c r="K284" s="44" t="str">
        <f>IF($B284="","",IFERROR(VLOOKUP($B284,Tiendas!$A$4:$B$176,2,FALSE),""))</f>
        <v>JORDAN</v>
      </c>
      <c r="L284" s="68" t="s">
        <v>296</v>
      </c>
      <c r="M284" s="44" t="str">
        <f>IF($B284="","",IFERROR(VLOOKUP($B284,Tiendas!$A$4:$I$176,9,FALSE),""))</f>
        <v>Si</v>
      </c>
      <c r="N284" s="71">
        <f t="shared" si="3"/>
        <v>0</v>
      </c>
      <c r="O284" s="71">
        <f t="shared" si="4"/>
        <v>0</v>
      </c>
    </row>
    <row r="285" ht="15.75" customHeight="1">
      <c r="A285" s="17">
        <v>46023.0</v>
      </c>
      <c r="B285" s="44" t="s">
        <v>239</v>
      </c>
      <c r="C285" s="44" t="s">
        <v>74</v>
      </c>
      <c r="D285" s="45" t="s">
        <v>295</v>
      </c>
      <c r="E285" s="19">
        <f>IF($D285&lt;&gt;"Entregado",0,IF($C285="","",VLOOKUP($C285,'DATA DE TARIFA'!$A$4:$C$68,2,FALSE)/1.18))</f>
        <v>10.16949153</v>
      </c>
      <c r="F285" s="19">
        <f>IF($C285="","",IF($D285="",0,VLOOKUP($C285,'DATA DE TARIFA'!$A$4:$C$68,3,FALSE)))</f>
        <v>5.5</v>
      </c>
      <c r="G285" s="66">
        <v>0.0</v>
      </c>
      <c r="H285" s="19">
        <f t="shared" si="1"/>
        <v>10.16949153</v>
      </c>
      <c r="I285" s="19">
        <f t="shared" si="2"/>
        <v>5.5</v>
      </c>
      <c r="J285" s="67"/>
      <c r="K285" s="44" t="str">
        <f>IF($B285="","",IFERROR(VLOOKUP($B285,Tiendas!$A$4:$B$176,2,FALSE),""))</f>
        <v>JORDAN</v>
      </c>
      <c r="L285" s="68" t="s">
        <v>296</v>
      </c>
      <c r="M285" s="44" t="str">
        <f>IF($B285="","",IFERROR(VLOOKUP($B285,Tiendas!$A$4:$I$176,9,FALSE),""))</f>
        <v>Si</v>
      </c>
      <c r="N285" s="71">
        <f t="shared" si="3"/>
        <v>0</v>
      </c>
      <c r="O285" s="71">
        <f t="shared" si="4"/>
        <v>0</v>
      </c>
    </row>
    <row r="286" ht="15.75" customHeight="1">
      <c r="A286" s="17">
        <v>46023.0</v>
      </c>
      <c r="B286" s="44" t="s">
        <v>239</v>
      </c>
      <c r="C286" s="44" t="s">
        <v>74</v>
      </c>
      <c r="D286" s="45" t="s">
        <v>295</v>
      </c>
      <c r="E286" s="19">
        <f>IF($D286&lt;&gt;"Entregado",0,IF($C286="","",VLOOKUP($C286,'DATA DE TARIFA'!$A$4:$C$68,2,FALSE)/1.18))</f>
        <v>10.16949153</v>
      </c>
      <c r="F286" s="19">
        <f>IF($C286="","",IF($D286="",0,VLOOKUP($C286,'DATA DE TARIFA'!$A$4:$C$68,3,FALSE)))</f>
        <v>5.5</v>
      </c>
      <c r="G286" s="66">
        <v>0.0</v>
      </c>
      <c r="H286" s="19">
        <f t="shared" si="1"/>
        <v>10.16949153</v>
      </c>
      <c r="I286" s="19">
        <f t="shared" si="2"/>
        <v>5.5</v>
      </c>
      <c r="J286" s="67"/>
      <c r="K286" s="44" t="str">
        <f>IF($B286="","",IFERROR(VLOOKUP($B286,Tiendas!$A$4:$B$176,2,FALSE),""))</f>
        <v>JORDAN</v>
      </c>
      <c r="L286" s="68" t="s">
        <v>296</v>
      </c>
      <c r="M286" s="44" t="str">
        <f>IF($B286="","",IFERROR(VLOOKUP($B286,Tiendas!$A$4:$I$176,9,FALSE),""))</f>
        <v>Si</v>
      </c>
      <c r="N286" s="71">
        <f t="shared" si="3"/>
        <v>0</v>
      </c>
      <c r="O286" s="71">
        <f t="shared" si="4"/>
        <v>0</v>
      </c>
    </row>
    <row r="287" ht="15.75" customHeight="1">
      <c r="A287" s="17">
        <v>46023.0</v>
      </c>
      <c r="B287" s="44" t="s">
        <v>239</v>
      </c>
      <c r="C287" s="44" t="s">
        <v>80</v>
      </c>
      <c r="D287" s="45" t="s">
        <v>295</v>
      </c>
      <c r="E287" s="19">
        <f>IF($D287&lt;&gt;"Entregado",0,IF($C287="","",VLOOKUP($C287,'DATA DE TARIFA'!$A$4:$C$68,2,FALSE)/1.18))</f>
        <v>11.86440678</v>
      </c>
      <c r="F287" s="19">
        <f>IF($C287="","",IF($D287="",0,VLOOKUP($C287,'DATA DE TARIFA'!$A$4:$C$68,3,FALSE)))</f>
        <v>7.5</v>
      </c>
      <c r="G287" s="66">
        <v>0.0</v>
      </c>
      <c r="H287" s="19">
        <f t="shared" si="1"/>
        <v>11.86440678</v>
      </c>
      <c r="I287" s="19">
        <f t="shared" si="2"/>
        <v>7.5</v>
      </c>
      <c r="J287" s="67"/>
      <c r="K287" s="44" t="str">
        <f>IF($B287="","",IFERROR(VLOOKUP($B287,Tiendas!$A$4:$B$176,2,FALSE),""))</f>
        <v>JORDAN</v>
      </c>
      <c r="L287" s="68" t="s">
        <v>296</v>
      </c>
      <c r="M287" s="44" t="str">
        <f>IF($B287="","",IFERROR(VLOOKUP($B287,Tiendas!$A$4:$I$176,9,FALSE),""))</f>
        <v>Si</v>
      </c>
      <c r="N287" s="71">
        <f t="shared" si="3"/>
        <v>0</v>
      </c>
      <c r="O287" s="71">
        <f t="shared" si="4"/>
        <v>0</v>
      </c>
    </row>
    <row r="288" ht="15.75" customHeight="1">
      <c r="A288" s="17">
        <v>46023.0</v>
      </c>
      <c r="B288" s="44" t="s">
        <v>239</v>
      </c>
      <c r="C288" s="44" t="s">
        <v>26</v>
      </c>
      <c r="D288" s="45" t="s">
        <v>295</v>
      </c>
      <c r="E288" s="19">
        <f>IF($D288&lt;&gt;"Entregado",0,IF($C288="","",VLOOKUP($C288,'DATA DE TARIFA'!$A$4:$C$68,2,FALSE)/1.18))</f>
        <v>10.16949153</v>
      </c>
      <c r="F288" s="19">
        <f>IF($C288="","",IF($D288="",0,VLOOKUP($C288,'DATA DE TARIFA'!$A$4:$C$68,3,FALSE)))</f>
        <v>5</v>
      </c>
      <c r="G288" s="66">
        <v>0.0</v>
      </c>
      <c r="H288" s="19">
        <f t="shared" si="1"/>
        <v>10.16949153</v>
      </c>
      <c r="I288" s="19">
        <f t="shared" si="2"/>
        <v>5</v>
      </c>
      <c r="J288" s="67"/>
      <c r="K288" s="44" t="str">
        <f>IF($B288="","",IFERROR(VLOOKUP($B288,Tiendas!$A$4:$B$176,2,FALSE),""))</f>
        <v>JORDAN</v>
      </c>
      <c r="L288" s="68" t="s">
        <v>296</v>
      </c>
      <c r="M288" s="44" t="str">
        <f>IF($B288="","",IFERROR(VLOOKUP($B288,Tiendas!$A$4:$I$176,9,FALSE),""))</f>
        <v>Si</v>
      </c>
      <c r="N288" s="71">
        <f t="shared" si="3"/>
        <v>0</v>
      </c>
      <c r="O288" s="71">
        <f t="shared" si="4"/>
        <v>0</v>
      </c>
    </row>
    <row r="289" ht="15.75" customHeight="1">
      <c r="A289" s="17">
        <v>46023.0</v>
      </c>
      <c r="B289" s="44" t="s">
        <v>239</v>
      </c>
      <c r="C289" s="44" t="s">
        <v>47</v>
      </c>
      <c r="D289" s="45" t="s">
        <v>295</v>
      </c>
      <c r="E289" s="19">
        <f>IF($D289&lt;&gt;"Entregado",0,IF($C289="","",VLOOKUP($C289,'DATA DE TARIFA'!$A$4:$C$68,2,FALSE)/1.18))</f>
        <v>10.16949153</v>
      </c>
      <c r="F289" s="19">
        <f>IF($C289="","",IF($D289="",0,VLOOKUP($C289,'DATA DE TARIFA'!$A$4:$C$68,3,FALSE)))</f>
        <v>5.5</v>
      </c>
      <c r="G289" s="66">
        <v>0.0</v>
      </c>
      <c r="H289" s="19">
        <f t="shared" si="1"/>
        <v>10.16949153</v>
      </c>
      <c r="I289" s="19">
        <f t="shared" si="2"/>
        <v>5.5</v>
      </c>
      <c r="J289" s="67"/>
      <c r="K289" s="44" t="str">
        <f>IF($B289="","",IFERROR(VLOOKUP($B289,Tiendas!$A$4:$B$176,2,FALSE),""))</f>
        <v>JORDAN</v>
      </c>
      <c r="L289" s="68" t="s">
        <v>296</v>
      </c>
      <c r="M289" s="44" t="str">
        <f>IF($B289="","",IFERROR(VLOOKUP($B289,Tiendas!$A$4:$I$176,9,FALSE),""))</f>
        <v>Si</v>
      </c>
      <c r="N289" s="71">
        <f t="shared" si="3"/>
        <v>0</v>
      </c>
      <c r="O289" s="71">
        <f t="shared" si="4"/>
        <v>0</v>
      </c>
    </row>
    <row r="290" ht="15.75" customHeight="1">
      <c r="A290" s="17">
        <v>46023.0</v>
      </c>
      <c r="B290" s="44" t="s">
        <v>239</v>
      </c>
      <c r="C290" s="44" t="s">
        <v>47</v>
      </c>
      <c r="D290" s="45" t="s">
        <v>295</v>
      </c>
      <c r="E290" s="19">
        <f>IF($D290&lt;&gt;"Entregado",0,IF($C290="","",VLOOKUP($C290,'DATA DE TARIFA'!$A$4:$C$68,2,FALSE)/1.18))</f>
        <v>10.16949153</v>
      </c>
      <c r="F290" s="19">
        <f>IF($C290="","",IF($D290="",0,VLOOKUP($C290,'DATA DE TARIFA'!$A$4:$C$68,3,FALSE)))</f>
        <v>5.5</v>
      </c>
      <c r="G290" s="66">
        <v>0.0</v>
      </c>
      <c r="H290" s="19">
        <f t="shared" si="1"/>
        <v>10.16949153</v>
      </c>
      <c r="I290" s="19">
        <f t="shared" si="2"/>
        <v>5.5</v>
      </c>
      <c r="J290" s="67"/>
      <c r="K290" s="44" t="str">
        <f>IF($B290="","",IFERROR(VLOOKUP($B290,Tiendas!$A$4:$B$176,2,FALSE),""))</f>
        <v>JORDAN</v>
      </c>
      <c r="L290" s="68" t="s">
        <v>296</v>
      </c>
      <c r="M290" s="44" t="str">
        <f>IF($B290="","",IFERROR(VLOOKUP($B290,Tiendas!$A$4:$I$176,9,FALSE),""))</f>
        <v>Si</v>
      </c>
      <c r="N290" s="71">
        <f t="shared" si="3"/>
        <v>0</v>
      </c>
      <c r="O290" s="71">
        <f t="shared" si="4"/>
        <v>0</v>
      </c>
    </row>
    <row r="291" ht="15.75" customHeight="1">
      <c r="A291" s="17">
        <v>46023.0</v>
      </c>
      <c r="B291" s="44" t="s">
        <v>239</v>
      </c>
      <c r="C291" s="44" t="s">
        <v>34</v>
      </c>
      <c r="D291" s="45" t="s">
        <v>295</v>
      </c>
      <c r="E291" s="19">
        <f>IF($D291&lt;&gt;"Entregado",0,IF($C291="","",VLOOKUP($C291,'DATA DE TARIFA'!$A$4:$C$68,2,FALSE)/1.18))</f>
        <v>10.16949153</v>
      </c>
      <c r="F291" s="19">
        <f>IF($C291="","",IF($D291="",0,VLOOKUP($C291,'DATA DE TARIFA'!$A$4:$C$68,3,FALSE)))</f>
        <v>4.5</v>
      </c>
      <c r="G291" s="66">
        <v>0.0</v>
      </c>
      <c r="H291" s="19">
        <f t="shared" si="1"/>
        <v>10.16949153</v>
      </c>
      <c r="I291" s="19">
        <f t="shared" si="2"/>
        <v>4.5</v>
      </c>
      <c r="J291" s="67"/>
      <c r="K291" s="44" t="str">
        <f>IF($B291="","",IFERROR(VLOOKUP($B291,Tiendas!$A$4:$B$176,2,FALSE),""))</f>
        <v>JORDAN</v>
      </c>
      <c r="L291" s="68" t="s">
        <v>296</v>
      </c>
      <c r="M291" s="44" t="str">
        <f>IF($B291="","",IFERROR(VLOOKUP($B291,Tiendas!$A$4:$I$176,9,FALSE),""))</f>
        <v>Si</v>
      </c>
      <c r="N291" s="71">
        <f t="shared" si="3"/>
        <v>0</v>
      </c>
      <c r="O291" s="71">
        <f t="shared" si="4"/>
        <v>0</v>
      </c>
    </row>
    <row r="292" ht="15.75" customHeight="1">
      <c r="A292" s="17">
        <v>46023.0</v>
      </c>
      <c r="B292" s="44" t="s">
        <v>239</v>
      </c>
      <c r="C292" s="44" t="s">
        <v>34</v>
      </c>
      <c r="D292" s="45" t="s">
        <v>295</v>
      </c>
      <c r="E292" s="19">
        <f>IF($D292&lt;&gt;"Entregado",0,IF($C292="","",VLOOKUP($C292,'DATA DE TARIFA'!$A$4:$C$68,2,FALSE)/1.18))</f>
        <v>10.16949153</v>
      </c>
      <c r="F292" s="19">
        <f>IF($C292="","",IF($D292="",0,VLOOKUP($C292,'DATA DE TARIFA'!$A$4:$C$68,3,FALSE)))</f>
        <v>4.5</v>
      </c>
      <c r="G292" s="66">
        <v>0.0</v>
      </c>
      <c r="H292" s="19">
        <f t="shared" si="1"/>
        <v>10.16949153</v>
      </c>
      <c r="I292" s="19">
        <f t="shared" si="2"/>
        <v>4.5</v>
      </c>
      <c r="J292" s="67"/>
      <c r="K292" s="44" t="str">
        <f>IF($B292="","",IFERROR(VLOOKUP($B292,Tiendas!$A$4:$B$176,2,FALSE),""))</f>
        <v>JORDAN</v>
      </c>
      <c r="L292" s="68" t="s">
        <v>296</v>
      </c>
      <c r="M292" s="44" t="str">
        <f>IF($B292="","",IFERROR(VLOOKUP($B292,Tiendas!$A$4:$I$176,9,FALSE),""))</f>
        <v>Si</v>
      </c>
      <c r="N292" s="71">
        <f t="shared" si="3"/>
        <v>0</v>
      </c>
      <c r="O292" s="71">
        <f t="shared" si="4"/>
        <v>0</v>
      </c>
    </row>
    <row r="293" ht="15.75" customHeight="1">
      <c r="A293" s="17">
        <v>46023.0</v>
      </c>
      <c r="B293" s="44" t="s">
        <v>239</v>
      </c>
      <c r="C293" s="44" t="s">
        <v>36</v>
      </c>
      <c r="D293" s="45" t="s">
        <v>295</v>
      </c>
      <c r="E293" s="19">
        <f>IF($D293&lt;&gt;"Entregado",0,IF($C293="","",VLOOKUP($C293,'DATA DE TARIFA'!$A$4:$C$68,2,FALSE)/1.18))</f>
        <v>10.16949153</v>
      </c>
      <c r="F293" s="19">
        <f>IF($C293="","",IF($D293="",0,VLOOKUP($C293,'DATA DE TARIFA'!$A$4:$C$68,3,FALSE)))</f>
        <v>4.5</v>
      </c>
      <c r="G293" s="66">
        <v>0.0</v>
      </c>
      <c r="H293" s="19">
        <f t="shared" si="1"/>
        <v>10.16949153</v>
      </c>
      <c r="I293" s="19">
        <f t="shared" si="2"/>
        <v>4.5</v>
      </c>
      <c r="J293" s="67"/>
      <c r="K293" s="44" t="str">
        <f>IF($B293="","",IFERROR(VLOOKUP($B293,Tiendas!$A$4:$B$176,2,FALSE),""))</f>
        <v>JORDAN</v>
      </c>
      <c r="L293" s="68" t="s">
        <v>296</v>
      </c>
      <c r="M293" s="44" t="str">
        <f>IF($B293="","",IFERROR(VLOOKUP($B293,Tiendas!$A$4:$I$176,9,FALSE),""))</f>
        <v>Si</v>
      </c>
      <c r="N293" s="71">
        <f t="shared" si="3"/>
        <v>0</v>
      </c>
      <c r="O293" s="71">
        <f t="shared" si="4"/>
        <v>0</v>
      </c>
    </row>
    <row r="294" ht="15.75" customHeight="1">
      <c r="A294" s="17">
        <v>46023.0</v>
      </c>
      <c r="B294" s="44" t="s">
        <v>239</v>
      </c>
      <c r="C294" s="44" t="s">
        <v>44</v>
      </c>
      <c r="D294" s="45" t="s">
        <v>295</v>
      </c>
      <c r="E294" s="19">
        <f>IF($D294&lt;&gt;"Entregado",0,IF($C294="","",VLOOKUP($C294,'DATA DE TARIFA'!$A$4:$C$68,2,FALSE)/1.18))</f>
        <v>10.16949153</v>
      </c>
      <c r="F294" s="19">
        <f>IF($C294="","",IF($D294="",0,VLOOKUP($C294,'DATA DE TARIFA'!$A$4:$C$68,3,FALSE)))</f>
        <v>5.5</v>
      </c>
      <c r="G294" s="66">
        <v>0.0</v>
      </c>
      <c r="H294" s="19">
        <f t="shared" si="1"/>
        <v>10.16949153</v>
      </c>
      <c r="I294" s="19">
        <f t="shared" si="2"/>
        <v>5.5</v>
      </c>
      <c r="J294" s="67"/>
      <c r="K294" s="44" t="str">
        <f>IF($B294="","",IFERROR(VLOOKUP($B294,Tiendas!$A$4:$B$176,2,FALSE),""))</f>
        <v>JORDAN</v>
      </c>
      <c r="L294" s="68" t="s">
        <v>296</v>
      </c>
      <c r="M294" s="44" t="str">
        <f>IF($B294="","",IFERROR(VLOOKUP($B294,Tiendas!$A$4:$I$176,9,FALSE),""))</f>
        <v>Si</v>
      </c>
      <c r="N294" s="71">
        <f t="shared" si="3"/>
        <v>0</v>
      </c>
      <c r="O294" s="71">
        <f t="shared" si="4"/>
        <v>0</v>
      </c>
    </row>
    <row r="295" ht="15.75" customHeight="1">
      <c r="A295" s="17">
        <v>46023.0</v>
      </c>
      <c r="B295" s="44" t="s">
        <v>239</v>
      </c>
      <c r="C295" s="44" t="s">
        <v>26</v>
      </c>
      <c r="D295" s="45" t="s">
        <v>295</v>
      </c>
      <c r="E295" s="19">
        <f>IF($D295&lt;&gt;"Entregado",0,IF($C295="","",VLOOKUP($C295,'DATA DE TARIFA'!$A$4:$C$68,2,FALSE)/1.18))</f>
        <v>10.16949153</v>
      </c>
      <c r="F295" s="19">
        <f>IF($C295="","",IF($D295="",0,VLOOKUP($C295,'DATA DE TARIFA'!$A$4:$C$68,3,FALSE)))</f>
        <v>5</v>
      </c>
      <c r="G295" s="66">
        <v>0.0</v>
      </c>
      <c r="H295" s="19">
        <f t="shared" si="1"/>
        <v>10.16949153</v>
      </c>
      <c r="I295" s="19">
        <f t="shared" si="2"/>
        <v>5</v>
      </c>
      <c r="J295" s="67"/>
      <c r="K295" s="44" t="str">
        <f>IF($B295="","",IFERROR(VLOOKUP($B295,Tiendas!$A$4:$B$176,2,FALSE),""))</f>
        <v>JORDAN</v>
      </c>
      <c r="L295" s="68" t="s">
        <v>296</v>
      </c>
      <c r="M295" s="44" t="str">
        <f>IF($B295="","",IFERROR(VLOOKUP($B295,Tiendas!$A$4:$I$176,9,FALSE),""))</f>
        <v>Si</v>
      </c>
      <c r="N295" s="71">
        <f t="shared" si="3"/>
        <v>0</v>
      </c>
      <c r="O295" s="71">
        <f t="shared" si="4"/>
        <v>0</v>
      </c>
    </row>
    <row r="296" ht="15.75" customHeight="1">
      <c r="A296" s="17">
        <v>46023.0</v>
      </c>
      <c r="B296" s="44" t="s">
        <v>239</v>
      </c>
      <c r="C296" s="44" t="s">
        <v>65</v>
      </c>
      <c r="D296" s="45" t="s">
        <v>295</v>
      </c>
      <c r="E296" s="19">
        <f>IF($D296&lt;&gt;"Entregado",0,IF($C296="","",VLOOKUP($C296,'DATA DE TARIFA'!$A$4:$C$68,2,FALSE)/1.18))</f>
        <v>10.16949153</v>
      </c>
      <c r="F296" s="19">
        <f>IF($C296="","",IF($D296="",0,VLOOKUP($C296,'DATA DE TARIFA'!$A$4:$C$68,3,FALSE)))</f>
        <v>4.5</v>
      </c>
      <c r="G296" s="66">
        <v>0.0</v>
      </c>
      <c r="H296" s="19">
        <f t="shared" si="1"/>
        <v>10.16949153</v>
      </c>
      <c r="I296" s="19">
        <f t="shared" si="2"/>
        <v>4.5</v>
      </c>
      <c r="J296" s="67"/>
      <c r="K296" s="44" t="str">
        <f>IF($B296="","",IFERROR(VLOOKUP($B296,Tiendas!$A$4:$B$176,2,FALSE),""))</f>
        <v>JORDAN</v>
      </c>
      <c r="L296" s="68" t="s">
        <v>296</v>
      </c>
      <c r="M296" s="44" t="str">
        <f>IF($B296="","",IFERROR(VLOOKUP($B296,Tiendas!$A$4:$I$176,9,FALSE),""))</f>
        <v>Si</v>
      </c>
      <c r="N296" s="71">
        <f t="shared" si="3"/>
        <v>0</v>
      </c>
      <c r="O296" s="71">
        <f t="shared" si="4"/>
        <v>0</v>
      </c>
    </row>
    <row r="297" ht="15.75" customHeight="1">
      <c r="A297" s="17">
        <v>46023.0</v>
      </c>
      <c r="B297" s="44" t="s">
        <v>239</v>
      </c>
      <c r="C297" s="44" t="s">
        <v>72</v>
      </c>
      <c r="D297" s="45" t="s">
        <v>295</v>
      </c>
      <c r="E297" s="19">
        <f>IF($D297&lt;&gt;"Entregado",0,IF($C297="","",VLOOKUP($C297,'DATA DE TARIFA'!$A$4:$C$68,2,FALSE)/1.18))</f>
        <v>10.16949153</v>
      </c>
      <c r="F297" s="19">
        <f>IF($C297="","",IF($D297="",0,VLOOKUP($C297,'DATA DE TARIFA'!$A$4:$C$68,3,FALSE)))</f>
        <v>4.5</v>
      </c>
      <c r="G297" s="66">
        <v>0.0</v>
      </c>
      <c r="H297" s="19">
        <f t="shared" si="1"/>
        <v>10.16949153</v>
      </c>
      <c r="I297" s="19">
        <f t="shared" si="2"/>
        <v>4.5</v>
      </c>
      <c r="J297" s="67"/>
      <c r="K297" s="44" t="str">
        <f>IF($B297="","",IFERROR(VLOOKUP($B297,Tiendas!$A$4:$B$176,2,FALSE),""))</f>
        <v>JORDAN</v>
      </c>
      <c r="L297" s="68" t="s">
        <v>296</v>
      </c>
      <c r="M297" s="44" t="str">
        <f>IF($B297="","",IFERROR(VLOOKUP($B297,Tiendas!$A$4:$I$176,9,FALSE),""))</f>
        <v>Si</v>
      </c>
      <c r="N297" s="71">
        <f t="shared" si="3"/>
        <v>0</v>
      </c>
      <c r="O297" s="71">
        <f t="shared" si="4"/>
        <v>0</v>
      </c>
    </row>
    <row r="298" ht="15.75" customHeight="1">
      <c r="A298" s="17">
        <v>46023.0</v>
      </c>
      <c r="B298" s="44" t="s">
        <v>239</v>
      </c>
      <c r="C298" s="44" t="s">
        <v>26</v>
      </c>
      <c r="D298" s="45" t="s">
        <v>295</v>
      </c>
      <c r="E298" s="19">
        <f>IF($D298&lt;&gt;"Entregado",0,IF($C298="","",VLOOKUP($C298,'DATA DE TARIFA'!$A$4:$C$68,2,FALSE)/1.18))</f>
        <v>10.16949153</v>
      </c>
      <c r="F298" s="19">
        <f>IF($C298="","",IF($D298="",0,VLOOKUP($C298,'DATA DE TARIFA'!$A$4:$C$68,3,FALSE)))</f>
        <v>5</v>
      </c>
      <c r="G298" s="66">
        <v>0.0</v>
      </c>
      <c r="H298" s="19">
        <f t="shared" si="1"/>
        <v>10.16949153</v>
      </c>
      <c r="I298" s="19">
        <f t="shared" si="2"/>
        <v>5</v>
      </c>
      <c r="J298" s="67"/>
      <c r="K298" s="44" t="str">
        <f>IF($B298="","",IFERROR(VLOOKUP($B298,Tiendas!$A$4:$B$176,2,FALSE),""))</f>
        <v>JORDAN</v>
      </c>
      <c r="L298" s="68" t="s">
        <v>296</v>
      </c>
      <c r="M298" s="44" t="str">
        <f>IF($B298="","",IFERROR(VLOOKUP($B298,Tiendas!$A$4:$I$176,9,FALSE),""))</f>
        <v>Si</v>
      </c>
      <c r="N298" s="71">
        <f t="shared" si="3"/>
        <v>0</v>
      </c>
      <c r="O298" s="71">
        <f t="shared" si="4"/>
        <v>0</v>
      </c>
    </row>
    <row r="299" ht="15.75" customHeight="1">
      <c r="A299" s="17">
        <v>46023.0</v>
      </c>
      <c r="B299" s="44" t="s">
        <v>239</v>
      </c>
      <c r="C299" s="44" t="s">
        <v>73</v>
      </c>
      <c r="D299" s="45" t="s">
        <v>295</v>
      </c>
      <c r="E299" s="19">
        <f>IF($D299&lt;&gt;"Entregado",0,IF($C299="","",VLOOKUP($C299,'DATA DE TARIFA'!$A$4:$C$68,2,FALSE)/1.18))</f>
        <v>10.16949153</v>
      </c>
      <c r="F299" s="19">
        <f>IF($C299="","",IF($D299="",0,VLOOKUP($C299,'DATA DE TARIFA'!$A$4:$C$68,3,FALSE)))</f>
        <v>4.5</v>
      </c>
      <c r="G299" s="66">
        <v>0.0</v>
      </c>
      <c r="H299" s="19">
        <f t="shared" si="1"/>
        <v>10.16949153</v>
      </c>
      <c r="I299" s="19">
        <f t="shared" si="2"/>
        <v>4.5</v>
      </c>
      <c r="J299" s="67"/>
      <c r="K299" s="44" t="str">
        <f>IF($B299="","",IFERROR(VLOOKUP($B299,Tiendas!$A$4:$B$176,2,FALSE),""))</f>
        <v>JORDAN</v>
      </c>
      <c r="L299" s="68" t="s">
        <v>296</v>
      </c>
      <c r="M299" s="44" t="str">
        <f>IF($B299="","",IFERROR(VLOOKUP($B299,Tiendas!$A$4:$I$176,9,FALSE),""))</f>
        <v>Si</v>
      </c>
      <c r="N299" s="71">
        <f t="shared" si="3"/>
        <v>0</v>
      </c>
      <c r="O299" s="71">
        <f t="shared" si="4"/>
        <v>0</v>
      </c>
    </row>
    <row r="300" ht="15.75" customHeight="1">
      <c r="A300" s="17">
        <v>46023.0</v>
      </c>
      <c r="B300" s="44" t="s">
        <v>239</v>
      </c>
      <c r="C300" s="44" t="s">
        <v>26</v>
      </c>
      <c r="D300" s="45" t="s">
        <v>295</v>
      </c>
      <c r="E300" s="19">
        <f>IF($D300&lt;&gt;"Entregado",0,IF($C300="","",VLOOKUP($C300,'DATA DE TARIFA'!$A$4:$C$68,2,FALSE)/1.18))</f>
        <v>10.16949153</v>
      </c>
      <c r="F300" s="19">
        <f>IF($C300="","",IF($D300="",0,VLOOKUP($C300,'DATA DE TARIFA'!$A$4:$C$68,3,FALSE)))</f>
        <v>5</v>
      </c>
      <c r="G300" s="66">
        <v>0.0</v>
      </c>
      <c r="H300" s="19">
        <f t="shared" si="1"/>
        <v>10.16949153</v>
      </c>
      <c r="I300" s="19">
        <f t="shared" si="2"/>
        <v>5</v>
      </c>
      <c r="J300" s="67"/>
      <c r="K300" s="44" t="str">
        <f>IF($B300="","",IFERROR(VLOOKUP($B300,Tiendas!$A$4:$B$176,2,FALSE),""))</f>
        <v>JORDAN</v>
      </c>
      <c r="L300" s="68" t="s">
        <v>296</v>
      </c>
      <c r="M300" s="44" t="str">
        <f>IF($B300="","",IFERROR(VLOOKUP($B300,Tiendas!$A$4:$I$176,9,FALSE),""))</f>
        <v>Si</v>
      </c>
      <c r="N300" s="71">
        <f t="shared" si="3"/>
        <v>0</v>
      </c>
      <c r="O300" s="71">
        <f t="shared" si="4"/>
        <v>0</v>
      </c>
    </row>
    <row r="301" ht="15.75" customHeight="1">
      <c r="A301" s="17">
        <v>46023.0</v>
      </c>
      <c r="B301" s="44" t="s">
        <v>239</v>
      </c>
      <c r="C301" s="44" t="s">
        <v>26</v>
      </c>
      <c r="D301" s="45" t="s">
        <v>295</v>
      </c>
      <c r="E301" s="19">
        <f>IF($D301&lt;&gt;"Entregado",0,IF($C301="","",VLOOKUP($C301,'DATA DE TARIFA'!$A$4:$C$68,2,FALSE)/1.18))</f>
        <v>10.16949153</v>
      </c>
      <c r="F301" s="19">
        <f>IF($C301="","",IF($D301="",0,VLOOKUP($C301,'DATA DE TARIFA'!$A$4:$C$68,3,FALSE)))</f>
        <v>5</v>
      </c>
      <c r="G301" s="66">
        <v>0.0</v>
      </c>
      <c r="H301" s="19">
        <f t="shared" si="1"/>
        <v>10.16949153</v>
      </c>
      <c r="I301" s="19">
        <f t="shared" si="2"/>
        <v>5</v>
      </c>
      <c r="J301" s="67"/>
      <c r="K301" s="44" t="str">
        <f>IF($B301="","",IFERROR(VLOOKUP($B301,Tiendas!$A$4:$B$176,2,FALSE),""))</f>
        <v>JORDAN</v>
      </c>
      <c r="L301" s="68" t="s">
        <v>296</v>
      </c>
      <c r="M301" s="44" t="str">
        <f>IF($B301="","",IFERROR(VLOOKUP($B301,Tiendas!$A$4:$I$176,9,FALSE),""))</f>
        <v>Si</v>
      </c>
      <c r="N301" s="71">
        <f t="shared" si="3"/>
        <v>0</v>
      </c>
      <c r="O301" s="71">
        <f t="shared" si="4"/>
        <v>0</v>
      </c>
    </row>
    <row r="302" ht="15.75" customHeight="1">
      <c r="A302" s="17">
        <v>46023.0</v>
      </c>
      <c r="B302" s="44" t="s">
        <v>239</v>
      </c>
      <c r="C302" s="44" t="s">
        <v>79</v>
      </c>
      <c r="D302" s="45" t="s">
        <v>295</v>
      </c>
      <c r="E302" s="19">
        <f>IF($D302&lt;&gt;"Entregado",0,IF($C302="","",VLOOKUP($C302,'DATA DE TARIFA'!$A$4:$C$68,2,FALSE)/1.18))</f>
        <v>10.16949153</v>
      </c>
      <c r="F302" s="19">
        <f>IF($C302="","",IF($D302="",0,VLOOKUP($C302,'DATA DE TARIFA'!$A$4:$C$68,3,FALSE)))</f>
        <v>5.5</v>
      </c>
      <c r="G302" s="66">
        <v>0.0</v>
      </c>
      <c r="H302" s="19">
        <f t="shared" si="1"/>
        <v>10.16949153</v>
      </c>
      <c r="I302" s="19">
        <f t="shared" si="2"/>
        <v>5.5</v>
      </c>
      <c r="J302" s="67"/>
      <c r="K302" s="44" t="str">
        <f>IF($B302="","",IFERROR(VLOOKUP($B302,Tiendas!$A$4:$B$176,2,FALSE),""))</f>
        <v>JORDAN</v>
      </c>
      <c r="L302" s="68" t="s">
        <v>296</v>
      </c>
      <c r="M302" s="44" t="str">
        <f>IF($B302="","",IFERROR(VLOOKUP($B302,Tiendas!$A$4:$I$176,9,FALSE),""))</f>
        <v>Si</v>
      </c>
      <c r="N302" s="71">
        <f t="shared" si="3"/>
        <v>0</v>
      </c>
      <c r="O302" s="71">
        <f t="shared" si="4"/>
        <v>0</v>
      </c>
    </row>
    <row r="303" ht="15.75" customHeight="1">
      <c r="A303" s="17">
        <v>46023.0</v>
      </c>
      <c r="B303" s="44" t="s">
        <v>239</v>
      </c>
      <c r="C303" s="44" t="s">
        <v>46</v>
      </c>
      <c r="D303" s="45" t="s">
        <v>295</v>
      </c>
      <c r="E303" s="19">
        <f>IF($D303&lt;&gt;"Entregado",0,IF($C303="","",VLOOKUP($C303,'DATA DE TARIFA'!$A$4:$C$68,2,FALSE)/1.18))</f>
        <v>10.16949153</v>
      </c>
      <c r="F303" s="19">
        <f>IF($C303="","",IF($D303="",0,VLOOKUP($C303,'DATA DE TARIFA'!$A$4:$C$68,3,FALSE)))</f>
        <v>4.5</v>
      </c>
      <c r="G303" s="66">
        <v>0.0</v>
      </c>
      <c r="H303" s="19">
        <f t="shared" si="1"/>
        <v>10.16949153</v>
      </c>
      <c r="I303" s="19">
        <f t="shared" si="2"/>
        <v>4.5</v>
      </c>
      <c r="J303" s="67"/>
      <c r="K303" s="44" t="str">
        <f>IF($B303="","",IFERROR(VLOOKUP($B303,Tiendas!$A$4:$B$176,2,FALSE),""))</f>
        <v>JORDAN</v>
      </c>
      <c r="L303" s="68" t="s">
        <v>296</v>
      </c>
      <c r="M303" s="44" t="str">
        <f>IF($B303="","",IFERROR(VLOOKUP($B303,Tiendas!$A$4:$I$176,9,FALSE),""))</f>
        <v>Si</v>
      </c>
      <c r="N303" s="71">
        <f t="shared" si="3"/>
        <v>0</v>
      </c>
      <c r="O303" s="71">
        <f t="shared" si="4"/>
        <v>0</v>
      </c>
    </row>
    <row r="304" ht="15.75" customHeight="1">
      <c r="A304" s="17">
        <v>46023.0</v>
      </c>
      <c r="B304" s="44" t="s">
        <v>239</v>
      </c>
      <c r="C304" s="44" t="s">
        <v>46</v>
      </c>
      <c r="D304" s="45" t="s">
        <v>295</v>
      </c>
      <c r="E304" s="19">
        <f>IF($D304&lt;&gt;"Entregado",0,IF($C304="","",VLOOKUP($C304,'DATA DE TARIFA'!$A$4:$C$68,2,FALSE)/1.18))</f>
        <v>10.16949153</v>
      </c>
      <c r="F304" s="19">
        <f>IF($C304="","",IF($D304="",0,VLOOKUP($C304,'DATA DE TARIFA'!$A$4:$C$68,3,FALSE)))</f>
        <v>4.5</v>
      </c>
      <c r="G304" s="66">
        <v>0.0</v>
      </c>
      <c r="H304" s="19">
        <f t="shared" si="1"/>
        <v>10.16949153</v>
      </c>
      <c r="I304" s="19">
        <f t="shared" si="2"/>
        <v>4.5</v>
      </c>
      <c r="J304" s="67"/>
      <c r="K304" s="44" t="str">
        <f>IF($B304="","",IFERROR(VLOOKUP($B304,Tiendas!$A$4:$B$176,2,FALSE),""))</f>
        <v>JORDAN</v>
      </c>
      <c r="L304" s="68" t="s">
        <v>296</v>
      </c>
      <c r="M304" s="44" t="str">
        <f>IF($B304="","",IFERROR(VLOOKUP($B304,Tiendas!$A$4:$I$176,9,FALSE),""))</f>
        <v>Si</v>
      </c>
      <c r="N304" s="71">
        <f t="shared" si="3"/>
        <v>0</v>
      </c>
      <c r="O304" s="71">
        <f t="shared" si="4"/>
        <v>0</v>
      </c>
    </row>
    <row r="305" ht="15.75" customHeight="1">
      <c r="A305" s="17">
        <v>46023.0</v>
      </c>
      <c r="B305" s="44" t="s">
        <v>239</v>
      </c>
      <c r="C305" s="44" t="s">
        <v>83</v>
      </c>
      <c r="D305" s="45" t="s">
        <v>295</v>
      </c>
      <c r="E305" s="19">
        <f>IF($D305&lt;&gt;"Entregado",0,IF($C305="","",VLOOKUP($C305,'DATA DE TARIFA'!$A$4:$C$68,2,FALSE)/1.18))</f>
        <v>14.40677966</v>
      </c>
      <c r="F305" s="19">
        <f>IF($C305="","",IF($D305="",0,VLOOKUP($C305,'DATA DE TARIFA'!$A$4:$C$68,3,FALSE)))</f>
        <v>8.5</v>
      </c>
      <c r="G305" s="66">
        <v>0.0</v>
      </c>
      <c r="H305" s="19">
        <f t="shared" si="1"/>
        <v>14.40677966</v>
      </c>
      <c r="I305" s="19">
        <f t="shared" si="2"/>
        <v>8.5</v>
      </c>
      <c r="J305" s="67"/>
      <c r="K305" s="44" t="str">
        <f>IF($B305="","",IFERROR(VLOOKUP($B305,Tiendas!$A$4:$B$176,2,FALSE),""))</f>
        <v>JORDAN</v>
      </c>
      <c r="L305" s="68" t="s">
        <v>296</v>
      </c>
      <c r="M305" s="44" t="str">
        <f>IF($B305="","",IFERROR(VLOOKUP($B305,Tiendas!$A$4:$I$176,9,FALSE),""))</f>
        <v>Si</v>
      </c>
      <c r="N305" s="71">
        <f t="shared" si="3"/>
        <v>0</v>
      </c>
      <c r="O305" s="71">
        <f t="shared" si="4"/>
        <v>0</v>
      </c>
    </row>
    <row r="306" ht="15.75" customHeight="1">
      <c r="A306" s="17">
        <v>46023.0</v>
      </c>
      <c r="B306" s="44" t="s">
        <v>239</v>
      </c>
      <c r="C306" s="44" t="s">
        <v>51</v>
      </c>
      <c r="D306" s="45" t="s">
        <v>295</v>
      </c>
      <c r="E306" s="19">
        <f>IF($D306&lt;&gt;"Entregado",0,IF($C306="","",VLOOKUP($C306,'DATA DE TARIFA'!$A$4:$C$68,2,FALSE)/1.18))</f>
        <v>10.16949153</v>
      </c>
      <c r="F306" s="19">
        <f>IF($C306="","",IF($D306="",0,VLOOKUP($C306,'DATA DE TARIFA'!$A$4:$C$68,3,FALSE)))</f>
        <v>5.5</v>
      </c>
      <c r="G306" s="66">
        <v>0.0</v>
      </c>
      <c r="H306" s="19">
        <f t="shared" si="1"/>
        <v>10.16949153</v>
      </c>
      <c r="I306" s="19">
        <f t="shared" si="2"/>
        <v>5.5</v>
      </c>
      <c r="J306" s="67"/>
      <c r="K306" s="44" t="str">
        <f>IF($B306="","",IFERROR(VLOOKUP($B306,Tiendas!$A$4:$B$176,2,FALSE),""))</f>
        <v>JORDAN</v>
      </c>
      <c r="L306" s="68" t="s">
        <v>296</v>
      </c>
      <c r="M306" s="44" t="str">
        <f>IF($B306="","",IFERROR(VLOOKUP($B306,Tiendas!$A$4:$I$176,9,FALSE),""))</f>
        <v>Si</v>
      </c>
      <c r="N306" s="71">
        <f t="shared" si="3"/>
        <v>0</v>
      </c>
      <c r="O306" s="71">
        <f t="shared" si="4"/>
        <v>0</v>
      </c>
    </row>
    <row r="307" ht="15.75" customHeight="1">
      <c r="A307" s="17">
        <v>46023.0</v>
      </c>
      <c r="B307" s="44" t="s">
        <v>239</v>
      </c>
      <c r="C307" s="44" t="s">
        <v>49</v>
      </c>
      <c r="D307" s="45" t="s">
        <v>295</v>
      </c>
      <c r="E307" s="19">
        <f>IF($D307&lt;&gt;"Entregado",0,IF($C307="","",VLOOKUP($C307,'DATA DE TARIFA'!$A$4:$C$68,2,FALSE)/1.18))</f>
        <v>10.16949153</v>
      </c>
      <c r="F307" s="19">
        <f>IF($C307="","",IF($D307="",0,VLOOKUP($C307,'DATA DE TARIFA'!$A$4:$C$68,3,FALSE)))</f>
        <v>5.5</v>
      </c>
      <c r="G307" s="66">
        <v>0.0</v>
      </c>
      <c r="H307" s="19">
        <f t="shared" si="1"/>
        <v>10.16949153</v>
      </c>
      <c r="I307" s="19">
        <f t="shared" si="2"/>
        <v>5.5</v>
      </c>
      <c r="J307" s="67"/>
      <c r="K307" s="44" t="str">
        <f>IF($B307="","",IFERROR(VLOOKUP($B307,Tiendas!$A$4:$B$176,2,FALSE),""))</f>
        <v>JORDAN</v>
      </c>
      <c r="L307" s="68" t="s">
        <v>296</v>
      </c>
      <c r="M307" s="44" t="str">
        <f>IF($B307="","",IFERROR(VLOOKUP($B307,Tiendas!$A$4:$I$176,9,FALSE),""))</f>
        <v>Si</v>
      </c>
      <c r="N307" s="71">
        <f t="shared" si="3"/>
        <v>0</v>
      </c>
      <c r="O307" s="71">
        <f t="shared" si="4"/>
        <v>0</v>
      </c>
    </row>
    <row r="308" ht="15.75" customHeight="1">
      <c r="A308" s="17">
        <v>46023.0</v>
      </c>
      <c r="B308" s="44" t="s">
        <v>239</v>
      </c>
      <c r="C308" s="44" t="s">
        <v>30</v>
      </c>
      <c r="D308" s="45" t="s">
        <v>295</v>
      </c>
      <c r="E308" s="19">
        <f>IF($D308&lt;&gt;"Entregado",0,IF($C308="","",VLOOKUP($C308,'DATA DE TARIFA'!$A$4:$C$68,2,FALSE)/1.18))</f>
        <v>8.474576271</v>
      </c>
      <c r="F308" s="19">
        <f>IF($C308="","",IF($D308="",0,VLOOKUP($C308,'DATA DE TARIFA'!$A$4:$C$68,3,FALSE)))</f>
        <v>4.5</v>
      </c>
      <c r="G308" s="66">
        <v>0.0</v>
      </c>
      <c r="H308" s="19">
        <f t="shared" si="1"/>
        <v>8.474576271</v>
      </c>
      <c r="I308" s="19">
        <f t="shared" si="2"/>
        <v>4.5</v>
      </c>
      <c r="J308" s="67"/>
      <c r="K308" s="44" t="str">
        <f>IF($B308="","",IFERROR(VLOOKUP($B308,Tiendas!$A$4:$B$176,2,FALSE),""))</f>
        <v>JORDAN</v>
      </c>
      <c r="L308" s="68" t="s">
        <v>296</v>
      </c>
      <c r="M308" s="44" t="str">
        <f>IF($B308="","",IFERROR(VLOOKUP($B308,Tiendas!$A$4:$I$176,9,FALSE),""))</f>
        <v>Si</v>
      </c>
      <c r="N308" s="71">
        <f t="shared" si="3"/>
        <v>0</v>
      </c>
      <c r="O308" s="71">
        <f t="shared" si="4"/>
        <v>0</v>
      </c>
    </row>
    <row r="309" ht="15.75" customHeight="1">
      <c r="A309" s="17">
        <v>46023.0</v>
      </c>
      <c r="B309" s="44" t="s">
        <v>239</v>
      </c>
      <c r="C309" s="44" t="s">
        <v>65</v>
      </c>
      <c r="D309" s="45" t="s">
        <v>295</v>
      </c>
      <c r="E309" s="19">
        <f>IF($D309&lt;&gt;"Entregado",0,IF($C309="","",VLOOKUP($C309,'DATA DE TARIFA'!$A$4:$C$68,2,FALSE)/1.18))</f>
        <v>10.16949153</v>
      </c>
      <c r="F309" s="19">
        <f>IF($C309="","",IF($D309="",0,VLOOKUP($C309,'DATA DE TARIFA'!$A$4:$C$68,3,FALSE)))</f>
        <v>4.5</v>
      </c>
      <c r="G309" s="66">
        <v>0.0</v>
      </c>
      <c r="H309" s="19">
        <f t="shared" si="1"/>
        <v>10.16949153</v>
      </c>
      <c r="I309" s="19">
        <f t="shared" si="2"/>
        <v>4.5</v>
      </c>
      <c r="J309" s="67"/>
      <c r="K309" s="44" t="str">
        <f>IF($B309="","",IFERROR(VLOOKUP($B309,Tiendas!$A$4:$B$176,2,FALSE),""))</f>
        <v>JORDAN</v>
      </c>
      <c r="L309" s="68" t="s">
        <v>296</v>
      </c>
      <c r="M309" s="44" t="str">
        <f>IF($B309="","",IFERROR(VLOOKUP($B309,Tiendas!$A$4:$I$176,9,FALSE),""))</f>
        <v>Si</v>
      </c>
      <c r="N309" s="71">
        <f t="shared" si="3"/>
        <v>0</v>
      </c>
      <c r="O309" s="71">
        <f t="shared" si="4"/>
        <v>0</v>
      </c>
    </row>
    <row r="310" ht="15.75" customHeight="1">
      <c r="A310" s="17">
        <v>46023.0</v>
      </c>
      <c r="B310" s="44" t="s">
        <v>239</v>
      </c>
      <c r="C310" s="44" t="s">
        <v>93</v>
      </c>
      <c r="D310" s="45" t="s">
        <v>295</v>
      </c>
      <c r="E310" s="19">
        <f>IF($D310&lt;&gt;"Entregado",0,IF($C310="","",VLOOKUP($C310,'DATA DE TARIFA'!$A$4:$C$68,2,FALSE)/1.18))</f>
        <v>18.6440678</v>
      </c>
      <c r="F310" s="19">
        <f>IF($C310="","",IF($D310="",0,VLOOKUP($C310,'DATA DE TARIFA'!$A$4:$C$68,3,FALSE)))</f>
        <v>12</v>
      </c>
      <c r="G310" s="66">
        <v>0.0</v>
      </c>
      <c r="H310" s="19">
        <f t="shared" si="1"/>
        <v>18.6440678</v>
      </c>
      <c r="I310" s="19">
        <f t="shared" si="2"/>
        <v>12</v>
      </c>
      <c r="J310" s="67"/>
      <c r="K310" s="44" t="str">
        <f>IF($B310="","",IFERROR(VLOOKUP($B310,Tiendas!$A$4:$B$176,2,FALSE),""))</f>
        <v>JORDAN</v>
      </c>
      <c r="L310" s="68" t="s">
        <v>296</v>
      </c>
      <c r="M310" s="44" t="str">
        <f>IF($B310="","",IFERROR(VLOOKUP($B310,Tiendas!$A$4:$I$176,9,FALSE),""))</f>
        <v>Si</v>
      </c>
      <c r="N310" s="71">
        <f t="shared" si="3"/>
        <v>0</v>
      </c>
      <c r="O310" s="71">
        <f t="shared" si="4"/>
        <v>0</v>
      </c>
    </row>
    <row r="311" ht="15.75" customHeight="1">
      <c r="A311" s="17">
        <v>46023.0</v>
      </c>
      <c r="B311" s="44" t="s">
        <v>239</v>
      </c>
      <c r="C311" s="44" t="s">
        <v>64</v>
      </c>
      <c r="D311" s="45" t="s">
        <v>295</v>
      </c>
      <c r="E311" s="19">
        <f>IF($D311&lt;&gt;"Entregado",0,IF($C311="","",VLOOKUP($C311,'DATA DE TARIFA'!$A$4:$C$68,2,FALSE)/1.18))</f>
        <v>8.474576271</v>
      </c>
      <c r="F311" s="19">
        <f>IF($C311="","",IF($D311="",0,VLOOKUP($C311,'DATA DE TARIFA'!$A$4:$C$68,3,FALSE)))</f>
        <v>4.5</v>
      </c>
      <c r="G311" s="66">
        <v>0.0</v>
      </c>
      <c r="H311" s="19">
        <f t="shared" si="1"/>
        <v>8.474576271</v>
      </c>
      <c r="I311" s="19">
        <f t="shared" si="2"/>
        <v>4.5</v>
      </c>
      <c r="J311" s="67"/>
      <c r="K311" s="44" t="str">
        <f>IF($B311="","",IFERROR(VLOOKUP($B311,Tiendas!$A$4:$B$176,2,FALSE),""))</f>
        <v>JORDAN</v>
      </c>
      <c r="L311" s="68" t="s">
        <v>296</v>
      </c>
      <c r="M311" s="44" t="str">
        <f>IF($B311="","",IFERROR(VLOOKUP($B311,Tiendas!$A$4:$I$176,9,FALSE),""))</f>
        <v>Si</v>
      </c>
      <c r="N311" s="71">
        <f t="shared" si="3"/>
        <v>0</v>
      </c>
      <c r="O311" s="71">
        <f t="shared" si="4"/>
        <v>0</v>
      </c>
    </row>
    <row r="312" ht="15.75" customHeight="1">
      <c r="A312" s="17">
        <v>46023.0</v>
      </c>
      <c r="B312" s="44" t="s">
        <v>239</v>
      </c>
      <c r="C312" s="44" t="s">
        <v>68</v>
      </c>
      <c r="D312" s="45" t="s">
        <v>295</v>
      </c>
      <c r="E312" s="19">
        <f>IF($D312&lt;&gt;"Entregado",0,IF($C312="","",VLOOKUP($C312,'DATA DE TARIFA'!$A$4:$C$68,2,FALSE)/1.18))</f>
        <v>11.86440678</v>
      </c>
      <c r="F312" s="19">
        <f>IF($C312="","",IF($D312="",0,VLOOKUP($C312,'DATA DE TARIFA'!$A$4:$C$68,3,FALSE)))</f>
        <v>7.5</v>
      </c>
      <c r="G312" s="66">
        <v>0.0</v>
      </c>
      <c r="H312" s="19">
        <f t="shared" si="1"/>
        <v>11.86440678</v>
      </c>
      <c r="I312" s="19">
        <f t="shared" si="2"/>
        <v>7.5</v>
      </c>
      <c r="J312" s="67"/>
      <c r="K312" s="44" t="str">
        <f>IF($B312="","",IFERROR(VLOOKUP($B312,Tiendas!$A$4:$B$176,2,FALSE),""))</f>
        <v>JORDAN</v>
      </c>
      <c r="L312" s="68" t="s">
        <v>296</v>
      </c>
      <c r="M312" s="44" t="str">
        <f>IF($B312="","",IFERROR(VLOOKUP($B312,Tiendas!$A$4:$I$176,9,FALSE),""))</f>
        <v>Si</v>
      </c>
      <c r="N312" s="71">
        <f t="shared" si="3"/>
        <v>0</v>
      </c>
      <c r="O312" s="71">
        <f t="shared" si="4"/>
        <v>0</v>
      </c>
    </row>
    <row r="313" ht="15.75" customHeight="1">
      <c r="A313" s="17">
        <v>46023.0</v>
      </c>
      <c r="B313" s="44" t="s">
        <v>239</v>
      </c>
      <c r="C313" s="44" t="s">
        <v>93</v>
      </c>
      <c r="D313" s="45" t="s">
        <v>295</v>
      </c>
      <c r="E313" s="19">
        <f>IF($D313&lt;&gt;"Entregado",0,IF($C313="","",VLOOKUP($C313,'DATA DE TARIFA'!$A$4:$C$68,2,FALSE)/1.18))</f>
        <v>18.6440678</v>
      </c>
      <c r="F313" s="19">
        <f>IF($C313="","",IF($D313="",0,VLOOKUP($C313,'DATA DE TARIFA'!$A$4:$C$68,3,FALSE)))</f>
        <v>12</v>
      </c>
      <c r="G313" s="66">
        <v>0.0</v>
      </c>
      <c r="H313" s="19">
        <f t="shared" si="1"/>
        <v>18.6440678</v>
      </c>
      <c r="I313" s="19">
        <f t="shared" si="2"/>
        <v>12</v>
      </c>
      <c r="J313" s="67"/>
      <c r="K313" s="44" t="str">
        <f>IF($B313="","",IFERROR(VLOOKUP($B313,Tiendas!$A$4:$B$176,2,FALSE),""))</f>
        <v>JORDAN</v>
      </c>
      <c r="L313" s="68" t="s">
        <v>296</v>
      </c>
      <c r="M313" s="44" t="str">
        <f>IF($B313="","",IFERROR(VLOOKUP($B313,Tiendas!$A$4:$I$176,9,FALSE),""))</f>
        <v>Si</v>
      </c>
      <c r="N313" s="71">
        <f t="shared" si="3"/>
        <v>0</v>
      </c>
      <c r="O313" s="71">
        <f t="shared" si="4"/>
        <v>0</v>
      </c>
    </row>
    <row r="314" ht="15.75" customHeight="1">
      <c r="A314" s="17">
        <v>46023.0</v>
      </c>
      <c r="B314" s="44" t="s">
        <v>239</v>
      </c>
      <c r="C314" s="44" t="s">
        <v>34</v>
      </c>
      <c r="D314" s="45" t="s">
        <v>295</v>
      </c>
      <c r="E314" s="19">
        <f>IF($D314&lt;&gt;"Entregado",0,IF($C314="","",VLOOKUP($C314,'DATA DE TARIFA'!$A$4:$C$68,2,FALSE)/1.18))</f>
        <v>10.16949153</v>
      </c>
      <c r="F314" s="19">
        <f>IF($C314="","",IF($D314="",0,VLOOKUP($C314,'DATA DE TARIFA'!$A$4:$C$68,3,FALSE)))</f>
        <v>4.5</v>
      </c>
      <c r="G314" s="66">
        <v>0.0</v>
      </c>
      <c r="H314" s="19">
        <f t="shared" si="1"/>
        <v>10.16949153</v>
      </c>
      <c r="I314" s="19">
        <f t="shared" si="2"/>
        <v>4.5</v>
      </c>
      <c r="J314" s="67"/>
      <c r="K314" s="44" t="str">
        <f>IF($B314="","",IFERROR(VLOOKUP($B314,Tiendas!$A$4:$B$176,2,FALSE),""))</f>
        <v>JORDAN</v>
      </c>
      <c r="L314" s="68" t="s">
        <v>296</v>
      </c>
      <c r="M314" s="44" t="str">
        <f>IF($B314="","",IFERROR(VLOOKUP($B314,Tiendas!$A$4:$I$176,9,FALSE),""))</f>
        <v>Si</v>
      </c>
      <c r="N314" s="71">
        <f t="shared" si="3"/>
        <v>0</v>
      </c>
      <c r="O314" s="71">
        <f t="shared" si="4"/>
        <v>0</v>
      </c>
    </row>
    <row r="315" ht="15.75" customHeight="1">
      <c r="A315" s="17">
        <v>46023.0</v>
      </c>
      <c r="B315" s="44" t="s">
        <v>239</v>
      </c>
      <c r="C315" s="44" t="s">
        <v>46</v>
      </c>
      <c r="D315" s="45" t="s">
        <v>295</v>
      </c>
      <c r="E315" s="19">
        <f>IF($D315&lt;&gt;"Entregado",0,IF($C315="","",VLOOKUP($C315,'DATA DE TARIFA'!$A$4:$C$68,2,FALSE)/1.18))</f>
        <v>10.16949153</v>
      </c>
      <c r="F315" s="19">
        <f>IF($C315="","",IF($D315="",0,VLOOKUP($C315,'DATA DE TARIFA'!$A$4:$C$68,3,FALSE)))</f>
        <v>4.5</v>
      </c>
      <c r="G315" s="66">
        <v>0.0</v>
      </c>
      <c r="H315" s="19">
        <f t="shared" si="1"/>
        <v>10.16949153</v>
      </c>
      <c r="I315" s="19">
        <f t="shared" si="2"/>
        <v>4.5</v>
      </c>
      <c r="J315" s="67"/>
      <c r="K315" s="44" t="str">
        <f>IF($B315="","",IFERROR(VLOOKUP($B315,Tiendas!$A$4:$B$176,2,FALSE),""))</f>
        <v>JORDAN</v>
      </c>
      <c r="L315" s="68" t="s">
        <v>296</v>
      </c>
      <c r="M315" s="44" t="str">
        <f>IF($B315="","",IFERROR(VLOOKUP($B315,Tiendas!$A$4:$I$176,9,FALSE),""))</f>
        <v>Si</v>
      </c>
      <c r="N315" s="71">
        <f t="shared" si="3"/>
        <v>0</v>
      </c>
      <c r="O315" s="71">
        <f t="shared" si="4"/>
        <v>0</v>
      </c>
    </row>
    <row r="316" ht="15.75" customHeight="1">
      <c r="A316" s="17">
        <v>46023.0</v>
      </c>
      <c r="B316" s="44" t="s">
        <v>239</v>
      </c>
      <c r="C316" s="44" t="s">
        <v>34</v>
      </c>
      <c r="D316" s="45" t="s">
        <v>295</v>
      </c>
      <c r="E316" s="19">
        <f>IF($D316&lt;&gt;"Entregado",0,IF($C316="","",VLOOKUP($C316,'DATA DE TARIFA'!$A$4:$C$68,2,FALSE)/1.18))</f>
        <v>10.16949153</v>
      </c>
      <c r="F316" s="19">
        <f>IF($C316="","",IF($D316="",0,VLOOKUP($C316,'DATA DE TARIFA'!$A$4:$C$68,3,FALSE)))</f>
        <v>4.5</v>
      </c>
      <c r="G316" s="66">
        <v>0.0</v>
      </c>
      <c r="H316" s="19">
        <f t="shared" si="1"/>
        <v>10.16949153</v>
      </c>
      <c r="I316" s="19">
        <f t="shared" si="2"/>
        <v>4.5</v>
      </c>
      <c r="J316" s="67"/>
      <c r="K316" s="44" t="str">
        <f>IF($B316="","",IFERROR(VLOOKUP($B316,Tiendas!$A$4:$B$176,2,FALSE),""))</f>
        <v>JORDAN</v>
      </c>
      <c r="L316" s="68" t="s">
        <v>296</v>
      </c>
      <c r="M316" s="44" t="str">
        <f>IF($B316="","",IFERROR(VLOOKUP($B316,Tiendas!$A$4:$I$176,9,FALSE),""))</f>
        <v>Si</v>
      </c>
      <c r="N316" s="71">
        <f t="shared" si="3"/>
        <v>0</v>
      </c>
      <c r="O316" s="71">
        <f t="shared" si="4"/>
        <v>0</v>
      </c>
    </row>
    <row r="317" ht="15.75" customHeight="1">
      <c r="A317" s="17">
        <v>46023.0</v>
      </c>
      <c r="B317" s="44" t="s">
        <v>239</v>
      </c>
      <c r="C317" s="44" t="s">
        <v>47</v>
      </c>
      <c r="D317" s="45" t="s">
        <v>295</v>
      </c>
      <c r="E317" s="19">
        <f>IF($D317&lt;&gt;"Entregado",0,IF($C317="","",VLOOKUP($C317,'DATA DE TARIFA'!$A$4:$C$68,2,FALSE)/1.18))</f>
        <v>10.16949153</v>
      </c>
      <c r="F317" s="19">
        <f>IF($C317="","",IF($D317="",0,VLOOKUP($C317,'DATA DE TARIFA'!$A$4:$C$68,3,FALSE)))</f>
        <v>5.5</v>
      </c>
      <c r="G317" s="66">
        <v>0.0</v>
      </c>
      <c r="H317" s="19">
        <f t="shared" si="1"/>
        <v>10.16949153</v>
      </c>
      <c r="I317" s="19">
        <f t="shared" si="2"/>
        <v>5.5</v>
      </c>
      <c r="J317" s="67"/>
      <c r="K317" s="44" t="str">
        <f>IF($B317="","",IFERROR(VLOOKUP($B317,Tiendas!$A$4:$B$176,2,FALSE),""))</f>
        <v>JORDAN</v>
      </c>
      <c r="L317" s="68" t="s">
        <v>296</v>
      </c>
      <c r="M317" s="44" t="str">
        <f>IF($B317="","",IFERROR(VLOOKUP($B317,Tiendas!$A$4:$I$176,9,FALSE),""))</f>
        <v>Si</v>
      </c>
      <c r="N317" s="71">
        <f t="shared" si="3"/>
        <v>0</v>
      </c>
      <c r="O317" s="71">
        <f t="shared" si="4"/>
        <v>0</v>
      </c>
    </row>
    <row r="318" ht="15.75" customHeight="1">
      <c r="A318" s="17">
        <v>46023.0</v>
      </c>
      <c r="B318" s="44" t="s">
        <v>239</v>
      </c>
      <c r="C318" s="44" t="s">
        <v>51</v>
      </c>
      <c r="D318" s="45" t="s">
        <v>295</v>
      </c>
      <c r="E318" s="19">
        <f>IF($D318&lt;&gt;"Entregado",0,IF($C318="","",VLOOKUP($C318,'DATA DE TARIFA'!$A$4:$C$68,2,FALSE)/1.18))</f>
        <v>10.16949153</v>
      </c>
      <c r="F318" s="19">
        <f>IF($C318="","",IF($D318="",0,VLOOKUP($C318,'DATA DE TARIFA'!$A$4:$C$68,3,FALSE)))</f>
        <v>5.5</v>
      </c>
      <c r="G318" s="66">
        <v>0.0</v>
      </c>
      <c r="H318" s="19">
        <f t="shared" si="1"/>
        <v>10.16949153</v>
      </c>
      <c r="I318" s="19">
        <f t="shared" si="2"/>
        <v>5.5</v>
      </c>
      <c r="J318" s="67"/>
      <c r="K318" s="44" t="str">
        <f>IF($B318="","",IFERROR(VLOOKUP($B318,Tiendas!$A$4:$B$176,2,FALSE),""))</f>
        <v>JORDAN</v>
      </c>
      <c r="L318" s="68" t="s">
        <v>296</v>
      </c>
      <c r="M318" s="44" t="str">
        <f>IF($B318="","",IFERROR(VLOOKUP($B318,Tiendas!$A$4:$I$176,9,FALSE),""))</f>
        <v>Si</v>
      </c>
      <c r="N318" s="71">
        <f t="shared" si="3"/>
        <v>0</v>
      </c>
      <c r="O318" s="71">
        <f t="shared" si="4"/>
        <v>0</v>
      </c>
    </row>
    <row r="319" ht="15.75" customHeight="1">
      <c r="A319" s="17">
        <v>46023.0</v>
      </c>
      <c r="B319" s="44" t="s">
        <v>239</v>
      </c>
      <c r="C319" s="44" t="s">
        <v>65</v>
      </c>
      <c r="D319" s="45" t="s">
        <v>295</v>
      </c>
      <c r="E319" s="19">
        <f>IF($D319&lt;&gt;"Entregado",0,IF($C319="","",VLOOKUP($C319,'DATA DE TARIFA'!$A$4:$C$68,2,FALSE)/1.18))</f>
        <v>10.16949153</v>
      </c>
      <c r="F319" s="19">
        <f>IF($C319="","",IF($D319="",0,VLOOKUP($C319,'DATA DE TARIFA'!$A$4:$C$68,3,FALSE)))</f>
        <v>4.5</v>
      </c>
      <c r="G319" s="66">
        <v>0.0</v>
      </c>
      <c r="H319" s="19">
        <f t="shared" si="1"/>
        <v>10.16949153</v>
      </c>
      <c r="I319" s="19">
        <f t="shared" si="2"/>
        <v>4.5</v>
      </c>
      <c r="J319" s="67"/>
      <c r="K319" s="44" t="str">
        <f>IF($B319="","",IFERROR(VLOOKUP($B319,Tiendas!$A$4:$B$176,2,FALSE),""))</f>
        <v>JORDAN</v>
      </c>
      <c r="L319" s="68" t="s">
        <v>296</v>
      </c>
      <c r="M319" s="44" t="str">
        <f>IF($B319="","",IFERROR(VLOOKUP($B319,Tiendas!$A$4:$I$176,9,FALSE),""))</f>
        <v>Si</v>
      </c>
      <c r="N319" s="71">
        <f t="shared" si="3"/>
        <v>0</v>
      </c>
      <c r="O319" s="71">
        <f t="shared" si="4"/>
        <v>0</v>
      </c>
    </row>
    <row r="320" ht="15.75" customHeight="1">
      <c r="A320" s="17">
        <v>46023.0</v>
      </c>
      <c r="B320" s="44" t="s">
        <v>239</v>
      </c>
      <c r="C320" s="44" t="s">
        <v>30</v>
      </c>
      <c r="D320" s="45" t="s">
        <v>295</v>
      </c>
      <c r="E320" s="19">
        <f>IF($D320&lt;&gt;"Entregado",0,IF($C320="","",VLOOKUP($C320,'DATA DE TARIFA'!$A$4:$C$68,2,FALSE)/1.18))</f>
        <v>8.474576271</v>
      </c>
      <c r="F320" s="19">
        <f>IF($C320="","",IF($D320="",0,VLOOKUP($C320,'DATA DE TARIFA'!$A$4:$C$68,3,FALSE)))</f>
        <v>4.5</v>
      </c>
      <c r="G320" s="66">
        <v>0.0</v>
      </c>
      <c r="H320" s="19">
        <f t="shared" si="1"/>
        <v>8.474576271</v>
      </c>
      <c r="I320" s="19">
        <f t="shared" si="2"/>
        <v>4.5</v>
      </c>
      <c r="J320" s="67"/>
      <c r="K320" s="44" t="str">
        <f>IF($B320="","",IFERROR(VLOOKUP($B320,Tiendas!$A$4:$B$176,2,FALSE),""))</f>
        <v>JORDAN</v>
      </c>
      <c r="L320" s="68" t="s">
        <v>296</v>
      </c>
      <c r="M320" s="44" t="str">
        <f>IF($B320="","",IFERROR(VLOOKUP($B320,Tiendas!$A$4:$I$176,9,FALSE),""))</f>
        <v>Si</v>
      </c>
      <c r="N320" s="71">
        <f t="shared" si="3"/>
        <v>0</v>
      </c>
      <c r="O320" s="71">
        <f t="shared" si="4"/>
        <v>0</v>
      </c>
    </row>
    <row r="321" ht="15.75" customHeight="1">
      <c r="A321" s="17">
        <v>46023.0</v>
      </c>
      <c r="B321" s="44" t="s">
        <v>239</v>
      </c>
      <c r="C321" s="44" t="s">
        <v>65</v>
      </c>
      <c r="D321" s="45" t="s">
        <v>295</v>
      </c>
      <c r="E321" s="19">
        <f>IF($D321&lt;&gt;"Entregado",0,IF($C321="","",VLOOKUP($C321,'DATA DE TARIFA'!$A$4:$C$68,2,FALSE)/1.18))</f>
        <v>10.16949153</v>
      </c>
      <c r="F321" s="19">
        <f>IF($C321="","",IF($D321="",0,VLOOKUP($C321,'DATA DE TARIFA'!$A$4:$C$68,3,FALSE)))</f>
        <v>4.5</v>
      </c>
      <c r="G321" s="66">
        <v>0.0</v>
      </c>
      <c r="H321" s="19">
        <f t="shared" si="1"/>
        <v>10.16949153</v>
      </c>
      <c r="I321" s="19">
        <f t="shared" si="2"/>
        <v>4.5</v>
      </c>
      <c r="J321" s="67"/>
      <c r="K321" s="44" t="str">
        <f>IF($B321="","",IFERROR(VLOOKUP($B321,Tiendas!$A$4:$B$176,2,FALSE),""))</f>
        <v>JORDAN</v>
      </c>
      <c r="L321" s="68" t="s">
        <v>296</v>
      </c>
      <c r="M321" s="44" t="str">
        <f>IF($B321="","",IFERROR(VLOOKUP($B321,Tiendas!$A$4:$I$176,9,FALSE),""))</f>
        <v>Si</v>
      </c>
      <c r="N321" s="71">
        <f t="shared" si="3"/>
        <v>0</v>
      </c>
      <c r="O321" s="71">
        <f t="shared" si="4"/>
        <v>0</v>
      </c>
    </row>
    <row r="322" ht="15.75" customHeight="1">
      <c r="A322" s="17">
        <v>46023.0</v>
      </c>
      <c r="B322" s="44" t="s">
        <v>239</v>
      </c>
      <c r="C322" s="44" t="s">
        <v>21</v>
      </c>
      <c r="D322" s="45" t="s">
        <v>295</v>
      </c>
      <c r="E322" s="19">
        <f>IF($D322&lt;&gt;"Entregado",0,IF($C322="","",VLOOKUP($C322,'DATA DE TARIFA'!$A$4:$C$68,2,FALSE)/1.18))</f>
        <v>10.16949153</v>
      </c>
      <c r="F322" s="19">
        <f>IF($C322="","",IF($D322="",0,VLOOKUP($C322,'DATA DE TARIFA'!$A$4:$C$68,3,FALSE)))</f>
        <v>4.5</v>
      </c>
      <c r="G322" s="66">
        <v>0.0</v>
      </c>
      <c r="H322" s="19">
        <f t="shared" si="1"/>
        <v>10.16949153</v>
      </c>
      <c r="I322" s="19">
        <f t="shared" si="2"/>
        <v>4.5</v>
      </c>
      <c r="J322" s="67"/>
      <c r="K322" s="44" t="str">
        <f>IF($B322="","",IFERROR(VLOOKUP($B322,Tiendas!$A$4:$B$176,2,FALSE),""))</f>
        <v>JORDAN</v>
      </c>
      <c r="L322" s="68" t="s">
        <v>296</v>
      </c>
      <c r="M322" s="44" t="str">
        <f>IF($B322="","",IFERROR(VLOOKUP($B322,Tiendas!$A$4:$I$176,9,FALSE),""))</f>
        <v>Si</v>
      </c>
      <c r="N322" s="71">
        <f t="shared" si="3"/>
        <v>0</v>
      </c>
      <c r="O322" s="71">
        <f t="shared" si="4"/>
        <v>0</v>
      </c>
    </row>
    <row r="323" ht="15.75" customHeight="1">
      <c r="A323" s="17">
        <v>46023.0</v>
      </c>
      <c r="B323" s="44" t="s">
        <v>239</v>
      </c>
      <c r="C323" s="44" t="s">
        <v>34</v>
      </c>
      <c r="D323" s="45" t="s">
        <v>295</v>
      </c>
      <c r="E323" s="19">
        <f>IF($D323&lt;&gt;"Entregado",0,IF($C323="","",VLOOKUP($C323,'DATA DE TARIFA'!$A$4:$C$68,2,FALSE)/1.18))</f>
        <v>10.16949153</v>
      </c>
      <c r="F323" s="19">
        <f>IF($C323="","",IF($D323="",0,VLOOKUP($C323,'DATA DE TARIFA'!$A$4:$C$68,3,FALSE)))</f>
        <v>4.5</v>
      </c>
      <c r="G323" s="66">
        <v>0.0</v>
      </c>
      <c r="H323" s="19">
        <f t="shared" si="1"/>
        <v>10.16949153</v>
      </c>
      <c r="I323" s="19">
        <f t="shared" si="2"/>
        <v>4.5</v>
      </c>
      <c r="J323" s="67"/>
      <c r="K323" s="44" t="str">
        <f>IF($B323="","",IFERROR(VLOOKUP($B323,Tiendas!$A$4:$B$176,2,FALSE),""))</f>
        <v>JORDAN</v>
      </c>
      <c r="L323" s="68" t="s">
        <v>296</v>
      </c>
      <c r="M323" s="44" t="str">
        <f>IF($B323="","",IFERROR(VLOOKUP($B323,Tiendas!$A$4:$I$176,9,FALSE),""))</f>
        <v>Si</v>
      </c>
      <c r="N323" s="71">
        <f t="shared" si="3"/>
        <v>0</v>
      </c>
      <c r="O323" s="71">
        <f t="shared" si="4"/>
        <v>0</v>
      </c>
    </row>
    <row r="324" ht="15.75" customHeight="1">
      <c r="A324" s="17">
        <v>46023.0</v>
      </c>
      <c r="B324" s="44" t="s">
        <v>239</v>
      </c>
      <c r="C324" s="44" t="s">
        <v>65</v>
      </c>
      <c r="D324" s="45" t="s">
        <v>295</v>
      </c>
      <c r="E324" s="19">
        <f>IF($D324&lt;&gt;"Entregado",0,IF($C324="","",VLOOKUP($C324,'DATA DE TARIFA'!$A$4:$C$68,2,FALSE)/1.18))</f>
        <v>10.16949153</v>
      </c>
      <c r="F324" s="19">
        <f>IF($C324="","",IF($D324="",0,VLOOKUP($C324,'DATA DE TARIFA'!$A$4:$C$68,3,FALSE)))</f>
        <v>4.5</v>
      </c>
      <c r="G324" s="66">
        <v>0.0</v>
      </c>
      <c r="H324" s="19">
        <f t="shared" si="1"/>
        <v>10.16949153</v>
      </c>
      <c r="I324" s="19">
        <f t="shared" si="2"/>
        <v>4.5</v>
      </c>
      <c r="J324" s="67"/>
      <c r="K324" s="44" t="str">
        <f>IF($B324="","",IFERROR(VLOOKUP($B324,Tiendas!$A$4:$B$176,2,FALSE),""))</f>
        <v>JORDAN</v>
      </c>
      <c r="L324" s="68" t="s">
        <v>296</v>
      </c>
      <c r="M324" s="44" t="str">
        <f>IF($B324="","",IFERROR(VLOOKUP($B324,Tiendas!$A$4:$I$176,9,FALSE),""))</f>
        <v>Si</v>
      </c>
      <c r="N324" s="71">
        <f t="shared" si="3"/>
        <v>0</v>
      </c>
      <c r="O324" s="71">
        <f t="shared" si="4"/>
        <v>0</v>
      </c>
    </row>
    <row r="325" ht="15.75" customHeight="1">
      <c r="A325" s="17">
        <v>46023.0</v>
      </c>
      <c r="B325" s="44" t="s">
        <v>239</v>
      </c>
      <c r="C325" s="44" t="s">
        <v>93</v>
      </c>
      <c r="D325" s="45" t="s">
        <v>295</v>
      </c>
      <c r="E325" s="19">
        <f>IF($D325&lt;&gt;"Entregado",0,IF($C325="","",VLOOKUP($C325,'DATA DE TARIFA'!$A$4:$C$68,2,FALSE)/1.18))</f>
        <v>18.6440678</v>
      </c>
      <c r="F325" s="19">
        <f>IF($C325="","",IF($D325="",0,VLOOKUP($C325,'DATA DE TARIFA'!$A$4:$C$68,3,FALSE)))</f>
        <v>12</v>
      </c>
      <c r="G325" s="66">
        <v>0.0</v>
      </c>
      <c r="H325" s="19">
        <f t="shared" si="1"/>
        <v>18.6440678</v>
      </c>
      <c r="I325" s="19">
        <f t="shared" si="2"/>
        <v>12</v>
      </c>
      <c r="J325" s="67"/>
      <c r="K325" s="44" t="str">
        <f>IF($B325="","",IFERROR(VLOOKUP($B325,Tiendas!$A$4:$B$176,2,FALSE),""))</f>
        <v>JORDAN</v>
      </c>
      <c r="L325" s="68" t="s">
        <v>296</v>
      </c>
      <c r="M325" s="44" t="str">
        <f>IF($B325="","",IFERROR(VLOOKUP($B325,Tiendas!$A$4:$I$176,9,FALSE),""))</f>
        <v>Si</v>
      </c>
      <c r="N325" s="71">
        <f t="shared" si="3"/>
        <v>0</v>
      </c>
      <c r="O325" s="71">
        <f t="shared" si="4"/>
        <v>0</v>
      </c>
    </row>
    <row r="326" ht="15.75" customHeight="1">
      <c r="A326" s="17">
        <v>46023.0</v>
      </c>
      <c r="B326" s="44" t="s">
        <v>239</v>
      </c>
      <c r="C326" s="44" t="s">
        <v>65</v>
      </c>
      <c r="D326" s="45" t="s">
        <v>295</v>
      </c>
      <c r="E326" s="19">
        <f>IF($D326&lt;&gt;"Entregado",0,IF($C326="","",VLOOKUP($C326,'DATA DE TARIFA'!$A$4:$C$68,2,FALSE)/1.18))</f>
        <v>10.16949153</v>
      </c>
      <c r="F326" s="19">
        <f>IF($C326="","",IF($D326="",0,VLOOKUP($C326,'DATA DE TARIFA'!$A$4:$C$68,3,FALSE)))</f>
        <v>4.5</v>
      </c>
      <c r="G326" s="66">
        <v>0.0</v>
      </c>
      <c r="H326" s="19">
        <f t="shared" si="1"/>
        <v>10.16949153</v>
      </c>
      <c r="I326" s="19">
        <f t="shared" si="2"/>
        <v>4.5</v>
      </c>
      <c r="J326" s="67"/>
      <c r="K326" s="44" t="str">
        <f>IF($B326="","",IFERROR(VLOOKUP($B326,Tiendas!$A$4:$B$176,2,FALSE),""))</f>
        <v>JORDAN</v>
      </c>
      <c r="L326" s="68" t="s">
        <v>296</v>
      </c>
      <c r="M326" s="44" t="str">
        <f>IF($B326="","",IFERROR(VLOOKUP($B326,Tiendas!$A$4:$I$176,9,FALSE),""))</f>
        <v>Si</v>
      </c>
      <c r="N326" s="71">
        <f t="shared" si="3"/>
        <v>0</v>
      </c>
      <c r="O326" s="71">
        <f t="shared" si="4"/>
        <v>0</v>
      </c>
    </row>
    <row r="327" ht="15.75" customHeight="1">
      <c r="A327" s="17">
        <v>46023.0</v>
      </c>
      <c r="B327" s="44" t="s">
        <v>239</v>
      </c>
      <c r="C327" s="44" t="s">
        <v>34</v>
      </c>
      <c r="D327" s="45" t="s">
        <v>295</v>
      </c>
      <c r="E327" s="19">
        <f>IF($D327&lt;&gt;"Entregado",0,IF($C327="","",VLOOKUP($C327,'DATA DE TARIFA'!$A$4:$C$68,2,FALSE)/1.18))</f>
        <v>10.16949153</v>
      </c>
      <c r="F327" s="19">
        <f>IF($C327="","",IF($D327="",0,VLOOKUP($C327,'DATA DE TARIFA'!$A$4:$C$68,3,FALSE)))</f>
        <v>4.5</v>
      </c>
      <c r="G327" s="66">
        <v>0.0</v>
      </c>
      <c r="H327" s="19">
        <f t="shared" si="1"/>
        <v>10.16949153</v>
      </c>
      <c r="I327" s="19">
        <f t="shared" si="2"/>
        <v>4.5</v>
      </c>
      <c r="J327" s="67"/>
      <c r="K327" s="44" t="str">
        <f>IF($B327="","",IFERROR(VLOOKUP($B327,Tiendas!$A$4:$B$176,2,FALSE),""))</f>
        <v>JORDAN</v>
      </c>
      <c r="L327" s="68" t="s">
        <v>296</v>
      </c>
      <c r="M327" s="44" t="str">
        <f>IF($B327="","",IFERROR(VLOOKUP($B327,Tiendas!$A$4:$I$176,9,FALSE),""))</f>
        <v>Si</v>
      </c>
      <c r="N327" s="71">
        <f t="shared" si="3"/>
        <v>0</v>
      </c>
      <c r="O327" s="71">
        <f t="shared" si="4"/>
        <v>0</v>
      </c>
    </row>
    <row r="328" ht="15.75" customHeight="1">
      <c r="A328" s="17">
        <v>46023.0</v>
      </c>
      <c r="B328" s="44" t="s">
        <v>239</v>
      </c>
      <c r="C328" s="44" t="s">
        <v>76</v>
      </c>
      <c r="D328" s="45" t="s">
        <v>295</v>
      </c>
      <c r="E328" s="19">
        <f>IF($D328&lt;&gt;"Entregado",0,IF($C328="","",VLOOKUP($C328,'DATA DE TARIFA'!$A$4:$C$68,2,FALSE)/1.18))</f>
        <v>10.16949153</v>
      </c>
      <c r="F328" s="19">
        <f>IF($C328="","",IF($D328="",0,VLOOKUP($C328,'DATA DE TARIFA'!$A$4:$C$68,3,FALSE)))</f>
        <v>4.5</v>
      </c>
      <c r="G328" s="66">
        <v>0.0</v>
      </c>
      <c r="H328" s="19">
        <f t="shared" si="1"/>
        <v>10.16949153</v>
      </c>
      <c r="I328" s="19">
        <f t="shared" si="2"/>
        <v>4.5</v>
      </c>
      <c r="J328" s="67"/>
      <c r="K328" s="44" t="str">
        <f>IF($B328="","",IFERROR(VLOOKUP($B328,Tiendas!$A$4:$B$176,2,FALSE),""))</f>
        <v>JORDAN</v>
      </c>
      <c r="L328" s="68" t="s">
        <v>296</v>
      </c>
      <c r="M328" s="44" t="str">
        <f>IF($B328="","",IFERROR(VLOOKUP($B328,Tiendas!$A$4:$I$176,9,FALSE),""))</f>
        <v>Si</v>
      </c>
      <c r="N328" s="71">
        <f t="shared" si="3"/>
        <v>0</v>
      </c>
      <c r="O328" s="71">
        <f t="shared" si="4"/>
        <v>0</v>
      </c>
    </row>
    <row r="329" ht="15.75" customHeight="1">
      <c r="A329" s="17">
        <v>46023.0</v>
      </c>
      <c r="B329" s="44" t="s">
        <v>239</v>
      </c>
      <c r="C329" s="44" t="s">
        <v>65</v>
      </c>
      <c r="D329" s="45" t="s">
        <v>295</v>
      </c>
      <c r="E329" s="19">
        <f>IF($D329&lt;&gt;"Entregado",0,IF($C329="","",VLOOKUP($C329,'DATA DE TARIFA'!$A$4:$C$68,2,FALSE)/1.18))</f>
        <v>10.16949153</v>
      </c>
      <c r="F329" s="19">
        <f>IF($C329="","",IF($D329="",0,VLOOKUP($C329,'DATA DE TARIFA'!$A$4:$C$68,3,FALSE)))</f>
        <v>4.5</v>
      </c>
      <c r="G329" s="66">
        <v>0.0</v>
      </c>
      <c r="H329" s="19">
        <f t="shared" si="1"/>
        <v>10.16949153</v>
      </c>
      <c r="I329" s="19">
        <f t="shared" si="2"/>
        <v>4.5</v>
      </c>
      <c r="J329" s="67"/>
      <c r="K329" s="44" t="str">
        <f>IF($B329="","",IFERROR(VLOOKUP($B329,Tiendas!$A$4:$B$176,2,FALSE),""))</f>
        <v>JORDAN</v>
      </c>
      <c r="L329" s="68" t="s">
        <v>296</v>
      </c>
      <c r="M329" s="44" t="str">
        <f>IF($B329="","",IFERROR(VLOOKUP($B329,Tiendas!$A$4:$I$176,9,FALSE),""))</f>
        <v>Si</v>
      </c>
      <c r="N329" s="71">
        <f t="shared" si="3"/>
        <v>0</v>
      </c>
      <c r="O329" s="71">
        <f t="shared" si="4"/>
        <v>0</v>
      </c>
    </row>
    <row r="330" ht="15.75" customHeight="1">
      <c r="A330" s="17">
        <v>46023.0</v>
      </c>
      <c r="B330" s="44" t="s">
        <v>239</v>
      </c>
      <c r="C330" s="44" t="s">
        <v>51</v>
      </c>
      <c r="D330" s="45" t="s">
        <v>295</v>
      </c>
      <c r="E330" s="19">
        <f>IF($D330&lt;&gt;"Entregado",0,IF($C330="","",VLOOKUP($C330,'DATA DE TARIFA'!$A$4:$C$68,2,FALSE)/1.18))</f>
        <v>10.16949153</v>
      </c>
      <c r="F330" s="19">
        <f>IF($C330="","",IF($D330="",0,VLOOKUP($C330,'DATA DE TARIFA'!$A$4:$C$68,3,FALSE)))</f>
        <v>5.5</v>
      </c>
      <c r="G330" s="66">
        <v>0.0</v>
      </c>
      <c r="H330" s="19">
        <f t="shared" si="1"/>
        <v>10.16949153</v>
      </c>
      <c r="I330" s="19">
        <f t="shared" si="2"/>
        <v>5.5</v>
      </c>
      <c r="J330" s="67"/>
      <c r="K330" s="44" t="str">
        <f>IF($B330="","",IFERROR(VLOOKUP($B330,Tiendas!$A$4:$B$176,2,FALSE),""))</f>
        <v>JORDAN</v>
      </c>
      <c r="L330" s="68" t="s">
        <v>296</v>
      </c>
      <c r="M330" s="44" t="str">
        <f>IF($B330="","",IFERROR(VLOOKUP($B330,Tiendas!$A$4:$I$176,9,FALSE),""))</f>
        <v>Si</v>
      </c>
      <c r="N330" s="71">
        <f t="shared" si="3"/>
        <v>0</v>
      </c>
      <c r="O330" s="71">
        <f t="shared" si="4"/>
        <v>0</v>
      </c>
    </row>
    <row r="331" ht="15.75" customHeight="1">
      <c r="A331" s="17">
        <v>46023.0</v>
      </c>
      <c r="B331" s="44" t="s">
        <v>239</v>
      </c>
      <c r="C331" s="44" t="s">
        <v>76</v>
      </c>
      <c r="D331" s="45" t="s">
        <v>295</v>
      </c>
      <c r="E331" s="19">
        <f>IF($D331&lt;&gt;"Entregado",0,IF($C331="","",VLOOKUP($C331,'DATA DE TARIFA'!$A$4:$C$68,2,FALSE)/1.18))</f>
        <v>10.16949153</v>
      </c>
      <c r="F331" s="19">
        <f>IF($C331="","",IF($D331="",0,VLOOKUP($C331,'DATA DE TARIFA'!$A$4:$C$68,3,FALSE)))</f>
        <v>4.5</v>
      </c>
      <c r="G331" s="66">
        <v>0.0</v>
      </c>
      <c r="H331" s="19">
        <f t="shared" si="1"/>
        <v>10.16949153</v>
      </c>
      <c r="I331" s="19">
        <f t="shared" si="2"/>
        <v>4.5</v>
      </c>
      <c r="J331" s="67"/>
      <c r="K331" s="44" t="str">
        <f>IF($B331="","",IFERROR(VLOOKUP($B331,Tiendas!$A$4:$B$176,2,FALSE),""))</f>
        <v>JORDAN</v>
      </c>
      <c r="L331" s="68" t="s">
        <v>296</v>
      </c>
      <c r="M331" s="44" t="str">
        <f>IF($B331="","",IFERROR(VLOOKUP($B331,Tiendas!$A$4:$I$176,9,FALSE),""))</f>
        <v>Si</v>
      </c>
      <c r="N331" s="71">
        <f t="shared" si="3"/>
        <v>0</v>
      </c>
      <c r="O331" s="71">
        <f t="shared" si="4"/>
        <v>0</v>
      </c>
    </row>
    <row r="332" ht="15.75" customHeight="1">
      <c r="A332" s="17">
        <v>46023.0</v>
      </c>
      <c r="B332" s="44" t="s">
        <v>239</v>
      </c>
      <c r="C332" s="44" t="s">
        <v>67</v>
      </c>
      <c r="D332" s="45" t="s">
        <v>295</v>
      </c>
      <c r="E332" s="19">
        <f>IF($D332&lt;&gt;"Entregado",0,IF($C332="","",VLOOKUP($C332,'DATA DE TARIFA'!$A$4:$C$68,2,FALSE)/1.18))</f>
        <v>10.16949153</v>
      </c>
      <c r="F332" s="19">
        <f>IF($C332="","",IF($D332="",0,VLOOKUP($C332,'DATA DE TARIFA'!$A$4:$C$68,3,FALSE)))</f>
        <v>5.5</v>
      </c>
      <c r="G332" s="66">
        <v>0.0</v>
      </c>
      <c r="H332" s="19">
        <f t="shared" si="1"/>
        <v>10.16949153</v>
      </c>
      <c r="I332" s="19">
        <f t="shared" si="2"/>
        <v>5.5</v>
      </c>
      <c r="J332" s="67"/>
      <c r="K332" s="44" t="str">
        <f>IF($B332="","",IFERROR(VLOOKUP($B332,Tiendas!$A$4:$B$176,2,FALSE),""))</f>
        <v>JORDAN</v>
      </c>
      <c r="L332" s="68" t="s">
        <v>296</v>
      </c>
      <c r="M332" s="44" t="str">
        <f>IF($B332="","",IFERROR(VLOOKUP($B332,Tiendas!$A$4:$I$176,9,FALSE),""))</f>
        <v>Si</v>
      </c>
      <c r="N332" s="71">
        <f t="shared" si="3"/>
        <v>0</v>
      </c>
      <c r="O332" s="71">
        <f t="shared" si="4"/>
        <v>0</v>
      </c>
    </row>
    <row r="333" ht="15.75" customHeight="1">
      <c r="A333" s="17">
        <v>46023.0</v>
      </c>
      <c r="B333" s="44" t="s">
        <v>239</v>
      </c>
      <c r="C333" s="44" t="s">
        <v>44</v>
      </c>
      <c r="D333" s="45" t="s">
        <v>295</v>
      </c>
      <c r="E333" s="19">
        <f>IF($D333&lt;&gt;"Entregado",0,IF($C333="","",VLOOKUP($C333,'DATA DE TARIFA'!$A$4:$C$68,2,FALSE)/1.18))</f>
        <v>10.16949153</v>
      </c>
      <c r="F333" s="19">
        <f>IF($C333="","",IF($D333="",0,VLOOKUP($C333,'DATA DE TARIFA'!$A$4:$C$68,3,FALSE)))</f>
        <v>5.5</v>
      </c>
      <c r="G333" s="66">
        <v>0.0</v>
      </c>
      <c r="H333" s="19">
        <f t="shared" si="1"/>
        <v>10.16949153</v>
      </c>
      <c r="I333" s="19">
        <f t="shared" si="2"/>
        <v>5.5</v>
      </c>
      <c r="J333" s="67"/>
      <c r="K333" s="44" t="str">
        <f>IF($B333="","",IFERROR(VLOOKUP($B333,Tiendas!$A$4:$B$176,2,FALSE),""))</f>
        <v>JORDAN</v>
      </c>
      <c r="L333" s="68" t="s">
        <v>296</v>
      </c>
      <c r="M333" s="44" t="str">
        <f>IF($B333="","",IFERROR(VLOOKUP($B333,Tiendas!$A$4:$I$176,9,FALSE),""))</f>
        <v>Si</v>
      </c>
      <c r="N333" s="71">
        <f t="shared" si="3"/>
        <v>0</v>
      </c>
      <c r="O333" s="71">
        <f t="shared" si="4"/>
        <v>0</v>
      </c>
    </row>
    <row r="334" ht="15.75" customHeight="1">
      <c r="A334" s="17">
        <v>46023.0</v>
      </c>
      <c r="B334" s="44" t="s">
        <v>239</v>
      </c>
      <c r="C334" s="44" t="s">
        <v>74</v>
      </c>
      <c r="D334" s="45" t="s">
        <v>295</v>
      </c>
      <c r="E334" s="19">
        <f>IF($D334&lt;&gt;"Entregado",0,IF($C334="","",VLOOKUP($C334,'DATA DE TARIFA'!$A$4:$C$68,2,FALSE)/1.18))</f>
        <v>10.16949153</v>
      </c>
      <c r="F334" s="19">
        <f>IF($C334="","",IF($D334="",0,VLOOKUP($C334,'DATA DE TARIFA'!$A$4:$C$68,3,FALSE)))</f>
        <v>5.5</v>
      </c>
      <c r="G334" s="66">
        <v>0.0</v>
      </c>
      <c r="H334" s="19">
        <f t="shared" si="1"/>
        <v>10.16949153</v>
      </c>
      <c r="I334" s="19">
        <f t="shared" si="2"/>
        <v>5.5</v>
      </c>
      <c r="J334" s="67"/>
      <c r="K334" s="44" t="str">
        <f>IF($B334="","",IFERROR(VLOOKUP($B334,Tiendas!$A$4:$B$176,2,FALSE),""))</f>
        <v>JORDAN</v>
      </c>
      <c r="L334" s="68" t="s">
        <v>296</v>
      </c>
      <c r="M334" s="44" t="str">
        <f>IF($B334="","",IFERROR(VLOOKUP($B334,Tiendas!$A$4:$I$176,9,FALSE),""))</f>
        <v>Si</v>
      </c>
      <c r="N334" s="71">
        <f t="shared" si="3"/>
        <v>0</v>
      </c>
      <c r="O334" s="71">
        <f t="shared" si="4"/>
        <v>0</v>
      </c>
    </row>
    <row r="335" ht="15.75" customHeight="1">
      <c r="A335" s="17">
        <v>46023.0</v>
      </c>
      <c r="B335" s="44" t="s">
        <v>239</v>
      </c>
      <c r="C335" s="44" t="s">
        <v>74</v>
      </c>
      <c r="D335" s="45" t="s">
        <v>295</v>
      </c>
      <c r="E335" s="19">
        <f>IF($D335&lt;&gt;"Entregado",0,IF($C335="","",VLOOKUP($C335,'DATA DE TARIFA'!$A$4:$C$68,2,FALSE)/1.18))</f>
        <v>10.16949153</v>
      </c>
      <c r="F335" s="19">
        <f>IF($C335="","",IF($D335="",0,VLOOKUP($C335,'DATA DE TARIFA'!$A$4:$C$68,3,FALSE)))</f>
        <v>5.5</v>
      </c>
      <c r="G335" s="66">
        <v>0.0</v>
      </c>
      <c r="H335" s="19">
        <f t="shared" si="1"/>
        <v>10.16949153</v>
      </c>
      <c r="I335" s="19">
        <f t="shared" si="2"/>
        <v>5.5</v>
      </c>
      <c r="J335" s="67"/>
      <c r="K335" s="44" t="str">
        <f>IF($B335="","",IFERROR(VLOOKUP($B335,Tiendas!$A$4:$B$176,2,FALSE),""))</f>
        <v>JORDAN</v>
      </c>
      <c r="L335" s="68" t="s">
        <v>296</v>
      </c>
      <c r="M335" s="44" t="str">
        <f>IF($B335="","",IFERROR(VLOOKUP($B335,Tiendas!$A$4:$I$176,9,FALSE),""))</f>
        <v>Si</v>
      </c>
      <c r="N335" s="71">
        <f t="shared" si="3"/>
        <v>0</v>
      </c>
      <c r="O335" s="71">
        <f t="shared" si="4"/>
        <v>0</v>
      </c>
    </row>
    <row r="336" ht="15.75" customHeight="1">
      <c r="A336" s="17">
        <v>46023.0</v>
      </c>
      <c r="B336" s="44" t="s">
        <v>239</v>
      </c>
      <c r="C336" s="44" t="s">
        <v>21</v>
      </c>
      <c r="D336" s="45" t="s">
        <v>295</v>
      </c>
      <c r="E336" s="19">
        <f>IF($D336&lt;&gt;"Entregado",0,IF($C336="","",VLOOKUP($C336,'DATA DE TARIFA'!$A$4:$C$68,2,FALSE)/1.18))</f>
        <v>10.16949153</v>
      </c>
      <c r="F336" s="19">
        <f>IF($C336="","",IF($D336="",0,VLOOKUP($C336,'DATA DE TARIFA'!$A$4:$C$68,3,FALSE)))</f>
        <v>4.5</v>
      </c>
      <c r="G336" s="66">
        <v>0.0</v>
      </c>
      <c r="H336" s="19">
        <f t="shared" si="1"/>
        <v>10.16949153</v>
      </c>
      <c r="I336" s="19">
        <f t="shared" si="2"/>
        <v>4.5</v>
      </c>
      <c r="J336" s="67"/>
      <c r="K336" s="44" t="str">
        <f>IF($B336="","",IFERROR(VLOOKUP($B336,Tiendas!$A$4:$B$176,2,FALSE),""))</f>
        <v>JORDAN</v>
      </c>
      <c r="L336" s="68" t="s">
        <v>296</v>
      </c>
      <c r="M336" s="44" t="str">
        <f>IF($B336="","",IFERROR(VLOOKUP($B336,Tiendas!$A$4:$I$176,9,FALSE),""))</f>
        <v>Si</v>
      </c>
      <c r="N336" s="71">
        <f t="shared" si="3"/>
        <v>0</v>
      </c>
      <c r="O336" s="71">
        <f t="shared" si="4"/>
        <v>0</v>
      </c>
    </row>
    <row r="337" ht="15.75" customHeight="1">
      <c r="A337" s="17">
        <v>46023.0</v>
      </c>
      <c r="B337" s="44" t="s">
        <v>239</v>
      </c>
      <c r="C337" s="44" t="s">
        <v>47</v>
      </c>
      <c r="D337" s="45" t="s">
        <v>295</v>
      </c>
      <c r="E337" s="19">
        <f>IF($D337&lt;&gt;"Entregado",0,IF($C337="","",VLOOKUP($C337,'DATA DE TARIFA'!$A$4:$C$68,2,FALSE)/1.18))</f>
        <v>10.16949153</v>
      </c>
      <c r="F337" s="19">
        <f>IF($C337="","",IF($D337="",0,VLOOKUP($C337,'DATA DE TARIFA'!$A$4:$C$68,3,FALSE)))</f>
        <v>5.5</v>
      </c>
      <c r="G337" s="66">
        <v>0.0</v>
      </c>
      <c r="H337" s="19">
        <f t="shared" si="1"/>
        <v>10.16949153</v>
      </c>
      <c r="I337" s="19">
        <f t="shared" si="2"/>
        <v>5.5</v>
      </c>
      <c r="J337" s="67"/>
      <c r="K337" s="44" t="str">
        <f>IF($B337="","",IFERROR(VLOOKUP($B337,Tiendas!$A$4:$B$176,2,FALSE),""))</f>
        <v>JORDAN</v>
      </c>
      <c r="L337" s="68" t="s">
        <v>296</v>
      </c>
      <c r="M337" s="44" t="str">
        <f>IF($B337="","",IFERROR(VLOOKUP($B337,Tiendas!$A$4:$I$176,9,FALSE),""))</f>
        <v>Si</v>
      </c>
      <c r="N337" s="71">
        <f t="shared" si="3"/>
        <v>0</v>
      </c>
      <c r="O337" s="71">
        <f t="shared" si="4"/>
        <v>0</v>
      </c>
    </row>
    <row r="338" ht="15.75" customHeight="1">
      <c r="A338" s="17">
        <v>46023.0</v>
      </c>
      <c r="B338" s="44" t="s">
        <v>239</v>
      </c>
      <c r="C338" s="44" t="s">
        <v>44</v>
      </c>
      <c r="D338" s="45" t="s">
        <v>295</v>
      </c>
      <c r="E338" s="19">
        <f>IF($D338&lt;&gt;"Entregado",0,IF($C338="","",VLOOKUP($C338,'DATA DE TARIFA'!$A$4:$C$68,2,FALSE)/1.18))</f>
        <v>10.16949153</v>
      </c>
      <c r="F338" s="19">
        <f>IF($C338="","",IF($D338="",0,VLOOKUP($C338,'DATA DE TARIFA'!$A$4:$C$68,3,FALSE)))</f>
        <v>5.5</v>
      </c>
      <c r="G338" s="66">
        <v>0.0</v>
      </c>
      <c r="H338" s="19">
        <f t="shared" si="1"/>
        <v>10.16949153</v>
      </c>
      <c r="I338" s="19">
        <f t="shared" si="2"/>
        <v>5.5</v>
      </c>
      <c r="J338" s="67"/>
      <c r="K338" s="44" t="str">
        <f>IF($B338="","",IFERROR(VLOOKUP($B338,Tiendas!$A$4:$B$176,2,FALSE),""))</f>
        <v>JORDAN</v>
      </c>
      <c r="L338" s="68" t="s">
        <v>296</v>
      </c>
      <c r="M338" s="44" t="str">
        <f>IF($B338="","",IFERROR(VLOOKUP($B338,Tiendas!$A$4:$I$176,9,FALSE),""))</f>
        <v>Si</v>
      </c>
      <c r="N338" s="71">
        <f t="shared" si="3"/>
        <v>0</v>
      </c>
      <c r="O338" s="71">
        <f t="shared" si="4"/>
        <v>0</v>
      </c>
    </row>
    <row r="339" ht="15.75" customHeight="1">
      <c r="A339" s="17">
        <v>46023.0</v>
      </c>
      <c r="B339" s="44" t="s">
        <v>239</v>
      </c>
      <c r="C339" s="44" t="s">
        <v>44</v>
      </c>
      <c r="D339" s="45" t="s">
        <v>295</v>
      </c>
      <c r="E339" s="19">
        <f>IF($D339&lt;&gt;"Entregado",0,IF($C339="","",VLOOKUP($C339,'DATA DE TARIFA'!$A$4:$C$68,2,FALSE)/1.18))</f>
        <v>10.16949153</v>
      </c>
      <c r="F339" s="19">
        <f>IF($C339="","",IF($D339="",0,VLOOKUP($C339,'DATA DE TARIFA'!$A$4:$C$68,3,FALSE)))</f>
        <v>5.5</v>
      </c>
      <c r="G339" s="66">
        <v>0.0</v>
      </c>
      <c r="H339" s="19">
        <f t="shared" si="1"/>
        <v>10.16949153</v>
      </c>
      <c r="I339" s="19">
        <f t="shared" si="2"/>
        <v>5.5</v>
      </c>
      <c r="J339" s="67"/>
      <c r="K339" s="44" t="str">
        <f>IF($B339="","",IFERROR(VLOOKUP($B339,Tiendas!$A$4:$B$176,2,FALSE),""))</f>
        <v>JORDAN</v>
      </c>
      <c r="L339" s="68" t="s">
        <v>296</v>
      </c>
      <c r="M339" s="44" t="str">
        <f>IF($B339="","",IFERROR(VLOOKUP($B339,Tiendas!$A$4:$I$176,9,FALSE),""))</f>
        <v>Si</v>
      </c>
      <c r="N339" s="71">
        <f t="shared" si="3"/>
        <v>0</v>
      </c>
      <c r="O339" s="71">
        <f t="shared" si="4"/>
        <v>0</v>
      </c>
    </row>
    <row r="340" ht="15.75" customHeight="1">
      <c r="A340" s="17">
        <v>46023.0</v>
      </c>
      <c r="B340" s="44" t="s">
        <v>239</v>
      </c>
      <c r="C340" s="44" t="s">
        <v>65</v>
      </c>
      <c r="D340" s="45" t="s">
        <v>295</v>
      </c>
      <c r="E340" s="19">
        <f>IF($D340&lt;&gt;"Entregado",0,IF($C340="","",VLOOKUP($C340,'DATA DE TARIFA'!$A$4:$C$68,2,FALSE)/1.18))</f>
        <v>10.16949153</v>
      </c>
      <c r="F340" s="19">
        <f>IF($C340="","",IF($D340="",0,VLOOKUP($C340,'DATA DE TARIFA'!$A$4:$C$68,3,FALSE)))</f>
        <v>4.5</v>
      </c>
      <c r="G340" s="66">
        <v>0.0</v>
      </c>
      <c r="H340" s="19">
        <f t="shared" si="1"/>
        <v>10.16949153</v>
      </c>
      <c r="I340" s="19">
        <f t="shared" si="2"/>
        <v>4.5</v>
      </c>
      <c r="J340" s="67"/>
      <c r="K340" s="44" t="str">
        <f>IF($B340="","",IFERROR(VLOOKUP($B340,Tiendas!$A$4:$B$176,2,FALSE),""))</f>
        <v>JORDAN</v>
      </c>
      <c r="L340" s="68" t="s">
        <v>296</v>
      </c>
      <c r="M340" s="44" t="str">
        <f>IF($B340="","",IFERROR(VLOOKUP($B340,Tiendas!$A$4:$I$176,9,FALSE),""))</f>
        <v>Si</v>
      </c>
      <c r="N340" s="71">
        <f t="shared" si="3"/>
        <v>0</v>
      </c>
      <c r="O340" s="71">
        <f t="shared" si="4"/>
        <v>0</v>
      </c>
    </row>
    <row r="341" ht="15.75" customHeight="1">
      <c r="A341" s="17">
        <v>46023.0</v>
      </c>
      <c r="B341" s="44" t="s">
        <v>239</v>
      </c>
      <c r="C341" s="44" t="s">
        <v>30</v>
      </c>
      <c r="D341" s="45" t="s">
        <v>295</v>
      </c>
      <c r="E341" s="19">
        <f>IF($D341&lt;&gt;"Entregado",0,IF($C341="","",VLOOKUP($C341,'DATA DE TARIFA'!$A$4:$C$68,2,FALSE)/1.18))</f>
        <v>8.474576271</v>
      </c>
      <c r="F341" s="19">
        <f>IF($C341="","",IF($D341="",0,VLOOKUP($C341,'DATA DE TARIFA'!$A$4:$C$68,3,FALSE)))</f>
        <v>4.5</v>
      </c>
      <c r="G341" s="66">
        <v>0.0</v>
      </c>
      <c r="H341" s="19">
        <f t="shared" si="1"/>
        <v>8.474576271</v>
      </c>
      <c r="I341" s="19">
        <f t="shared" si="2"/>
        <v>4.5</v>
      </c>
      <c r="J341" s="67"/>
      <c r="K341" s="44" t="str">
        <f>IF($B341="","",IFERROR(VLOOKUP($B341,Tiendas!$A$4:$B$176,2,FALSE),""))</f>
        <v>JORDAN</v>
      </c>
      <c r="L341" s="68" t="s">
        <v>296</v>
      </c>
      <c r="M341" s="44" t="str">
        <f>IF($B341="","",IFERROR(VLOOKUP($B341,Tiendas!$A$4:$I$176,9,FALSE),""))</f>
        <v>Si</v>
      </c>
      <c r="N341" s="71">
        <f t="shared" si="3"/>
        <v>0</v>
      </c>
      <c r="O341" s="71">
        <f t="shared" si="4"/>
        <v>0</v>
      </c>
    </row>
    <row r="342" ht="15.75" customHeight="1">
      <c r="A342" s="17">
        <v>46023.0</v>
      </c>
      <c r="B342" s="44" t="s">
        <v>239</v>
      </c>
      <c r="C342" s="44" t="s">
        <v>21</v>
      </c>
      <c r="D342" s="45" t="s">
        <v>295</v>
      </c>
      <c r="E342" s="19">
        <f>IF($D342&lt;&gt;"Entregado",0,IF($C342="","",VLOOKUP($C342,'DATA DE TARIFA'!$A$4:$C$68,2,FALSE)/1.18))</f>
        <v>10.16949153</v>
      </c>
      <c r="F342" s="19">
        <f>IF($C342="","",IF($D342="",0,VLOOKUP($C342,'DATA DE TARIFA'!$A$4:$C$68,3,FALSE)))</f>
        <v>4.5</v>
      </c>
      <c r="G342" s="66">
        <v>0.0</v>
      </c>
      <c r="H342" s="19">
        <f t="shared" si="1"/>
        <v>10.16949153</v>
      </c>
      <c r="I342" s="19">
        <f t="shared" si="2"/>
        <v>4.5</v>
      </c>
      <c r="J342" s="67"/>
      <c r="K342" s="44" t="str">
        <f>IF($B342="","",IFERROR(VLOOKUP($B342,Tiendas!$A$4:$B$176,2,FALSE),""))</f>
        <v>JORDAN</v>
      </c>
      <c r="L342" s="68" t="s">
        <v>296</v>
      </c>
      <c r="M342" s="44" t="str">
        <f>IF($B342="","",IFERROR(VLOOKUP($B342,Tiendas!$A$4:$I$176,9,FALSE),""))</f>
        <v>Si</v>
      </c>
      <c r="N342" s="71">
        <f t="shared" si="3"/>
        <v>0</v>
      </c>
      <c r="O342" s="71">
        <f t="shared" si="4"/>
        <v>0</v>
      </c>
    </row>
    <row r="343" ht="15.75" customHeight="1">
      <c r="A343" s="17">
        <v>46023.0</v>
      </c>
      <c r="B343" s="44" t="s">
        <v>239</v>
      </c>
      <c r="C343" s="44" t="s">
        <v>34</v>
      </c>
      <c r="D343" s="45" t="s">
        <v>295</v>
      </c>
      <c r="E343" s="19">
        <f>IF($D343&lt;&gt;"Entregado",0,IF($C343="","",VLOOKUP($C343,'DATA DE TARIFA'!$A$4:$C$68,2,FALSE)/1.18))</f>
        <v>10.16949153</v>
      </c>
      <c r="F343" s="19">
        <f>IF($C343="","",IF($D343="",0,VLOOKUP($C343,'DATA DE TARIFA'!$A$4:$C$68,3,FALSE)))</f>
        <v>4.5</v>
      </c>
      <c r="G343" s="66">
        <v>0.0</v>
      </c>
      <c r="H343" s="19">
        <f t="shared" si="1"/>
        <v>10.16949153</v>
      </c>
      <c r="I343" s="19">
        <f t="shared" si="2"/>
        <v>4.5</v>
      </c>
      <c r="J343" s="67"/>
      <c r="K343" s="44" t="str">
        <f>IF($B343="","",IFERROR(VLOOKUP($B343,Tiendas!$A$4:$B$176,2,FALSE),""))</f>
        <v>JORDAN</v>
      </c>
      <c r="L343" s="68" t="s">
        <v>296</v>
      </c>
      <c r="M343" s="44" t="str">
        <f>IF($B343="","",IFERROR(VLOOKUP($B343,Tiendas!$A$4:$I$176,9,FALSE),""))</f>
        <v>Si</v>
      </c>
      <c r="N343" s="71">
        <f t="shared" si="3"/>
        <v>0</v>
      </c>
      <c r="O343" s="71">
        <f t="shared" si="4"/>
        <v>0</v>
      </c>
    </row>
    <row r="344" ht="15.75" customHeight="1">
      <c r="A344" s="17">
        <v>46023.0</v>
      </c>
      <c r="B344" s="44" t="s">
        <v>239</v>
      </c>
      <c r="C344" s="44" t="s">
        <v>34</v>
      </c>
      <c r="D344" s="45" t="s">
        <v>295</v>
      </c>
      <c r="E344" s="19">
        <f>IF($D344&lt;&gt;"Entregado",0,IF($C344="","",VLOOKUP($C344,'DATA DE TARIFA'!$A$4:$C$68,2,FALSE)/1.18))</f>
        <v>10.16949153</v>
      </c>
      <c r="F344" s="19">
        <f>IF($C344="","",IF($D344="",0,VLOOKUP($C344,'DATA DE TARIFA'!$A$4:$C$68,3,FALSE)))</f>
        <v>4.5</v>
      </c>
      <c r="G344" s="66">
        <v>0.0</v>
      </c>
      <c r="H344" s="19">
        <f t="shared" si="1"/>
        <v>10.16949153</v>
      </c>
      <c r="I344" s="19">
        <f t="shared" si="2"/>
        <v>4.5</v>
      </c>
      <c r="J344" s="67"/>
      <c r="K344" s="44" t="str">
        <f>IF($B344="","",IFERROR(VLOOKUP($B344,Tiendas!$A$4:$B$176,2,FALSE),""))</f>
        <v>JORDAN</v>
      </c>
      <c r="L344" s="68" t="s">
        <v>296</v>
      </c>
      <c r="M344" s="44" t="str">
        <f>IF($B344="","",IFERROR(VLOOKUP($B344,Tiendas!$A$4:$I$176,9,FALSE),""))</f>
        <v>Si</v>
      </c>
      <c r="N344" s="71">
        <f t="shared" si="3"/>
        <v>0</v>
      </c>
      <c r="O344" s="71">
        <f t="shared" si="4"/>
        <v>0</v>
      </c>
    </row>
    <row r="345" ht="15.75" customHeight="1">
      <c r="A345" s="17">
        <v>46023.0</v>
      </c>
      <c r="B345" s="44" t="s">
        <v>239</v>
      </c>
      <c r="C345" s="44" t="s">
        <v>51</v>
      </c>
      <c r="D345" s="45" t="s">
        <v>295</v>
      </c>
      <c r="E345" s="19">
        <f>IF($D345&lt;&gt;"Entregado",0,IF($C345="","",VLOOKUP($C345,'DATA DE TARIFA'!$A$4:$C$68,2,FALSE)/1.18))</f>
        <v>10.16949153</v>
      </c>
      <c r="F345" s="19">
        <f>IF($C345="","",IF($D345="",0,VLOOKUP($C345,'DATA DE TARIFA'!$A$4:$C$68,3,FALSE)))</f>
        <v>5.5</v>
      </c>
      <c r="G345" s="66">
        <v>0.0</v>
      </c>
      <c r="H345" s="19">
        <f t="shared" si="1"/>
        <v>10.16949153</v>
      </c>
      <c r="I345" s="19">
        <f t="shared" si="2"/>
        <v>5.5</v>
      </c>
      <c r="J345" s="67"/>
      <c r="K345" s="44" t="str">
        <f>IF($B345="","",IFERROR(VLOOKUP($B345,Tiendas!$A$4:$B$176,2,FALSE),""))</f>
        <v>JORDAN</v>
      </c>
      <c r="L345" s="68" t="s">
        <v>296</v>
      </c>
      <c r="M345" s="44" t="str">
        <f>IF($B345="","",IFERROR(VLOOKUP($B345,Tiendas!$A$4:$I$176,9,FALSE),""))</f>
        <v>Si</v>
      </c>
      <c r="N345" s="71">
        <f t="shared" si="3"/>
        <v>0</v>
      </c>
      <c r="O345" s="71">
        <f t="shared" si="4"/>
        <v>0</v>
      </c>
    </row>
    <row r="346" ht="15.75" customHeight="1">
      <c r="A346" s="17">
        <v>46023.0</v>
      </c>
      <c r="B346" s="44" t="s">
        <v>239</v>
      </c>
      <c r="C346" s="44" t="s">
        <v>18</v>
      </c>
      <c r="D346" s="45" t="s">
        <v>295</v>
      </c>
      <c r="E346" s="19">
        <f>IF($D346&lt;&gt;"Entregado",0,IF($C346="","",VLOOKUP($C346,'DATA DE TARIFA'!$A$4:$C$68,2,FALSE)/1.18))</f>
        <v>10.16949153</v>
      </c>
      <c r="F346" s="19">
        <f>IF($C346="","",IF($D346="",0,VLOOKUP($C346,'DATA DE TARIFA'!$A$4:$C$68,3,FALSE)))</f>
        <v>4.5</v>
      </c>
      <c r="G346" s="66">
        <v>0.0</v>
      </c>
      <c r="H346" s="19">
        <f t="shared" si="1"/>
        <v>10.16949153</v>
      </c>
      <c r="I346" s="19">
        <f t="shared" si="2"/>
        <v>4.5</v>
      </c>
      <c r="J346" s="67"/>
      <c r="K346" s="44" t="str">
        <f>IF($B346="","",IFERROR(VLOOKUP($B346,Tiendas!$A$4:$B$176,2,FALSE),""))</f>
        <v>JORDAN</v>
      </c>
      <c r="L346" s="68" t="s">
        <v>296</v>
      </c>
      <c r="M346" s="44" t="str">
        <f>IF($B346="","",IFERROR(VLOOKUP($B346,Tiendas!$A$4:$I$176,9,FALSE),""))</f>
        <v>Si</v>
      </c>
      <c r="N346" s="71">
        <f t="shared" si="3"/>
        <v>0</v>
      </c>
      <c r="O346" s="71">
        <f t="shared" si="4"/>
        <v>0</v>
      </c>
    </row>
    <row r="347" ht="15.75" customHeight="1">
      <c r="A347" s="17">
        <v>46023.0</v>
      </c>
      <c r="B347" s="44" t="s">
        <v>239</v>
      </c>
      <c r="C347" s="44" t="s">
        <v>72</v>
      </c>
      <c r="D347" s="45" t="s">
        <v>295</v>
      </c>
      <c r="E347" s="19">
        <f>IF($D347&lt;&gt;"Entregado",0,IF($C347="","",VLOOKUP($C347,'DATA DE TARIFA'!$A$4:$C$68,2,FALSE)/1.18))</f>
        <v>10.16949153</v>
      </c>
      <c r="F347" s="19">
        <f>IF($C347="","",IF($D347="",0,VLOOKUP($C347,'DATA DE TARIFA'!$A$4:$C$68,3,FALSE)))</f>
        <v>4.5</v>
      </c>
      <c r="G347" s="66">
        <v>0.0</v>
      </c>
      <c r="H347" s="19">
        <f t="shared" si="1"/>
        <v>10.16949153</v>
      </c>
      <c r="I347" s="19">
        <f t="shared" si="2"/>
        <v>4.5</v>
      </c>
      <c r="J347" s="67"/>
      <c r="K347" s="44" t="str">
        <f>IF($B347="","",IFERROR(VLOOKUP($B347,Tiendas!$A$4:$B$176,2,FALSE),""))</f>
        <v>JORDAN</v>
      </c>
      <c r="L347" s="68" t="s">
        <v>296</v>
      </c>
      <c r="M347" s="44" t="str">
        <f>IF($B347="","",IFERROR(VLOOKUP($B347,Tiendas!$A$4:$I$176,9,FALSE),""))</f>
        <v>Si</v>
      </c>
      <c r="N347" s="71">
        <f t="shared" si="3"/>
        <v>0</v>
      </c>
      <c r="O347" s="71">
        <f t="shared" si="4"/>
        <v>0</v>
      </c>
    </row>
    <row r="348" ht="15.75" customHeight="1">
      <c r="A348" s="17">
        <v>46023.0</v>
      </c>
      <c r="B348" s="44" t="s">
        <v>239</v>
      </c>
      <c r="C348" s="44" t="s">
        <v>72</v>
      </c>
      <c r="D348" s="45" t="s">
        <v>295</v>
      </c>
      <c r="E348" s="19">
        <f>IF($D348&lt;&gt;"Entregado",0,IF($C348="","",VLOOKUP($C348,'DATA DE TARIFA'!$A$4:$C$68,2,FALSE)/1.18))</f>
        <v>10.16949153</v>
      </c>
      <c r="F348" s="19">
        <f>IF($C348="","",IF($D348="",0,VLOOKUP($C348,'DATA DE TARIFA'!$A$4:$C$68,3,FALSE)))</f>
        <v>4.5</v>
      </c>
      <c r="G348" s="66">
        <v>0.0</v>
      </c>
      <c r="H348" s="19">
        <f t="shared" si="1"/>
        <v>10.16949153</v>
      </c>
      <c r="I348" s="19">
        <f t="shared" si="2"/>
        <v>4.5</v>
      </c>
      <c r="J348" s="67"/>
      <c r="K348" s="44" t="str">
        <f>IF($B348="","",IFERROR(VLOOKUP($B348,Tiendas!$A$4:$B$176,2,FALSE),""))</f>
        <v>JORDAN</v>
      </c>
      <c r="L348" s="68" t="s">
        <v>296</v>
      </c>
      <c r="M348" s="44" t="str">
        <f>IF($B348="","",IFERROR(VLOOKUP($B348,Tiendas!$A$4:$I$176,9,FALSE),""))</f>
        <v>Si</v>
      </c>
      <c r="N348" s="71">
        <f t="shared" si="3"/>
        <v>0</v>
      </c>
      <c r="O348" s="71">
        <f t="shared" si="4"/>
        <v>0</v>
      </c>
    </row>
    <row r="349" ht="15.75" customHeight="1">
      <c r="A349" s="17">
        <v>46023.0</v>
      </c>
      <c r="B349" s="44" t="s">
        <v>239</v>
      </c>
      <c r="C349" s="44" t="s">
        <v>36</v>
      </c>
      <c r="D349" s="45" t="s">
        <v>295</v>
      </c>
      <c r="E349" s="19">
        <f>IF($D349&lt;&gt;"Entregado",0,IF($C349="","",VLOOKUP($C349,'DATA DE TARIFA'!$A$4:$C$68,2,FALSE)/1.18))</f>
        <v>10.16949153</v>
      </c>
      <c r="F349" s="19">
        <f>IF($C349="","",IF($D349="",0,VLOOKUP($C349,'DATA DE TARIFA'!$A$4:$C$68,3,FALSE)))</f>
        <v>4.5</v>
      </c>
      <c r="G349" s="66">
        <v>0.0</v>
      </c>
      <c r="H349" s="19">
        <f t="shared" si="1"/>
        <v>10.16949153</v>
      </c>
      <c r="I349" s="19">
        <f t="shared" si="2"/>
        <v>4.5</v>
      </c>
      <c r="J349" s="67"/>
      <c r="K349" s="44" t="str">
        <f>IF($B349="","",IFERROR(VLOOKUP($B349,Tiendas!$A$4:$B$176,2,FALSE),""))</f>
        <v>JORDAN</v>
      </c>
      <c r="L349" s="68" t="s">
        <v>296</v>
      </c>
      <c r="M349" s="44" t="str">
        <f>IF($B349="","",IFERROR(VLOOKUP($B349,Tiendas!$A$4:$I$176,9,FALSE),""))</f>
        <v>Si</v>
      </c>
      <c r="N349" s="71">
        <f t="shared" si="3"/>
        <v>0</v>
      </c>
      <c r="O349" s="71">
        <f t="shared" si="4"/>
        <v>0</v>
      </c>
    </row>
    <row r="350" ht="15.75" customHeight="1">
      <c r="A350" s="17">
        <v>46023.0</v>
      </c>
      <c r="B350" s="44" t="s">
        <v>239</v>
      </c>
      <c r="C350" s="44" t="s">
        <v>68</v>
      </c>
      <c r="D350" s="45" t="s">
        <v>295</v>
      </c>
      <c r="E350" s="19">
        <f>IF($D350&lt;&gt;"Entregado",0,IF($C350="","",VLOOKUP($C350,'DATA DE TARIFA'!$A$4:$C$68,2,FALSE)/1.18))</f>
        <v>11.86440678</v>
      </c>
      <c r="F350" s="19">
        <f>IF($C350="","",IF($D350="",0,VLOOKUP($C350,'DATA DE TARIFA'!$A$4:$C$68,3,FALSE)))</f>
        <v>7.5</v>
      </c>
      <c r="G350" s="66">
        <v>0.0</v>
      </c>
      <c r="H350" s="19">
        <f t="shared" si="1"/>
        <v>11.86440678</v>
      </c>
      <c r="I350" s="19">
        <f t="shared" si="2"/>
        <v>7.5</v>
      </c>
      <c r="J350" s="67"/>
      <c r="K350" s="44" t="str">
        <f>IF($B350="","",IFERROR(VLOOKUP($B350,Tiendas!$A$4:$B$176,2,FALSE),""))</f>
        <v>JORDAN</v>
      </c>
      <c r="L350" s="68" t="s">
        <v>296</v>
      </c>
      <c r="M350" s="44" t="str">
        <f>IF($B350="","",IFERROR(VLOOKUP($B350,Tiendas!$A$4:$I$176,9,FALSE),""))</f>
        <v>Si</v>
      </c>
      <c r="N350" s="71">
        <f t="shared" si="3"/>
        <v>0</v>
      </c>
      <c r="O350" s="71">
        <f t="shared" si="4"/>
        <v>0</v>
      </c>
    </row>
    <row r="351" ht="15.75" customHeight="1">
      <c r="A351" s="17">
        <v>46023.0</v>
      </c>
      <c r="B351" s="44" t="s">
        <v>239</v>
      </c>
      <c r="C351" s="44" t="s">
        <v>44</v>
      </c>
      <c r="D351" s="45" t="s">
        <v>295</v>
      </c>
      <c r="E351" s="19">
        <f>IF($D351&lt;&gt;"Entregado",0,IF($C351="","",VLOOKUP($C351,'DATA DE TARIFA'!$A$4:$C$68,2,FALSE)/1.18))</f>
        <v>10.16949153</v>
      </c>
      <c r="F351" s="19">
        <f>IF($C351="","",IF($D351="",0,VLOOKUP($C351,'DATA DE TARIFA'!$A$4:$C$68,3,FALSE)))</f>
        <v>5.5</v>
      </c>
      <c r="G351" s="66">
        <v>0.0</v>
      </c>
      <c r="H351" s="19">
        <f t="shared" si="1"/>
        <v>10.16949153</v>
      </c>
      <c r="I351" s="19">
        <f t="shared" si="2"/>
        <v>5.5</v>
      </c>
      <c r="J351" s="67"/>
      <c r="K351" s="44" t="str">
        <f>IF($B351="","",IFERROR(VLOOKUP($B351,Tiendas!$A$4:$B$176,2,FALSE),""))</f>
        <v>JORDAN</v>
      </c>
      <c r="L351" s="68" t="s">
        <v>296</v>
      </c>
      <c r="M351" s="44" t="str">
        <f>IF($B351="","",IFERROR(VLOOKUP($B351,Tiendas!$A$4:$I$176,9,FALSE),""))</f>
        <v>Si</v>
      </c>
      <c r="N351" s="71">
        <f t="shared" si="3"/>
        <v>0</v>
      </c>
      <c r="O351" s="71">
        <f t="shared" si="4"/>
        <v>0</v>
      </c>
    </row>
    <row r="352" ht="15.75" customHeight="1">
      <c r="A352" s="17">
        <v>46023.0</v>
      </c>
      <c r="B352" s="44" t="s">
        <v>239</v>
      </c>
      <c r="C352" s="44" t="s">
        <v>85</v>
      </c>
      <c r="D352" s="45" t="s">
        <v>295</v>
      </c>
      <c r="E352" s="19">
        <f>IF($D352&lt;&gt;"Entregado",0,IF($C352="","",VLOOKUP($C352,'DATA DE TARIFA'!$A$4:$C$68,2,FALSE)/1.18))</f>
        <v>14.40677966</v>
      </c>
      <c r="F352" s="19">
        <f>IF($C352="","",IF($D352="",0,VLOOKUP($C352,'DATA DE TARIFA'!$A$4:$C$68,3,FALSE)))</f>
        <v>8.5</v>
      </c>
      <c r="G352" s="66">
        <v>0.0</v>
      </c>
      <c r="H352" s="19">
        <f t="shared" si="1"/>
        <v>14.40677966</v>
      </c>
      <c r="I352" s="19">
        <f t="shared" si="2"/>
        <v>8.5</v>
      </c>
      <c r="J352" s="67"/>
      <c r="K352" s="44" t="str">
        <f>IF($B352="","",IFERROR(VLOOKUP($B352,Tiendas!$A$4:$B$176,2,FALSE),""))</f>
        <v>JORDAN</v>
      </c>
      <c r="L352" s="68" t="s">
        <v>296</v>
      </c>
      <c r="M352" s="44" t="str">
        <f>IF($B352="","",IFERROR(VLOOKUP($B352,Tiendas!$A$4:$I$176,9,FALSE),""))</f>
        <v>Si</v>
      </c>
      <c r="N352" s="71">
        <f t="shared" si="3"/>
        <v>0</v>
      </c>
      <c r="O352" s="71">
        <f t="shared" si="4"/>
        <v>0</v>
      </c>
    </row>
    <row r="353" ht="15.75" customHeight="1">
      <c r="A353" s="17">
        <v>46023.0</v>
      </c>
      <c r="B353" s="44" t="s">
        <v>239</v>
      </c>
      <c r="C353" s="44" t="s">
        <v>21</v>
      </c>
      <c r="D353" s="45" t="s">
        <v>295</v>
      </c>
      <c r="E353" s="19">
        <f>IF($D353&lt;&gt;"Entregado",0,IF($C353="","",VLOOKUP($C353,'DATA DE TARIFA'!$A$4:$C$68,2,FALSE)/1.18))</f>
        <v>10.16949153</v>
      </c>
      <c r="F353" s="19">
        <f>IF($C353="","",IF($D353="",0,VLOOKUP($C353,'DATA DE TARIFA'!$A$4:$C$68,3,FALSE)))</f>
        <v>4.5</v>
      </c>
      <c r="G353" s="66">
        <v>0.0</v>
      </c>
      <c r="H353" s="19">
        <f t="shared" si="1"/>
        <v>10.16949153</v>
      </c>
      <c r="I353" s="19">
        <f t="shared" si="2"/>
        <v>4.5</v>
      </c>
      <c r="J353" s="67"/>
      <c r="K353" s="44" t="str">
        <f>IF($B353="","",IFERROR(VLOOKUP($B353,Tiendas!$A$4:$B$176,2,FALSE),""))</f>
        <v>JORDAN</v>
      </c>
      <c r="L353" s="68" t="s">
        <v>296</v>
      </c>
      <c r="M353" s="44" t="str">
        <f>IF($B353="","",IFERROR(VLOOKUP($B353,Tiendas!$A$4:$I$176,9,FALSE),""))</f>
        <v>Si</v>
      </c>
      <c r="N353" s="71">
        <f t="shared" si="3"/>
        <v>0</v>
      </c>
      <c r="O353" s="71">
        <f t="shared" si="4"/>
        <v>0</v>
      </c>
    </row>
    <row r="354" ht="15.75" customHeight="1">
      <c r="A354" s="17">
        <v>46023.0</v>
      </c>
      <c r="B354" s="44" t="s">
        <v>239</v>
      </c>
      <c r="C354" s="44" t="s">
        <v>75</v>
      </c>
      <c r="D354" s="45" t="s">
        <v>295</v>
      </c>
      <c r="E354" s="19">
        <f>IF($D354&lt;&gt;"Entregado",0,IF($C354="","",VLOOKUP($C354,'DATA DE TARIFA'!$A$4:$C$68,2,FALSE)/1.18))</f>
        <v>10.16949153</v>
      </c>
      <c r="F354" s="19">
        <f>IF($C354="","",IF($D354="",0,VLOOKUP($C354,'DATA DE TARIFA'!$A$4:$C$68,3,FALSE)))</f>
        <v>4.5</v>
      </c>
      <c r="G354" s="66">
        <v>0.0</v>
      </c>
      <c r="H354" s="19">
        <f t="shared" si="1"/>
        <v>10.16949153</v>
      </c>
      <c r="I354" s="19">
        <f t="shared" si="2"/>
        <v>4.5</v>
      </c>
      <c r="J354" s="67"/>
      <c r="K354" s="44" t="str">
        <f>IF($B354="","",IFERROR(VLOOKUP($B354,Tiendas!$A$4:$B$176,2,FALSE),""))</f>
        <v>JORDAN</v>
      </c>
      <c r="L354" s="68" t="s">
        <v>296</v>
      </c>
      <c r="M354" s="44" t="str">
        <f>IF($B354="","",IFERROR(VLOOKUP($B354,Tiendas!$A$4:$I$176,9,FALSE),""))</f>
        <v>Si</v>
      </c>
      <c r="N354" s="71">
        <f t="shared" si="3"/>
        <v>0</v>
      </c>
      <c r="O354" s="71">
        <f t="shared" si="4"/>
        <v>0</v>
      </c>
    </row>
    <row r="355" ht="15.75" customHeight="1">
      <c r="A355" s="17">
        <v>46023.0</v>
      </c>
      <c r="B355" s="44" t="s">
        <v>239</v>
      </c>
      <c r="C355" s="44" t="s">
        <v>26</v>
      </c>
      <c r="D355" s="45" t="s">
        <v>295</v>
      </c>
      <c r="E355" s="19">
        <f>IF($D355&lt;&gt;"Entregado",0,IF($C355="","",VLOOKUP($C355,'DATA DE TARIFA'!$A$4:$C$68,2,FALSE)/1.18))</f>
        <v>10.16949153</v>
      </c>
      <c r="F355" s="19">
        <f>IF($C355="","",IF($D355="",0,VLOOKUP($C355,'DATA DE TARIFA'!$A$4:$C$68,3,FALSE)))</f>
        <v>5</v>
      </c>
      <c r="G355" s="66">
        <v>0.0</v>
      </c>
      <c r="H355" s="19">
        <f t="shared" si="1"/>
        <v>10.16949153</v>
      </c>
      <c r="I355" s="19">
        <f t="shared" si="2"/>
        <v>5</v>
      </c>
      <c r="J355" s="67"/>
      <c r="K355" s="44" t="str">
        <f>IF($B355="","",IFERROR(VLOOKUP($B355,Tiendas!$A$4:$B$176,2,FALSE),""))</f>
        <v>JORDAN</v>
      </c>
      <c r="L355" s="68" t="s">
        <v>296</v>
      </c>
      <c r="M355" s="44" t="str">
        <f>IF($B355="","",IFERROR(VLOOKUP($B355,Tiendas!$A$4:$I$176,9,FALSE),""))</f>
        <v>Si</v>
      </c>
      <c r="N355" s="71">
        <f t="shared" si="3"/>
        <v>0</v>
      </c>
      <c r="O355" s="71">
        <f t="shared" si="4"/>
        <v>0</v>
      </c>
    </row>
    <row r="356" ht="15.75" customHeight="1">
      <c r="A356" s="17">
        <v>46023.0</v>
      </c>
      <c r="B356" s="44" t="s">
        <v>239</v>
      </c>
      <c r="C356" s="44" t="s">
        <v>46</v>
      </c>
      <c r="D356" s="45" t="s">
        <v>295</v>
      </c>
      <c r="E356" s="19">
        <f>IF($D356&lt;&gt;"Entregado",0,IF($C356="","",VLOOKUP($C356,'DATA DE TARIFA'!$A$4:$C$68,2,FALSE)/1.18))</f>
        <v>10.16949153</v>
      </c>
      <c r="F356" s="19">
        <f>IF($C356="","",IF($D356="",0,VLOOKUP($C356,'DATA DE TARIFA'!$A$4:$C$68,3,FALSE)))</f>
        <v>4.5</v>
      </c>
      <c r="G356" s="66">
        <v>0.0</v>
      </c>
      <c r="H356" s="19">
        <f t="shared" si="1"/>
        <v>10.16949153</v>
      </c>
      <c r="I356" s="19">
        <f t="shared" si="2"/>
        <v>4.5</v>
      </c>
      <c r="J356" s="67"/>
      <c r="K356" s="44" t="str">
        <f>IF($B356="","",IFERROR(VLOOKUP($B356,Tiendas!$A$4:$B$176,2,FALSE),""))</f>
        <v>JORDAN</v>
      </c>
      <c r="L356" s="68" t="s">
        <v>296</v>
      </c>
      <c r="M356" s="44" t="str">
        <f>IF($B356="","",IFERROR(VLOOKUP($B356,Tiendas!$A$4:$I$176,9,FALSE),""))</f>
        <v>Si</v>
      </c>
      <c r="N356" s="71">
        <f t="shared" si="3"/>
        <v>0</v>
      </c>
      <c r="O356" s="71">
        <f t="shared" si="4"/>
        <v>0</v>
      </c>
    </row>
    <row r="357" ht="15.75" customHeight="1">
      <c r="A357" s="17">
        <v>46023.0</v>
      </c>
      <c r="B357" s="44" t="s">
        <v>239</v>
      </c>
      <c r="C357" s="44" t="s">
        <v>65</v>
      </c>
      <c r="D357" s="45" t="s">
        <v>295</v>
      </c>
      <c r="E357" s="19">
        <f>IF($D357&lt;&gt;"Entregado",0,IF($C357="","",VLOOKUP($C357,'DATA DE TARIFA'!$A$4:$C$68,2,FALSE)/1.18))</f>
        <v>10.16949153</v>
      </c>
      <c r="F357" s="19">
        <f>IF($C357="","",IF($D357="",0,VLOOKUP($C357,'DATA DE TARIFA'!$A$4:$C$68,3,FALSE)))</f>
        <v>4.5</v>
      </c>
      <c r="G357" s="66">
        <v>0.0</v>
      </c>
      <c r="H357" s="19">
        <f t="shared" si="1"/>
        <v>10.16949153</v>
      </c>
      <c r="I357" s="19">
        <f t="shared" si="2"/>
        <v>4.5</v>
      </c>
      <c r="J357" s="67"/>
      <c r="K357" s="44" t="str">
        <f>IF($B357="","",IFERROR(VLOOKUP($B357,Tiendas!$A$4:$B$176,2,FALSE),""))</f>
        <v>JORDAN</v>
      </c>
      <c r="L357" s="68" t="s">
        <v>296</v>
      </c>
      <c r="M357" s="44" t="str">
        <f>IF($B357="","",IFERROR(VLOOKUP($B357,Tiendas!$A$4:$I$176,9,FALSE),""))</f>
        <v>Si</v>
      </c>
      <c r="N357" s="71">
        <f t="shared" si="3"/>
        <v>0</v>
      </c>
      <c r="O357" s="71">
        <f t="shared" si="4"/>
        <v>0</v>
      </c>
    </row>
    <row r="358" ht="15.75" customHeight="1">
      <c r="A358" s="17">
        <v>46023.0</v>
      </c>
      <c r="B358" s="44" t="s">
        <v>239</v>
      </c>
      <c r="C358" s="44" t="s">
        <v>65</v>
      </c>
      <c r="D358" s="45" t="s">
        <v>295</v>
      </c>
      <c r="E358" s="19">
        <f>IF($D358&lt;&gt;"Entregado",0,IF($C358="","",VLOOKUP($C358,'DATA DE TARIFA'!$A$4:$C$68,2,FALSE)/1.18))</f>
        <v>10.16949153</v>
      </c>
      <c r="F358" s="19">
        <f>IF($C358="","",IF($D358="",0,VLOOKUP($C358,'DATA DE TARIFA'!$A$4:$C$68,3,FALSE)))</f>
        <v>4.5</v>
      </c>
      <c r="G358" s="66">
        <v>0.0</v>
      </c>
      <c r="H358" s="19">
        <f t="shared" si="1"/>
        <v>10.16949153</v>
      </c>
      <c r="I358" s="19">
        <f t="shared" si="2"/>
        <v>4.5</v>
      </c>
      <c r="J358" s="67"/>
      <c r="K358" s="44" t="str">
        <f>IF($B358="","",IFERROR(VLOOKUP($B358,Tiendas!$A$4:$B$176,2,FALSE),""))</f>
        <v>JORDAN</v>
      </c>
      <c r="L358" s="68" t="s">
        <v>296</v>
      </c>
      <c r="M358" s="44" t="str">
        <f>IF($B358="","",IFERROR(VLOOKUP($B358,Tiendas!$A$4:$I$176,9,FALSE),""))</f>
        <v>Si</v>
      </c>
      <c r="N358" s="71">
        <f t="shared" si="3"/>
        <v>0</v>
      </c>
      <c r="O358" s="71">
        <f t="shared" si="4"/>
        <v>0</v>
      </c>
    </row>
    <row r="359" ht="15.75" customHeight="1">
      <c r="A359" s="17">
        <v>46023.0</v>
      </c>
      <c r="B359" s="44" t="s">
        <v>239</v>
      </c>
      <c r="C359" s="44" t="s">
        <v>18</v>
      </c>
      <c r="D359" s="45" t="s">
        <v>295</v>
      </c>
      <c r="E359" s="19">
        <f>IF($D359&lt;&gt;"Entregado",0,IF($C359="","",VLOOKUP($C359,'DATA DE TARIFA'!$A$4:$C$68,2,FALSE)/1.18))</f>
        <v>10.16949153</v>
      </c>
      <c r="F359" s="19">
        <f>IF($C359="","",IF($D359="",0,VLOOKUP($C359,'DATA DE TARIFA'!$A$4:$C$68,3,FALSE)))</f>
        <v>4.5</v>
      </c>
      <c r="G359" s="66">
        <v>0.0</v>
      </c>
      <c r="H359" s="19">
        <f t="shared" si="1"/>
        <v>10.16949153</v>
      </c>
      <c r="I359" s="19">
        <f t="shared" si="2"/>
        <v>4.5</v>
      </c>
      <c r="J359" s="67"/>
      <c r="K359" s="44" t="str">
        <f>IF($B359="","",IFERROR(VLOOKUP($B359,Tiendas!$A$4:$B$176,2,FALSE),""))</f>
        <v>JORDAN</v>
      </c>
      <c r="L359" s="68" t="s">
        <v>296</v>
      </c>
      <c r="M359" s="44" t="str">
        <f>IF($B359="","",IFERROR(VLOOKUP($B359,Tiendas!$A$4:$I$176,9,FALSE),""))</f>
        <v>Si</v>
      </c>
      <c r="N359" s="71">
        <f t="shared" si="3"/>
        <v>0</v>
      </c>
      <c r="O359" s="71">
        <f t="shared" si="4"/>
        <v>0</v>
      </c>
    </row>
    <row r="360" ht="15.75" customHeight="1">
      <c r="A360" s="17">
        <v>46023.0</v>
      </c>
      <c r="B360" s="44" t="s">
        <v>239</v>
      </c>
      <c r="C360" s="44" t="s">
        <v>18</v>
      </c>
      <c r="D360" s="45" t="s">
        <v>295</v>
      </c>
      <c r="E360" s="19">
        <f>IF($D360&lt;&gt;"Entregado",0,IF($C360="","",VLOOKUP($C360,'DATA DE TARIFA'!$A$4:$C$68,2,FALSE)/1.18))</f>
        <v>10.16949153</v>
      </c>
      <c r="F360" s="19">
        <f>IF($C360="","",IF($D360="",0,VLOOKUP($C360,'DATA DE TARIFA'!$A$4:$C$68,3,FALSE)))</f>
        <v>4.5</v>
      </c>
      <c r="G360" s="66">
        <v>0.0</v>
      </c>
      <c r="H360" s="19">
        <f t="shared" si="1"/>
        <v>10.16949153</v>
      </c>
      <c r="I360" s="19">
        <f t="shared" si="2"/>
        <v>4.5</v>
      </c>
      <c r="J360" s="67"/>
      <c r="K360" s="44" t="str">
        <f>IF($B360="","",IFERROR(VLOOKUP($B360,Tiendas!$A$4:$B$176,2,FALSE),""))</f>
        <v>JORDAN</v>
      </c>
      <c r="L360" s="68" t="s">
        <v>296</v>
      </c>
      <c r="M360" s="44" t="str">
        <f>IF($B360="","",IFERROR(VLOOKUP($B360,Tiendas!$A$4:$I$176,9,FALSE),""))</f>
        <v>Si</v>
      </c>
      <c r="N360" s="71">
        <f t="shared" si="3"/>
        <v>0</v>
      </c>
      <c r="O360" s="71">
        <f t="shared" si="4"/>
        <v>0</v>
      </c>
    </row>
    <row r="361" ht="15.75" customHeight="1">
      <c r="A361" s="17">
        <v>46023.0</v>
      </c>
      <c r="B361" s="44" t="s">
        <v>239</v>
      </c>
      <c r="C361" s="44" t="s">
        <v>46</v>
      </c>
      <c r="D361" s="45" t="s">
        <v>295</v>
      </c>
      <c r="E361" s="19">
        <f>IF($D361&lt;&gt;"Entregado",0,IF($C361="","",VLOOKUP($C361,'DATA DE TARIFA'!$A$4:$C$68,2,FALSE)/1.18))</f>
        <v>10.16949153</v>
      </c>
      <c r="F361" s="19">
        <f>IF($C361="","",IF($D361="",0,VLOOKUP($C361,'DATA DE TARIFA'!$A$4:$C$68,3,FALSE)))</f>
        <v>4.5</v>
      </c>
      <c r="G361" s="66">
        <v>0.0</v>
      </c>
      <c r="H361" s="19">
        <f t="shared" si="1"/>
        <v>10.16949153</v>
      </c>
      <c r="I361" s="19">
        <f t="shared" si="2"/>
        <v>4.5</v>
      </c>
      <c r="J361" s="67"/>
      <c r="K361" s="44" t="str">
        <f>IF($B361="","",IFERROR(VLOOKUP($B361,Tiendas!$A$4:$B$176,2,FALSE),""))</f>
        <v>JORDAN</v>
      </c>
      <c r="L361" s="68" t="s">
        <v>296</v>
      </c>
      <c r="M361" s="44" t="str">
        <f>IF($B361="","",IFERROR(VLOOKUP($B361,Tiendas!$A$4:$I$176,9,FALSE),""))</f>
        <v>Si</v>
      </c>
      <c r="N361" s="71">
        <f t="shared" si="3"/>
        <v>0</v>
      </c>
      <c r="O361" s="71">
        <f t="shared" si="4"/>
        <v>0</v>
      </c>
    </row>
    <row r="362" ht="15.75" customHeight="1">
      <c r="A362" s="17">
        <v>46023.0</v>
      </c>
      <c r="B362" s="44" t="s">
        <v>239</v>
      </c>
      <c r="C362" s="44" t="s">
        <v>67</v>
      </c>
      <c r="D362" s="45" t="s">
        <v>295</v>
      </c>
      <c r="E362" s="19">
        <f>IF($D362&lt;&gt;"Entregado",0,IF($C362="","",VLOOKUP($C362,'DATA DE TARIFA'!$A$4:$C$68,2,FALSE)/1.18))</f>
        <v>10.16949153</v>
      </c>
      <c r="F362" s="19">
        <f>IF($C362="","",IF($D362="",0,VLOOKUP($C362,'DATA DE TARIFA'!$A$4:$C$68,3,FALSE)))</f>
        <v>5.5</v>
      </c>
      <c r="G362" s="66">
        <v>0.0</v>
      </c>
      <c r="H362" s="19">
        <f t="shared" si="1"/>
        <v>10.16949153</v>
      </c>
      <c r="I362" s="19">
        <f t="shared" si="2"/>
        <v>5.5</v>
      </c>
      <c r="J362" s="67"/>
      <c r="K362" s="44" t="str">
        <f>IF($B362="","",IFERROR(VLOOKUP($B362,Tiendas!$A$4:$B$176,2,FALSE),""))</f>
        <v>JORDAN</v>
      </c>
      <c r="L362" s="68" t="s">
        <v>296</v>
      </c>
      <c r="M362" s="44" t="str">
        <f>IF($B362="","",IFERROR(VLOOKUP($B362,Tiendas!$A$4:$I$176,9,FALSE),""))</f>
        <v>Si</v>
      </c>
      <c r="N362" s="71">
        <f t="shared" si="3"/>
        <v>0</v>
      </c>
      <c r="O362" s="71">
        <f t="shared" si="4"/>
        <v>0</v>
      </c>
    </row>
    <row r="363" ht="15.75" customHeight="1">
      <c r="A363" s="17">
        <v>46023.0</v>
      </c>
      <c r="B363" s="44" t="s">
        <v>239</v>
      </c>
      <c r="C363" s="44" t="s">
        <v>67</v>
      </c>
      <c r="D363" s="45" t="s">
        <v>295</v>
      </c>
      <c r="E363" s="19">
        <f>IF($D363&lt;&gt;"Entregado",0,IF($C363="","",VLOOKUP($C363,'DATA DE TARIFA'!$A$4:$C$68,2,FALSE)/1.18))</f>
        <v>10.16949153</v>
      </c>
      <c r="F363" s="19">
        <f>IF($C363="","",IF($D363="",0,VLOOKUP($C363,'DATA DE TARIFA'!$A$4:$C$68,3,FALSE)))</f>
        <v>5.5</v>
      </c>
      <c r="G363" s="66">
        <v>0.0</v>
      </c>
      <c r="H363" s="19">
        <f t="shared" si="1"/>
        <v>10.16949153</v>
      </c>
      <c r="I363" s="19">
        <f t="shared" si="2"/>
        <v>5.5</v>
      </c>
      <c r="J363" s="67"/>
      <c r="K363" s="44" t="str">
        <f>IF($B363="","",IFERROR(VLOOKUP($B363,Tiendas!$A$4:$B$176,2,FALSE),""))</f>
        <v>JORDAN</v>
      </c>
      <c r="L363" s="68" t="s">
        <v>296</v>
      </c>
      <c r="M363" s="44" t="str">
        <f>IF($B363="","",IFERROR(VLOOKUP($B363,Tiendas!$A$4:$I$176,9,FALSE),""))</f>
        <v>Si</v>
      </c>
      <c r="N363" s="71">
        <f t="shared" si="3"/>
        <v>0</v>
      </c>
      <c r="O363" s="71">
        <f t="shared" si="4"/>
        <v>0</v>
      </c>
    </row>
    <row r="364" ht="15.75" customHeight="1">
      <c r="A364" s="17">
        <v>46023.0</v>
      </c>
      <c r="B364" s="44" t="s">
        <v>239</v>
      </c>
      <c r="C364" s="44" t="s">
        <v>21</v>
      </c>
      <c r="D364" s="45" t="s">
        <v>295</v>
      </c>
      <c r="E364" s="19">
        <f>IF($D364&lt;&gt;"Entregado",0,IF($C364="","",VLOOKUP($C364,'DATA DE TARIFA'!$A$4:$C$68,2,FALSE)/1.18))</f>
        <v>10.16949153</v>
      </c>
      <c r="F364" s="19">
        <f>IF($C364="","",IF($D364="",0,VLOOKUP($C364,'DATA DE TARIFA'!$A$4:$C$68,3,FALSE)))</f>
        <v>4.5</v>
      </c>
      <c r="G364" s="66">
        <v>0.0</v>
      </c>
      <c r="H364" s="19">
        <f t="shared" si="1"/>
        <v>10.16949153</v>
      </c>
      <c r="I364" s="19">
        <f t="shared" si="2"/>
        <v>4.5</v>
      </c>
      <c r="J364" s="67"/>
      <c r="K364" s="44" t="str">
        <f>IF($B364="","",IFERROR(VLOOKUP($B364,Tiendas!$A$4:$B$176,2,FALSE),""))</f>
        <v>JORDAN</v>
      </c>
      <c r="L364" s="68" t="s">
        <v>296</v>
      </c>
      <c r="M364" s="44" t="str">
        <f>IF($B364="","",IFERROR(VLOOKUP($B364,Tiendas!$A$4:$I$176,9,FALSE),""))</f>
        <v>Si</v>
      </c>
      <c r="N364" s="71">
        <f t="shared" si="3"/>
        <v>0</v>
      </c>
      <c r="O364" s="71">
        <f t="shared" si="4"/>
        <v>0</v>
      </c>
    </row>
    <row r="365" ht="15.75" customHeight="1">
      <c r="A365" s="17">
        <v>46023.0</v>
      </c>
      <c r="B365" s="44" t="s">
        <v>239</v>
      </c>
      <c r="C365" s="44" t="s">
        <v>18</v>
      </c>
      <c r="D365" s="45" t="s">
        <v>295</v>
      </c>
      <c r="E365" s="19">
        <f>IF($D365&lt;&gt;"Entregado",0,IF($C365="","",VLOOKUP($C365,'DATA DE TARIFA'!$A$4:$C$68,2,FALSE)/1.18))</f>
        <v>10.16949153</v>
      </c>
      <c r="F365" s="19">
        <f>IF($C365="","",IF($D365="",0,VLOOKUP($C365,'DATA DE TARIFA'!$A$4:$C$68,3,FALSE)))</f>
        <v>4.5</v>
      </c>
      <c r="G365" s="66">
        <v>0.0</v>
      </c>
      <c r="H365" s="19">
        <f t="shared" si="1"/>
        <v>10.16949153</v>
      </c>
      <c r="I365" s="19">
        <f t="shared" si="2"/>
        <v>4.5</v>
      </c>
      <c r="J365" s="67"/>
      <c r="K365" s="44" t="str">
        <f>IF($B365="","",IFERROR(VLOOKUP($B365,Tiendas!$A$4:$B$176,2,FALSE),""))</f>
        <v>JORDAN</v>
      </c>
      <c r="L365" s="68" t="s">
        <v>296</v>
      </c>
      <c r="M365" s="44" t="str">
        <f>IF($B365="","",IFERROR(VLOOKUP($B365,Tiendas!$A$4:$I$176,9,FALSE),""))</f>
        <v>Si</v>
      </c>
      <c r="N365" s="71">
        <f t="shared" si="3"/>
        <v>0</v>
      </c>
      <c r="O365" s="71">
        <f t="shared" si="4"/>
        <v>0</v>
      </c>
    </row>
    <row r="366" ht="15.75" customHeight="1">
      <c r="A366" s="17">
        <v>46023.0</v>
      </c>
      <c r="B366" s="44" t="s">
        <v>239</v>
      </c>
      <c r="C366" s="44" t="s">
        <v>49</v>
      </c>
      <c r="D366" s="45" t="s">
        <v>295</v>
      </c>
      <c r="E366" s="19">
        <f>IF($D366&lt;&gt;"Entregado",0,IF($C366="","",VLOOKUP($C366,'DATA DE TARIFA'!$A$4:$C$68,2,FALSE)/1.18))</f>
        <v>10.16949153</v>
      </c>
      <c r="F366" s="19">
        <f>IF($C366="","",IF($D366="",0,VLOOKUP($C366,'DATA DE TARIFA'!$A$4:$C$68,3,FALSE)))</f>
        <v>5.5</v>
      </c>
      <c r="G366" s="66">
        <v>0.0</v>
      </c>
      <c r="H366" s="19">
        <f t="shared" si="1"/>
        <v>10.16949153</v>
      </c>
      <c r="I366" s="19">
        <f t="shared" si="2"/>
        <v>5.5</v>
      </c>
      <c r="J366" s="67"/>
      <c r="K366" s="44" t="str">
        <f>IF($B366="","",IFERROR(VLOOKUP($B366,Tiendas!$A$4:$B$176,2,FALSE),""))</f>
        <v>JORDAN</v>
      </c>
      <c r="L366" s="68" t="s">
        <v>296</v>
      </c>
      <c r="M366" s="44" t="str">
        <f>IF($B366="","",IFERROR(VLOOKUP($B366,Tiendas!$A$4:$I$176,9,FALSE),""))</f>
        <v>Si</v>
      </c>
      <c r="N366" s="71">
        <f t="shared" si="3"/>
        <v>0</v>
      </c>
      <c r="O366" s="71">
        <f t="shared" si="4"/>
        <v>0</v>
      </c>
    </row>
    <row r="367" ht="15.75" customHeight="1">
      <c r="A367" s="17">
        <v>46023.0</v>
      </c>
      <c r="B367" s="44" t="s">
        <v>239</v>
      </c>
      <c r="C367" s="44" t="s">
        <v>21</v>
      </c>
      <c r="D367" s="45" t="s">
        <v>295</v>
      </c>
      <c r="E367" s="19">
        <f>IF($D367&lt;&gt;"Entregado",0,IF($C367="","",VLOOKUP($C367,'DATA DE TARIFA'!$A$4:$C$68,2,FALSE)/1.18))</f>
        <v>10.16949153</v>
      </c>
      <c r="F367" s="19">
        <f>IF($C367="","",IF($D367="",0,VLOOKUP($C367,'DATA DE TARIFA'!$A$4:$C$68,3,FALSE)))</f>
        <v>4.5</v>
      </c>
      <c r="G367" s="66">
        <v>0.0</v>
      </c>
      <c r="H367" s="19">
        <f t="shared" si="1"/>
        <v>10.16949153</v>
      </c>
      <c r="I367" s="19">
        <f t="shared" si="2"/>
        <v>4.5</v>
      </c>
      <c r="J367" s="67"/>
      <c r="K367" s="44" t="str">
        <f>IF($B367="","",IFERROR(VLOOKUP($B367,Tiendas!$A$4:$B$176,2,FALSE),""))</f>
        <v>JORDAN</v>
      </c>
      <c r="L367" s="68" t="s">
        <v>296</v>
      </c>
      <c r="M367" s="44" t="str">
        <f>IF($B367="","",IFERROR(VLOOKUP($B367,Tiendas!$A$4:$I$176,9,FALSE),""))</f>
        <v>Si</v>
      </c>
      <c r="N367" s="71">
        <f t="shared" si="3"/>
        <v>0</v>
      </c>
      <c r="O367" s="71">
        <f t="shared" si="4"/>
        <v>0</v>
      </c>
    </row>
    <row r="368" ht="15.75" customHeight="1">
      <c r="A368" s="17">
        <v>46023.0</v>
      </c>
      <c r="B368" s="44" t="s">
        <v>239</v>
      </c>
      <c r="C368" s="44" t="s">
        <v>15</v>
      </c>
      <c r="D368" s="45" t="s">
        <v>295</v>
      </c>
      <c r="E368" s="19">
        <f>IF($D368&lt;&gt;"Entregado",0,IF($C368="","",VLOOKUP($C368,'DATA DE TARIFA'!$A$4:$C$68,2,FALSE)/1.18))</f>
        <v>8.474576271</v>
      </c>
      <c r="F368" s="19">
        <f>IF($C368="","",IF($D368="",0,VLOOKUP($C368,'DATA DE TARIFA'!$A$4:$C$68,3,FALSE)))</f>
        <v>4.5</v>
      </c>
      <c r="G368" s="66">
        <v>0.0</v>
      </c>
      <c r="H368" s="19">
        <f t="shared" si="1"/>
        <v>8.474576271</v>
      </c>
      <c r="I368" s="19">
        <f t="shared" si="2"/>
        <v>4.5</v>
      </c>
      <c r="J368" s="67"/>
      <c r="K368" s="44" t="str">
        <f>IF($B368="","",IFERROR(VLOOKUP($B368,Tiendas!$A$4:$B$176,2,FALSE),""))</f>
        <v>JORDAN</v>
      </c>
      <c r="L368" s="68" t="s">
        <v>296</v>
      </c>
      <c r="M368" s="44" t="str">
        <f>IF($B368="","",IFERROR(VLOOKUP($B368,Tiendas!$A$4:$I$176,9,FALSE),""))</f>
        <v>Si</v>
      </c>
      <c r="N368" s="71">
        <f t="shared" si="3"/>
        <v>0</v>
      </c>
      <c r="O368" s="71">
        <f t="shared" si="4"/>
        <v>0</v>
      </c>
    </row>
    <row r="369" ht="15.75" customHeight="1">
      <c r="A369" s="17">
        <v>46023.0</v>
      </c>
      <c r="B369" s="44" t="s">
        <v>239</v>
      </c>
      <c r="C369" s="44" t="s">
        <v>46</v>
      </c>
      <c r="D369" s="45" t="s">
        <v>295</v>
      </c>
      <c r="E369" s="19">
        <f>IF($D369&lt;&gt;"Entregado",0,IF($C369="","",VLOOKUP($C369,'DATA DE TARIFA'!$A$4:$C$68,2,FALSE)/1.18))</f>
        <v>10.16949153</v>
      </c>
      <c r="F369" s="19">
        <f>IF($C369="","",IF($D369="",0,VLOOKUP($C369,'DATA DE TARIFA'!$A$4:$C$68,3,FALSE)))</f>
        <v>4.5</v>
      </c>
      <c r="G369" s="66">
        <v>0.0</v>
      </c>
      <c r="H369" s="19">
        <f t="shared" si="1"/>
        <v>10.16949153</v>
      </c>
      <c r="I369" s="19">
        <f t="shared" si="2"/>
        <v>4.5</v>
      </c>
      <c r="J369" s="67"/>
      <c r="K369" s="44" t="str">
        <f>IF($B369="","",IFERROR(VLOOKUP($B369,Tiendas!$A$4:$B$176,2,FALSE),""))</f>
        <v>JORDAN</v>
      </c>
      <c r="L369" s="68" t="s">
        <v>296</v>
      </c>
      <c r="M369" s="44" t="str">
        <f>IF($B369="","",IFERROR(VLOOKUP($B369,Tiendas!$A$4:$I$176,9,FALSE),""))</f>
        <v>Si</v>
      </c>
      <c r="N369" s="71">
        <f t="shared" si="3"/>
        <v>0</v>
      </c>
      <c r="O369" s="71">
        <f t="shared" si="4"/>
        <v>0</v>
      </c>
    </row>
    <row r="370" ht="15.75" customHeight="1">
      <c r="A370" s="17">
        <v>46023.0</v>
      </c>
      <c r="B370" s="44" t="s">
        <v>239</v>
      </c>
      <c r="C370" s="44" t="s">
        <v>21</v>
      </c>
      <c r="D370" s="45" t="s">
        <v>295</v>
      </c>
      <c r="E370" s="19">
        <f>IF($D370&lt;&gt;"Entregado",0,IF($C370="","",VLOOKUP($C370,'DATA DE TARIFA'!$A$4:$C$68,2,FALSE)/1.18))</f>
        <v>10.16949153</v>
      </c>
      <c r="F370" s="19">
        <f>IF($C370="","",IF($D370="",0,VLOOKUP($C370,'DATA DE TARIFA'!$A$4:$C$68,3,FALSE)))</f>
        <v>4.5</v>
      </c>
      <c r="G370" s="66">
        <v>0.0</v>
      </c>
      <c r="H370" s="19">
        <f t="shared" si="1"/>
        <v>10.16949153</v>
      </c>
      <c r="I370" s="19">
        <f t="shared" si="2"/>
        <v>4.5</v>
      </c>
      <c r="J370" s="67"/>
      <c r="K370" s="44" t="str">
        <f>IF($B370="","",IFERROR(VLOOKUP($B370,Tiendas!$A$4:$B$176,2,FALSE),""))</f>
        <v>JORDAN</v>
      </c>
      <c r="L370" s="68" t="s">
        <v>296</v>
      </c>
      <c r="M370" s="44" t="str">
        <f>IF($B370="","",IFERROR(VLOOKUP($B370,Tiendas!$A$4:$I$176,9,FALSE),""))</f>
        <v>Si</v>
      </c>
      <c r="N370" s="71">
        <f t="shared" si="3"/>
        <v>0</v>
      </c>
      <c r="O370" s="71">
        <f t="shared" si="4"/>
        <v>0</v>
      </c>
    </row>
    <row r="371" ht="15.75" customHeight="1">
      <c r="A371" s="17">
        <v>46023.0</v>
      </c>
      <c r="B371" s="44" t="s">
        <v>239</v>
      </c>
      <c r="C371" s="44" t="s">
        <v>51</v>
      </c>
      <c r="D371" s="45" t="s">
        <v>295</v>
      </c>
      <c r="E371" s="19">
        <f>IF($D371&lt;&gt;"Entregado",0,IF($C371="","",VLOOKUP($C371,'DATA DE TARIFA'!$A$4:$C$68,2,FALSE)/1.18))</f>
        <v>10.16949153</v>
      </c>
      <c r="F371" s="19">
        <f>IF($C371="","",IF($D371="",0,VLOOKUP($C371,'DATA DE TARIFA'!$A$4:$C$68,3,FALSE)))</f>
        <v>5.5</v>
      </c>
      <c r="G371" s="66">
        <v>0.0</v>
      </c>
      <c r="H371" s="19">
        <f t="shared" si="1"/>
        <v>10.16949153</v>
      </c>
      <c r="I371" s="19">
        <f t="shared" si="2"/>
        <v>5.5</v>
      </c>
      <c r="J371" s="67"/>
      <c r="K371" s="44" t="str">
        <f>IF($B371="","",IFERROR(VLOOKUP($B371,Tiendas!$A$4:$B$176,2,FALSE),""))</f>
        <v>JORDAN</v>
      </c>
      <c r="L371" s="68" t="s">
        <v>296</v>
      </c>
      <c r="M371" s="44" t="str">
        <f>IF($B371="","",IFERROR(VLOOKUP($B371,Tiendas!$A$4:$I$176,9,FALSE),""))</f>
        <v>Si</v>
      </c>
      <c r="N371" s="71">
        <f t="shared" si="3"/>
        <v>0</v>
      </c>
      <c r="O371" s="71">
        <f t="shared" si="4"/>
        <v>0</v>
      </c>
    </row>
    <row r="372" ht="15.75" customHeight="1">
      <c r="A372" s="17">
        <v>46023.0</v>
      </c>
      <c r="B372" s="44" t="s">
        <v>239</v>
      </c>
      <c r="C372" s="44" t="s">
        <v>51</v>
      </c>
      <c r="D372" s="45" t="s">
        <v>295</v>
      </c>
      <c r="E372" s="19">
        <f>IF($D372&lt;&gt;"Entregado",0,IF($C372="","",VLOOKUP($C372,'DATA DE TARIFA'!$A$4:$C$68,2,FALSE)/1.18))</f>
        <v>10.16949153</v>
      </c>
      <c r="F372" s="19">
        <f>IF($C372="","",IF($D372="",0,VLOOKUP($C372,'DATA DE TARIFA'!$A$4:$C$68,3,FALSE)))</f>
        <v>5.5</v>
      </c>
      <c r="G372" s="66">
        <v>0.0</v>
      </c>
      <c r="H372" s="19">
        <f t="shared" si="1"/>
        <v>10.16949153</v>
      </c>
      <c r="I372" s="19">
        <f t="shared" si="2"/>
        <v>5.5</v>
      </c>
      <c r="J372" s="67"/>
      <c r="K372" s="44" t="str">
        <f>IF($B372="","",IFERROR(VLOOKUP($B372,Tiendas!$A$4:$B$176,2,FALSE),""))</f>
        <v>JORDAN</v>
      </c>
      <c r="L372" s="68" t="s">
        <v>296</v>
      </c>
      <c r="M372" s="44" t="str">
        <f>IF($B372="","",IFERROR(VLOOKUP($B372,Tiendas!$A$4:$I$176,9,FALSE),""))</f>
        <v>Si</v>
      </c>
      <c r="N372" s="71">
        <f t="shared" si="3"/>
        <v>0</v>
      </c>
      <c r="O372" s="71">
        <f t="shared" si="4"/>
        <v>0</v>
      </c>
    </row>
    <row r="373" ht="15.75" customHeight="1">
      <c r="A373" s="17">
        <v>46023.0</v>
      </c>
      <c r="B373" s="44" t="s">
        <v>239</v>
      </c>
      <c r="C373" s="44" t="s">
        <v>21</v>
      </c>
      <c r="D373" s="45" t="s">
        <v>295</v>
      </c>
      <c r="E373" s="19">
        <f>IF($D373&lt;&gt;"Entregado",0,IF($C373="","",VLOOKUP($C373,'DATA DE TARIFA'!$A$4:$C$68,2,FALSE)/1.18))</f>
        <v>10.16949153</v>
      </c>
      <c r="F373" s="19">
        <f>IF($C373="","",IF($D373="",0,VLOOKUP($C373,'DATA DE TARIFA'!$A$4:$C$68,3,FALSE)))</f>
        <v>4.5</v>
      </c>
      <c r="G373" s="66">
        <v>0.0</v>
      </c>
      <c r="H373" s="19">
        <f t="shared" si="1"/>
        <v>10.16949153</v>
      </c>
      <c r="I373" s="19">
        <f t="shared" si="2"/>
        <v>4.5</v>
      </c>
      <c r="J373" s="67"/>
      <c r="K373" s="44" t="str">
        <f>IF($B373="","",IFERROR(VLOOKUP($B373,Tiendas!$A$4:$B$176,2,FALSE),""))</f>
        <v>JORDAN</v>
      </c>
      <c r="L373" s="68" t="s">
        <v>296</v>
      </c>
      <c r="M373" s="44" t="str">
        <f>IF($B373="","",IFERROR(VLOOKUP($B373,Tiendas!$A$4:$I$176,9,FALSE),""))</f>
        <v>Si</v>
      </c>
      <c r="N373" s="71">
        <f t="shared" si="3"/>
        <v>0</v>
      </c>
      <c r="O373" s="71">
        <f t="shared" si="4"/>
        <v>0</v>
      </c>
    </row>
    <row r="374" ht="15.75" customHeight="1">
      <c r="A374" s="17">
        <v>46023.0</v>
      </c>
      <c r="B374" s="44" t="s">
        <v>239</v>
      </c>
      <c r="C374" s="44" t="s">
        <v>67</v>
      </c>
      <c r="D374" s="45" t="s">
        <v>295</v>
      </c>
      <c r="E374" s="19">
        <f>IF($D374&lt;&gt;"Entregado",0,IF($C374="","",VLOOKUP($C374,'DATA DE TARIFA'!$A$4:$C$68,2,FALSE)/1.18))</f>
        <v>10.16949153</v>
      </c>
      <c r="F374" s="19">
        <f>IF($C374="","",IF($D374="",0,VLOOKUP($C374,'DATA DE TARIFA'!$A$4:$C$68,3,FALSE)))</f>
        <v>5.5</v>
      </c>
      <c r="G374" s="66">
        <v>0.0</v>
      </c>
      <c r="H374" s="19">
        <f t="shared" si="1"/>
        <v>10.16949153</v>
      </c>
      <c r="I374" s="19">
        <f t="shared" si="2"/>
        <v>5.5</v>
      </c>
      <c r="J374" s="67"/>
      <c r="K374" s="44" t="str">
        <f>IF($B374="","",IFERROR(VLOOKUP($B374,Tiendas!$A$4:$B$176,2,FALSE),""))</f>
        <v>JORDAN</v>
      </c>
      <c r="L374" s="68" t="s">
        <v>296</v>
      </c>
      <c r="M374" s="44" t="str">
        <f>IF($B374="","",IFERROR(VLOOKUP($B374,Tiendas!$A$4:$I$176,9,FALSE),""))</f>
        <v>Si</v>
      </c>
      <c r="N374" s="71">
        <f t="shared" si="3"/>
        <v>0</v>
      </c>
      <c r="O374" s="71">
        <f t="shared" si="4"/>
        <v>0</v>
      </c>
    </row>
    <row r="375" ht="15.75" customHeight="1">
      <c r="A375" s="17">
        <v>46023.0</v>
      </c>
      <c r="B375" s="44" t="s">
        <v>239</v>
      </c>
      <c r="C375" s="44" t="s">
        <v>69</v>
      </c>
      <c r="D375" s="45" t="s">
        <v>295</v>
      </c>
      <c r="E375" s="19">
        <f>IF($D375&lt;&gt;"Entregado",0,IF($C375="","",VLOOKUP($C375,'DATA DE TARIFA'!$A$4:$C$68,2,FALSE)/1.18))</f>
        <v>8.474576271</v>
      </c>
      <c r="F375" s="19">
        <f>IF($C375="","",IF($D375="",0,VLOOKUP($C375,'DATA DE TARIFA'!$A$4:$C$68,3,FALSE)))</f>
        <v>4</v>
      </c>
      <c r="G375" s="66">
        <v>0.0</v>
      </c>
      <c r="H375" s="19">
        <f t="shared" si="1"/>
        <v>8.474576271</v>
      </c>
      <c r="I375" s="19">
        <f t="shared" si="2"/>
        <v>4</v>
      </c>
      <c r="J375" s="67"/>
      <c r="K375" s="44" t="str">
        <f>IF($B375="","",IFERROR(VLOOKUP($B375,Tiendas!$A$4:$B$176,2,FALSE),""))</f>
        <v>JORDAN</v>
      </c>
      <c r="L375" s="68" t="s">
        <v>296</v>
      </c>
      <c r="M375" s="44" t="str">
        <f>IF($B375="","",IFERROR(VLOOKUP($B375,Tiendas!$A$4:$I$176,9,FALSE),""))</f>
        <v>Si</v>
      </c>
      <c r="N375" s="71">
        <f t="shared" si="3"/>
        <v>0</v>
      </c>
      <c r="O375" s="71">
        <f t="shared" si="4"/>
        <v>0</v>
      </c>
    </row>
    <row r="376" ht="15.75" customHeight="1">
      <c r="A376" s="17">
        <v>46023.0</v>
      </c>
      <c r="B376" s="44" t="s">
        <v>239</v>
      </c>
      <c r="C376" s="44" t="s">
        <v>74</v>
      </c>
      <c r="D376" s="45" t="s">
        <v>295</v>
      </c>
      <c r="E376" s="19">
        <f>IF($D376&lt;&gt;"Entregado",0,IF($C376="","",VLOOKUP($C376,'DATA DE TARIFA'!$A$4:$C$68,2,FALSE)/1.18))</f>
        <v>10.16949153</v>
      </c>
      <c r="F376" s="19">
        <f>IF($C376="","",IF($D376="",0,VLOOKUP($C376,'DATA DE TARIFA'!$A$4:$C$68,3,FALSE)))</f>
        <v>5.5</v>
      </c>
      <c r="G376" s="66">
        <v>0.0</v>
      </c>
      <c r="H376" s="19">
        <f t="shared" si="1"/>
        <v>10.16949153</v>
      </c>
      <c r="I376" s="19">
        <f t="shared" si="2"/>
        <v>5.5</v>
      </c>
      <c r="J376" s="67"/>
      <c r="K376" s="44" t="str">
        <f>IF($B376="","",IFERROR(VLOOKUP($B376,Tiendas!$A$4:$B$176,2,FALSE),""))</f>
        <v>JORDAN</v>
      </c>
      <c r="L376" s="68" t="s">
        <v>296</v>
      </c>
      <c r="M376" s="44" t="str">
        <f>IF($B376="","",IFERROR(VLOOKUP($B376,Tiendas!$A$4:$I$176,9,FALSE),""))</f>
        <v>Si</v>
      </c>
      <c r="N376" s="71">
        <f t="shared" si="3"/>
        <v>0</v>
      </c>
      <c r="O376" s="71">
        <f t="shared" si="4"/>
        <v>0</v>
      </c>
    </row>
    <row r="377" ht="15.75" customHeight="1">
      <c r="A377" s="17">
        <v>46023.0</v>
      </c>
      <c r="B377" s="44" t="s">
        <v>239</v>
      </c>
      <c r="C377" s="44" t="s">
        <v>26</v>
      </c>
      <c r="D377" s="45" t="s">
        <v>295</v>
      </c>
      <c r="E377" s="19">
        <f>IF($D377&lt;&gt;"Entregado",0,IF($C377="","",VLOOKUP($C377,'DATA DE TARIFA'!$A$4:$C$68,2,FALSE)/1.18))</f>
        <v>10.16949153</v>
      </c>
      <c r="F377" s="19">
        <f>IF($C377="","",IF($D377="",0,VLOOKUP($C377,'DATA DE TARIFA'!$A$4:$C$68,3,FALSE)))</f>
        <v>5</v>
      </c>
      <c r="G377" s="66">
        <v>0.0</v>
      </c>
      <c r="H377" s="19">
        <f t="shared" si="1"/>
        <v>10.16949153</v>
      </c>
      <c r="I377" s="19">
        <f t="shared" si="2"/>
        <v>5</v>
      </c>
      <c r="J377" s="67"/>
      <c r="K377" s="44" t="str">
        <f>IF($B377="","",IFERROR(VLOOKUP($B377,Tiendas!$A$4:$B$176,2,FALSE),""))</f>
        <v>JORDAN</v>
      </c>
      <c r="L377" s="68" t="s">
        <v>296</v>
      </c>
      <c r="M377" s="44" t="str">
        <f>IF($B377="","",IFERROR(VLOOKUP($B377,Tiendas!$A$4:$I$176,9,FALSE),""))</f>
        <v>Si</v>
      </c>
      <c r="N377" s="71">
        <f t="shared" si="3"/>
        <v>0</v>
      </c>
      <c r="O377" s="71">
        <f t="shared" si="4"/>
        <v>0</v>
      </c>
    </row>
    <row r="378" ht="15.75" customHeight="1">
      <c r="A378" s="17">
        <v>46023.0</v>
      </c>
      <c r="B378" s="44" t="s">
        <v>239</v>
      </c>
      <c r="C378" s="44" t="s">
        <v>18</v>
      </c>
      <c r="D378" s="45" t="s">
        <v>295</v>
      </c>
      <c r="E378" s="19">
        <f>IF($D378&lt;&gt;"Entregado",0,IF($C378="","",VLOOKUP($C378,'DATA DE TARIFA'!$A$4:$C$68,2,FALSE)/1.18))</f>
        <v>10.16949153</v>
      </c>
      <c r="F378" s="19">
        <f>IF($C378="","",IF($D378="",0,VLOOKUP($C378,'DATA DE TARIFA'!$A$4:$C$68,3,FALSE)))</f>
        <v>4.5</v>
      </c>
      <c r="G378" s="66">
        <v>0.0</v>
      </c>
      <c r="H378" s="19">
        <f t="shared" si="1"/>
        <v>10.16949153</v>
      </c>
      <c r="I378" s="19">
        <f t="shared" si="2"/>
        <v>4.5</v>
      </c>
      <c r="J378" s="67"/>
      <c r="K378" s="44" t="str">
        <f>IF($B378="","",IFERROR(VLOOKUP($B378,Tiendas!$A$4:$B$176,2,FALSE),""))</f>
        <v>JORDAN</v>
      </c>
      <c r="L378" s="68" t="s">
        <v>296</v>
      </c>
      <c r="M378" s="44" t="str">
        <f>IF($B378="","",IFERROR(VLOOKUP($B378,Tiendas!$A$4:$I$176,9,FALSE),""))</f>
        <v>Si</v>
      </c>
      <c r="N378" s="71">
        <f t="shared" si="3"/>
        <v>0</v>
      </c>
      <c r="O378" s="71">
        <f t="shared" si="4"/>
        <v>0</v>
      </c>
    </row>
    <row r="379" ht="15.75" customHeight="1">
      <c r="A379" s="17">
        <v>46023.0</v>
      </c>
      <c r="B379" s="44" t="s">
        <v>239</v>
      </c>
      <c r="C379" s="44" t="s">
        <v>38</v>
      </c>
      <c r="D379" s="45" t="s">
        <v>295</v>
      </c>
      <c r="E379" s="19">
        <f>IF($D379&lt;&gt;"Entregado",0,IF($C379="","",VLOOKUP($C379,'DATA DE TARIFA'!$A$4:$C$68,2,FALSE)/1.18))</f>
        <v>8.474576271</v>
      </c>
      <c r="F379" s="19">
        <f>IF($C379="","",IF($D379="",0,VLOOKUP($C379,'DATA DE TARIFA'!$A$4:$C$68,3,FALSE)))</f>
        <v>4</v>
      </c>
      <c r="G379" s="66">
        <v>0.0</v>
      </c>
      <c r="H379" s="19">
        <f t="shared" si="1"/>
        <v>8.474576271</v>
      </c>
      <c r="I379" s="19">
        <f t="shared" si="2"/>
        <v>4</v>
      </c>
      <c r="J379" s="67"/>
      <c r="K379" s="44" t="str">
        <f>IF($B379="","",IFERROR(VLOOKUP($B379,Tiendas!$A$4:$B$176,2,FALSE),""))</f>
        <v>JORDAN</v>
      </c>
      <c r="L379" s="68" t="s">
        <v>296</v>
      </c>
      <c r="M379" s="44" t="str">
        <f>IF($B379="","",IFERROR(VLOOKUP($B379,Tiendas!$A$4:$I$176,9,FALSE),""))</f>
        <v>Si</v>
      </c>
      <c r="N379" s="71">
        <f t="shared" si="3"/>
        <v>0</v>
      </c>
      <c r="O379" s="71">
        <f t="shared" si="4"/>
        <v>0</v>
      </c>
    </row>
    <row r="380" ht="15.75" customHeight="1">
      <c r="A380" s="17">
        <v>46023.0</v>
      </c>
      <c r="B380" s="44" t="s">
        <v>239</v>
      </c>
      <c r="C380" s="44" t="s">
        <v>49</v>
      </c>
      <c r="D380" s="45" t="s">
        <v>295</v>
      </c>
      <c r="E380" s="19">
        <f>IF($D380&lt;&gt;"Entregado",0,IF($C380="","",VLOOKUP($C380,'DATA DE TARIFA'!$A$4:$C$68,2,FALSE)/1.18))</f>
        <v>10.16949153</v>
      </c>
      <c r="F380" s="19">
        <f>IF($C380="","",IF($D380="",0,VLOOKUP($C380,'DATA DE TARIFA'!$A$4:$C$68,3,FALSE)))</f>
        <v>5.5</v>
      </c>
      <c r="G380" s="66">
        <v>0.0</v>
      </c>
      <c r="H380" s="19">
        <f t="shared" si="1"/>
        <v>10.16949153</v>
      </c>
      <c r="I380" s="19">
        <f t="shared" si="2"/>
        <v>5.5</v>
      </c>
      <c r="J380" s="67"/>
      <c r="K380" s="44" t="str">
        <f>IF($B380="","",IFERROR(VLOOKUP($B380,Tiendas!$A$4:$B$176,2,FALSE),""))</f>
        <v>JORDAN</v>
      </c>
      <c r="L380" s="68" t="s">
        <v>296</v>
      </c>
      <c r="M380" s="44" t="str">
        <f>IF($B380="","",IFERROR(VLOOKUP($B380,Tiendas!$A$4:$I$176,9,FALSE),""))</f>
        <v>Si</v>
      </c>
      <c r="N380" s="71">
        <f t="shared" si="3"/>
        <v>0</v>
      </c>
      <c r="O380" s="71">
        <f t="shared" si="4"/>
        <v>0</v>
      </c>
    </row>
    <row r="381" ht="15.75" customHeight="1">
      <c r="A381" s="17">
        <v>46023.0</v>
      </c>
      <c r="B381" s="44" t="s">
        <v>239</v>
      </c>
      <c r="C381" s="44" t="s">
        <v>18</v>
      </c>
      <c r="D381" s="45" t="s">
        <v>295</v>
      </c>
      <c r="E381" s="19">
        <f>IF($D381&lt;&gt;"Entregado",0,IF($C381="","",VLOOKUP($C381,'DATA DE TARIFA'!$A$4:$C$68,2,FALSE)/1.18))</f>
        <v>10.16949153</v>
      </c>
      <c r="F381" s="19">
        <f>IF($C381="","",IF($D381="",0,VLOOKUP($C381,'DATA DE TARIFA'!$A$4:$C$68,3,FALSE)))</f>
        <v>4.5</v>
      </c>
      <c r="G381" s="66">
        <v>0.0</v>
      </c>
      <c r="H381" s="19">
        <f t="shared" si="1"/>
        <v>10.16949153</v>
      </c>
      <c r="I381" s="19">
        <f t="shared" si="2"/>
        <v>4.5</v>
      </c>
      <c r="J381" s="67"/>
      <c r="K381" s="44" t="str">
        <f>IF($B381="","",IFERROR(VLOOKUP($B381,Tiendas!$A$4:$B$176,2,FALSE),""))</f>
        <v>JORDAN</v>
      </c>
      <c r="L381" s="68" t="s">
        <v>296</v>
      </c>
      <c r="M381" s="44" t="str">
        <f>IF($B381="","",IFERROR(VLOOKUP($B381,Tiendas!$A$4:$I$176,9,FALSE),""))</f>
        <v>Si</v>
      </c>
      <c r="N381" s="71">
        <f t="shared" si="3"/>
        <v>0</v>
      </c>
      <c r="O381" s="71">
        <f t="shared" si="4"/>
        <v>0</v>
      </c>
    </row>
    <row r="382" ht="15.75" customHeight="1">
      <c r="A382" s="17">
        <v>46023.0</v>
      </c>
      <c r="B382" s="44" t="s">
        <v>239</v>
      </c>
      <c r="C382" s="44" t="s">
        <v>26</v>
      </c>
      <c r="D382" s="45" t="s">
        <v>295</v>
      </c>
      <c r="E382" s="19">
        <f>IF($D382&lt;&gt;"Entregado",0,IF($C382="","",VLOOKUP($C382,'DATA DE TARIFA'!$A$4:$C$68,2,FALSE)/1.18))</f>
        <v>10.16949153</v>
      </c>
      <c r="F382" s="19">
        <f>IF($C382="","",IF($D382="",0,VLOOKUP($C382,'DATA DE TARIFA'!$A$4:$C$68,3,FALSE)))</f>
        <v>5</v>
      </c>
      <c r="G382" s="66">
        <v>0.0</v>
      </c>
      <c r="H382" s="19">
        <f t="shared" si="1"/>
        <v>10.16949153</v>
      </c>
      <c r="I382" s="19">
        <f t="shared" si="2"/>
        <v>5</v>
      </c>
      <c r="J382" s="67"/>
      <c r="K382" s="44" t="str">
        <f>IF($B382="","",IFERROR(VLOOKUP($B382,Tiendas!$A$4:$B$176,2,FALSE),""))</f>
        <v>JORDAN</v>
      </c>
      <c r="L382" s="68" t="s">
        <v>296</v>
      </c>
      <c r="M382" s="44" t="str">
        <f>IF($B382="","",IFERROR(VLOOKUP($B382,Tiendas!$A$4:$I$176,9,FALSE),""))</f>
        <v>Si</v>
      </c>
      <c r="N382" s="71">
        <f t="shared" si="3"/>
        <v>0</v>
      </c>
      <c r="O382" s="71">
        <f t="shared" si="4"/>
        <v>0</v>
      </c>
    </row>
    <row r="383" ht="15.75" customHeight="1">
      <c r="A383" s="17">
        <v>46023.0</v>
      </c>
      <c r="B383" s="44" t="s">
        <v>239</v>
      </c>
      <c r="C383" s="44" t="s">
        <v>18</v>
      </c>
      <c r="D383" s="45" t="s">
        <v>295</v>
      </c>
      <c r="E383" s="19">
        <f>IF($D383&lt;&gt;"Entregado",0,IF($C383="","",VLOOKUP($C383,'DATA DE TARIFA'!$A$4:$C$68,2,FALSE)/1.18))</f>
        <v>10.16949153</v>
      </c>
      <c r="F383" s="19">
        <f>IF($C383="","",IF($D383="",0,VLOOKUP($C383,'DATA DE TARIFA'!$A$4:$C$68,3,FALSE)))</f>
        <v>4.5</v>
      </c>
      <c r="G383" s="66">
        <v>0.0</v>
      </c>
      <c r="H383" s="19">
        <f t="shared" si="1"/>
        <v>10.16949153</v>
      </c>
      <c r="I383" s="19">
        <f t="shared" si="2"/>
        <v>4.5</v>
      </c>
      <c r="J383" s="67"/>
      <c r="K383" s="44" t="str">
        <f>IF($B383="","",IFERROR(VLOOKUP($B383,Tiendas!$A$4:$B$176,2,FALSE),""))</f>
        <v>JORDAN</v>
      </c>
      <c r="L383" s="68" t="s">
        <v>296</v>
      </c>
      <c r="M383" s="44" t="str">
        <f>IF($B383="","",IFERROR(VLOOKUP($B383,Tiendas!$A$4:$I$176,9,FALSE),""))</f>
        <v>Si</v>
      </c>
      <c r="N383" s="71">
        <f t="shared" si="3"/>
        <v>0</v>
      </c>
      <c r="O383" s="71">
        <f t="shared" si="4"/>
        <v>0</v>
      </c>
    </row>
    <row r="384" ht="15.75" customHeight="1">
      <c r="A384" s="17">
        <v>46023.0</v>
      </c>
      <c r="B384" s="44" t="s">
        <v>239</v>
      </c>
      <c r="C384" s="44" t="s">
        <v>65</v>
      </c>
      <c r="D384" s="45" t="s">
        <v>295</v>
      </c>
      <c r="E384" s="19">
        <f>IF($D384&lt;&gt;"Entregado",0,IF($C384="","",VLOOKUP($C384,'DATA DE TARIFA'!$A$4:$C$68,2,FALSE)/1.18))</f>
        <v>10.16949153</v>
      </c>
      <c r="F384" s="19">
        <f>IF($C384="","",IF($D384="",0,VLOOKUP($C384,'DATA DE TARIFA'!$A$4:$C$68,3,FALSE)))</f>
        <v>4.5</v>
      </c>
      <c r="G384" s="66">
        <v>0.0</v>
      </c>
      <c r="H384" s="19">
        <f t="shared" si="1"/>
        <v>10.16949153</v>
      </c>
      <c r="I384" s="19">
        <f t="shared" si="2"/>
        <v>4.5</v>
      </c>
      <c r="J384" s="67"/>
      <c r="K384" s="44" t="str">
        <f>IF($B384="","",IFERROR(VLOOKUP($B384,Tiendas!$A$4:$B$176,2,FALSE),""))</f>
        <v>JORDAN</v>
      </c>
      <c r="L384" s="68" t="s">
        <v>296</v>
      </c>
      <c r="M384" s="44" t="str">
        <f>IF($B384="","",IFERROR(VLOOKUP($B384,Tiendas!$A$4:$I$176,9,FALSE),""))</f>
        <v>Si</v>
      </c>
      <c r="N384" s="71">
        <f t="shared" si="3"/>
        <v>0</v>
      </c>
      <c r="O384" s="71">
        <f t="shared" si="4"/>
        <v>0</v>
      </c>
    </row>
    <row r="385" ht="15.75" customHeight="1">
      <c r="A385" s="17">
        <v>46023.0</v>
      </c>
      <c r="B385" s="44" t="s">
        <v>239</v>
      </c>
      <c r="C385" s="44" t="s">
        <v>36</v>
      </c>
      <c r="D385" s="45" t="s">
        <v>295</v>
      </c>
      <c r="E385" s="19">
        <f>IF($D385&lt;&gt;"Entregado",0,IF($C385="","",VLOOKUP($C385,'DATA DE TARIFA'!$A$4:$C$68,2,FALSE)/1.18))</f>
        <v>10.16949153</v>
      </c>
      <c r="F385" s="19">
        <f>IF($C385="","",IF($D385="",0,VLOOKUP($C385,'DATA DE TARIFA'!$A$4:$C$68,3,FALSE)))</f>
        <v>4.5</v>
      </c>
      <c r="G385" s="66">
        <v>0.0</v>
      </c>
      <c r="H385" s="19">
        <f t="shared" si="1"/>
        <v>10.16949153</v>
      </c>
      <c r="I385" s="19">
        <f t="shared" si="2"/>
        <v>4.5</v>
      </c>
      <c r="J385" s="67"/>
      <c r="K385" s="44" t="str">
        <f>IF($B385="","",IFERROR(VLOOKUP($B385,Tiendas!$A$4:$B$176,2,FALSE),""))</f>
        <v>JORDAN</v>
      </c>
      <c r="L385" s="68" t="s">
        <v>296</v>
      </c>
      <c r="M385" s="44" t="str">
        <f>IF($B385="","",IFERROR(VLOOKUP($B385,Tiendas!$A$4:$I$176,9,FALSE),""))</f>
        <v>Si</v>
      </c>
      <c r="N385" s="71">
        <f t="shared" si="3"/>
        <v>0</v>
      </c>
      <c r="O385" s="71">
        <f t="shared" si="4"/>
        <v>0</v>
      </c>
    </row>
    <row r="386" ht="15.75" customHeight="1">
      <c r="A386" s="17">
        <v>46023.0</v>
      </c>
      <c r="B386" s="44" t="s">
        <v>239</v>
      </c>
      <c r="C386" s="44" t="s">
        <v>30</v>
      </c>
      <c r="D386" s="45" t="s">
        <v>295</v>
      </c>
      <c r="E386" s="19">
        <f>IF($D386&lt;&gt;"Entregado",0,IF($C386="","",VLOOKUP($C386,'DATA DE TARIFA'!$A$4:$C$68,2,FALSE)/1.18))</f>
        <v>8.474576271</v>
      </c>
      <c r="F386" s="19">
        <f>IF($C386="","",IF($D386="",0,VLOOKUP($C386,'DATA DE TARIFA'!$A$4:$C$68,3,FALSE)))</f>
        <v>4.5</v>
      </c>
      <c r="G386" s="66">
        <v>0.0</v>
      </c>
      <c r="H386" s="19">
        <f t="shared" si="1"/>
        <v>8.474576271</v>
      </c>
      <c r="I386" s="19">
        <f t="shared" si="2"/>
        <v>4.5</v>
      </c>
      <c r="J386" s="67"/>
      <c r="K386" s="44" t="str">
        <f>IF($B386="","",IFERROR(VLOOKUP($B386,Tiendas!$A$4:$B$176,2,FALSE),""))</f>
        <v>JORDAN</v>
      </c>
      <c r="L386" s="68" t="s">
        <v>296</v>
      </c>
      <c r="M386" s="44" t="str">
        <f>IF($B386="","",IFERROR(VLOOKUP($B386,Tiendas!$A$4:$I$176,9,FALSE),""))</f>
        <v>Si</v>
      </c>
      <c r="N386" s="71">
        <f t="shared" si="3"/>
        <v>0</v>
      </c>
      <c r="O386" s="71">
        <f t="shared" si="4"/>
        <v>0</v>
      </c>
    </row>
    <row r="387" ht="15.75" customHeight="1">
      <c r="A387" s="17">
        <v>46023.0</v>
      </c>
      <c r="B387" s="44" t="s">
        <v>239</v>
      </c>
      <c r="C387" s="44" t="s">
        <v>65</v>
      </c>
      <c r="D387" s="45" t="s">
        <v>295</v>
      </c>
      <c r="E387" s="19">
        <f>IF($D387&lt;&gt;"Entregado",0,IF($C387="","",VLOOKUP($C387,'DATA DE TARIFA'!$A$4:$C$68,2,FALSE)/1.18))</f>
        <v>10.16949153</v>
      </c>
      <c r="F387" s="19">
        <f>IF($C387="","",IF($D387="",0,VLOOKUP($C387,'DATA DE TARIFA'!$A$4:$C$68,3,FALSE)))</f>
        <v>4.5</v>
      </c>
      <c r="G387" s="66">
        <v>0.0</v>
      </c>
      <c r="H387" s="19">
        <f t="shared" si="1"/>
        <v>10.16949153</v>
      </c>
      <c r="I387" s="19">
        <f t="shared" si="2"/>
        <v>4.5</v>
      </c>
      <c r="J387" s="67"/>
      <c r="K387" s="44" t="str">
        <f>IF($B387="","",IFERROR(VLOOKUP($B387,Tiendas!$A$4:$B$176,2,FALSE),""))</f>
        <v>JORDAN</v>
      </c>
      <c r="L387" s="68" t="s">
        <v>296</v>
      </c>
      <c r="M387" s="44" t="str">
        <f>IF($B387="","",IFERROR(VLOOKUP($B387,Tiendas!$A$4:$I$176,9,FALSE),""))</f>
        <v>Si</v>
      </c>
      <c r="N387" s="71">
        <f t="shared" si="3"/>
        <v>0</v>
      </c>
      <c r="O387" s="71">
        <f t="shared" si="4"/>
        <v>0</v>
      </c>
    </row>
    <row r="388" ht="15.75" customHeight="1">
      <c r="A388" s="17">
        <v>46023.0</v>
      </c>
      <c r="B388" s="44" t="s">
        <v>239</v>
      </c>
      <c r="C388" s="44" t="s">
        <v>36</v>
      </c>
      <c r="D388" s="45" t="s">
        <v>295</v>
      </c>
      <c r="E388" s="19">
        <f>IF($D388&lt;&gt;"Entregado",0,IF($C388="","",VLOOKUP($C388,'DATA DE TARIFA'!$A$4:$C$68,2,FALSE)/1.18))</f>
        <v>10.16949153</v>
      </c>
      <c r="F388" s="19">
        <f>IF($C388="","",IF($D388="",0,VLOOKUP($C388,'DATA DE TARIFA'!$A$4:$C$68,3,FALSE)))</f>
        <v>4.5</v>
      </c>
      <c r="G388" s="66">
        <v>0.0</v>
      </c>
      <c r="H388" s="19">
        <f t="shared" si="1"/>
        <v>10.16949153</v>
      </c>
      <c r="I388" s="19">
        <f t="shared" si="2"/>
        <v>4.5</v>
      </c>
      <c r="J388" s="67"/>
      <c r="K388" s="44" t="str">
        <f>IF($B388="","",IFERROR(VLOOKUP($B388,Tiendas!$A$4:$B$176,2,FALSE),""))</f>
        <v>JORDAN</v>
      </c>
      <c r="L388" s="68" t="s">
        <v>296</v>
      </c>
      <c r="M388" s="44" t="str">
        <f>IF($B388="","",IFERROR(VLOOKUP($B388,Tiendas!$A$4:$I$176,9,FALSE),""))</f>
        <v>Si</v>
      </c>
      <c r="N388" s="71">
        <f t="shared" si="3"/>
        <v>0</v>
      </c>
      <c r="O388" s="71">
        <f t="shared" si="4"/>
        <v>0</v>
      </c>
    </row>
    <row r="389" ht="15.75" customHeight="1">
      <c r="A389" s="17">
        <v>46023.0</v>
      </c>
      <c r="B389" s="44" t="s">
        <v>239</v>
      </c>
      <c r="C389" s="44" t="s">
        <v>46</v>
      </c>
      <c r="D389" s="45" t="s">
        <v>295</v>
      </c>
      <c r="E389" s="19">
        <f>IF($D389&lt;&gt;"Entregado",0,IF($C389="","",VLOOKUP($C389,'DATA DE TARIFA'!$A$4:$C$68,2,FALSE)/1.18))</f>
        <v>10.16949153</v>
      </c>
      <c r="F389" s="19">
        <f>IF($C389="","",IF($D389="",0,VLOOKUP($C389,'DATA DE TARIFA'!$A$4:$C$68,3,FALSE)))</f>
        <v>4.5</v>
      </c>
      <c r="G389" s="66">
        <v>0.0</v>
      </c>
      <c r="H389" s="19">
        <f t="shared" si="1"/>
        <v>10.16949153</v>
      </c>
      <c r="I389" s="19">
        <f t="shared" si="2"/>
        <v>4.5</v>
      </c>
      <c r="J389" s="67"/>
      <c r="K389" s="44" t="str">
        <f>IF($B389="","",IFERROR(VLOOKUP($B389,Tiendas!$A$4:$B$176,2,FALSE),""))</f>
        <v>JORDAN</v>
      </c>
      <c r="L389" s="68" t="s">
        <v>296</v>
      </c>
      <c r="M389" s="44" t="str">
        <f>IF($B389="","",IFERROR(VLOOKUP($B389,Tiendas!$A$4:$I$176,9,FALSE),""))</f>
        <v>Si</v>
      </c>
      <c r="N389" s="71">
        <f t="shared" si="3"/>
        <v>0</v>
      </c>
      <c r="O389" s="71">
        <f t="shared" si="4"/>
        <v>0</v>
      </c>
    </row>
    <row r="390" ht="15.75" customHeight="1">
      <c r="A390" s="17">
        <v>46023.0</v>
      </c>
      <c r="B390" s="44" t="s">
        <v>239</v>
      </c>
      <c r="C390" s="44" t="s">
        <v>47</v>
      </c>
      <c r="D390" s="45" t="s">
        <v>295</v>
      </c>
      <c r="E390" s="19">
        <f>IF($D390&lt;&gt;"Entregado",0,IF($C390="","",VLOOKUP($C390,'DATA DE TARIFA'!$A$4:$C$68,2,FALSE)/1.18))</f>
        <v>10.16949153</v>
      </c>
      <c r="F390" s="19">
        <f>IF($C390="","",IF($D390="",0,VLOOKUP($C390,'DATA DE TARIFA'!$A$4:$C$68,3,FALSE)))</f>
        <v>5.5</v>
      </c>
      <c r="G390" s="66">
        <v>0.0</v>
      </c>
      <c r="H390" s="19">
        <f t="shared" si="1"/>
        <v>10.16949153</v>
      </c>
      <c r="I390" s="19">
        <f t="shared" si="2"/>
        <v>5.5</v>
      </c>
      <c r="J390" s="67"/>
      <c r="K390" s="44" t="str">
        <f>IF($B390="","",IFERROR(VLOOKUP($B390,Tiendas!$A$4:$B$176,2,FALSE),""))</f>
        <v>JORDAN</v>
      </c>
      <c r="L390" s="68" t="s">
        <v>296</v>
      </c>
      <c r="M390" s="44" t="str">
        <f>IF($B390="","",IFERROR(VLOOKUP($B390,Tiendas!$A$4:$I$176,9,FALSE),""))</f>
        <v>Si</v>
      </c>
      <c r="N390" s="71">
        <f t="shared" si="3"/>
        <v>0</v>
      </c>
      <c r="O390" s="71">
        <f t="shared" si="4"/>
        <v>0</v>
      </c>
    </row>
    <row r="391" ht="15.75" customHeight="1">
      <c r="A391" s="17">
        <v>46023.0</v>
      </c>
      <c r="B391" s="44" t="s">
        <v>239</v>
      </c>
      <c r="C391" s="44" t="s">
        <v>34</v>
      </c>
      <c r="D391" s="45" t="s">
        <v>295</v>
      </c>
      <c r="E391" s="19">
        <f>IF($D391&lt;&gt;"Entregado",0,IF($C391="","",VLOOKUP($C391,'DATA DE TARIFA'!$A$4:$C$68,2,FALSE)/1.18))</f>
        <v>10.16949153</v>
      </c>
      <c r="F391" s="19">
        <f>IF($C391="","",IF($D391="",0,VLOOKUP($C391,'DATA DE TARIFA'!$A$4:$C$68,3,FALSE)))</f>
        <v>4.5</v>
      </c>
      <c r="G391" s="66">
        <v>0.0</v>
      </c>
      <c r="H391" s="19">
        <f t="shared" si="1"/>
        <v>10.16949153</v>
      </c>
      <c r="I391" s="19">
        <f t="shared" si="2"/>
        <v>4.5</v>
      </c>
      <c r="J391" s="67"/>
      <c r="K391" s="44" t="str">
        <f>IF($B391="","",IFERROR(VLOOKUP($B391,Tiendas!$A$4:$B$176,2,FALSE),""))</f>
        <v>JORDAN</v>
      </c>
      <c r="L391" s="68" t="s">
        <v>296</v>
      </c>
      <c r="M391" s="44" t="str">
        <f>IF($B391="","",IFERROR(VLOOKUP($B391,Tiendas!$A$4:$I$176,9,FALSE),""))</f>
        <v>Si</v>
      </c>
      <c r="N391" s="71">
        <f t="shared" si="3"/>
        <v>0</v>
      </c>
      <c r="O391" s="71">
        <f t="shared" si="4"/>
        <v>0</v>
      </c>
    </row>
    <row r="392" ht="15.75" customHeight="1">
      <c r="A392" s="17">
        <v>46023.0</v>
      </c>
      <c r="B392" s="44" t="s">
        <v>239</v>
      </c>
      <c r="C392" s="44" t="s">
        <v>92</v>
      </c>
      <c r="D392" s="45" t="s">
        <v>295</v>
      </c>
      <c r="E392" s="19">
        <f>IF($D392&lt;&gt;"Entregado",0,IF($C392="","",VLOOKUP($C392,'DATA DE TARIFA'!$A$4:$C$68,2,FALSE)/1.18))</f>
        <v>17.79661017</v>
      </c>
      <c r="F392" s="19">
        <f>IF($C392="","",IF($D392="",0,VLOOKUP($C392,'DATA DE TARIFA'!$A$4:$C$68,3,FALSE)))</f>
        <v>10</v>
      </c>
      <c r="G392" s="66">
        <v>0.0</v>
      </c>
      <c r="H392" s="19">
        <f t="shared" si="1"/>
        <v>17.79661017</v>
      </c>
      <c r="I392" s="19">
        <f t="shared" si="2"/>
        <v>10</v>
      </c>
      <c r="J392" s="67"/>
      <c r="K392" s="44" t="str">
        <f>IF($B392="","",IFERROR(VLOOKUP($B392,Tiendas!$A$4:$B$176,2,FALSE),""))</f>
        <v>JORDAN</v>
      </c>
      <c r="L392" s="68" t="s">
        <v>296</v>
      </c>
      <c r="M392" s="44" t="str">
        <f>IF($B392="","",IFERROR(VLOOKUP($B392,Tiendas!$A$4:$I$176,9,FALSE),""))</f>
        <v>Si</v>
      </c>
      <c r="N392" s="71">
        <f t="shared" si="3"/>
        <v>0</v>
      </c>
      <c r="O392" s="71">
        <f t="shared" si="4"/>
        <v>0</v>
      </c>
    </row>
    <row r="393" ht="15.75" customHeight="1">
      <c r="A393" s="17">
        <v>46023.0</v>
      </c>
      <c r="B393" s="44" t="s">
        <v>239</v>
      </c>
      <c r="C393" s="44" t="s">
        <v>67</v>
      </c>
      <c r="D393" s="45" t="s">
        <v>295</v>
      </c>
      <c r="E393" s="19">
        <f>IF($D393&lt;&gt;"Entregado",0,IF($C393="","",VLOOKUP($C393,'DATA DE TARIFA'!$A$4:$C$68,2,FALSE)/1.18))</f>
        <v>10.16949153</v>
      </c>
      <c r="F393" s="19">
        <f>IF($C393="","",IF($D393="",0,VLOOKUP($C393,'DATA DE TARIFA'!$A$4:$C$68,3,FALSE)))</f>
        <v>5.5</v>
      </c>
      <c r="G393" s="66">
        <v>0.0</v>
      </c>
      <c r="H393" s="19">
        <f t="shared" si="1"/>
        <v>10.16949153</v>
      </c>
      <c r="I393" s="19">
        <f t="shared" si="2"/>
        <v>5.5</v>
      </c>
      <c r="J393" s="67"/>
      <c r="K393" s="44" t="str">
        <f>IF($B393="","",IFERROR(VLOOKUP($B393,Tiendas!$A$4:$B$176,2,FALSE),""))</f>
        <v>JORDAN</v>
      </c>
      <c r="L393" s="68" t="s">
        <v>296</v>
      </c>
      <c r="M393" s="44" t="str">
        <f>IF($B393="","",IFERROR(VLOOKUP($B393,Tiendas!$A$4:$I$176,9,FALSE),""))</f>
        <v>Si</v>
      </c>
      <c r="N393" s="71">
        <f t="shared" si="3"/>
        <v>0</v>
      </c>
      <c r="O393" s="71">
        <f t="shared" si="4"/>
        <v>0</v>
      </c>
    </row>
    <row r="394" ht="15.75" customHeight="1">
      <c r="A394" s="17">
        <v>46023.0</v>
      </c>
      <c r="B394" s="44" t="s">
        <v>239</v>
      </c>
      <c r="C394" s="44" t="s">
        <v>21</v>
      </c>
      <c r="D394" s="45" t="s">
        <v>295</v>
      </c>
      <c r="E394" s="19">
        <f>IF($D394&lt;&gt;"Entregado",0,IF($C394="","",VLOOKUP($C394,'DATA DE TARIFA'!$A$4:$C$68,2,FALSE)/1.18))</f>
        <v>10.16949153</v>
      </c>
      <c r="F394" s="19">
        <f>IF($C394="","",IF($D394="",0,VLOOKUP($C394,'DATA DE TARIFA'!$A$4:$C$68,3,FALSE)))</f>
        <v>4.5</v>
      </c>
      <c r="G394" s="66">
        <v>0.0</v>
      </c>
      <c r="H394" s="19">
        <f t="shared" si="1"/>
        <v>10.16949153</v>
      </c>
      <c r="I394" s="19">
        <f t="shared" si="2"/>
        <v>4.5</v>
      </c>
      <c r="J394" s="67"/>
      <c r="K394" s="44" t="str">
        <f>IF($B394="","",IFERROR(VLOOKUP($B394,Tiendas!$A$4:$B$176,2,FALSE),""))</f>
        <v>JORDAN</v>
      </c>
      <c r="L394" s="68" t="s">
        <v>296</v>
      </c>
      <c r="M394" s="44" t="str">
        <f>IF($B394="","",IFERROR(VLOOKUP($B394,Tiendas!$A$4:$I$176,9,FALSE),""))</f>
        <v>Si</v>
      </c>
      <c r="N394" s="71">
        <f t="shared" si="3"/>
        <v>0</v>
      </c>
      <c r="O394" s="71">
        <f t="shared" si="4"/>
        <v>0</v>
      </c>
    </row>
    <row r="395" ht="15.75" customHeight="1">
      <c r="A395" s="17">
        <v>46023.0</v>
      </c>
      <c r="B395" s="44" t="s">
        <v>239</v>
      </c>
      <c r="C395" s="44" t="s">
        <v>42</v>
      </c>
      <c r="D395" s="45" t="s">
        <v>295</v>
      </c>
      <c r="E395" s="19">
        <f>IF($D395&lt;&gt;"Entregado",0,IF($C395="","",VLOOKUP($C395,'DATA DE TARIFA'!$A$4:$C$68,2,FALSE)/1.18))</f>
        <v>8.474576271</v>
      </c>
      <c r="F395" s="19">
        <f>IF($C395="","",IF($D395="",0,VLOOKUP($C395,'DATA DE TARIFA'!$A$4:$C$68,3,FALSE)))</f>
        <v>4</v>
      </c>
      <c r="G395" s="66">
        <v>0.0</v>
      </c>
      <c r="H395" s="19">
        <f t="shared" si="1"/>
        <v>8.474576271</v>
      </c>
      <c r="I395" s="19">
        <f t="shared" si="2"/>
        <v>4</v>
      </c>
      <c r="J395" s="67"/>
      <c r="K395" s="44" t="str">
        <f>IF($B395="","",IFERROR(VLOOKUP($B395,Tiendas!$A$4:$B$176,2,FALSE),""))</f>
        <v>JORDAN</v>
      </c>
      <c r="L395" s="68" t="s">
        <v>296</v>
      </c>
      <c r="M395" s="44" t="str">
        <f>IF($B395="","",IFERROR(VLOOKUP($B395,Tiendas!$A$4:$I$176,9,FALSE),""))</f>
        <v>Si</v>
      </c>
      <c r="N395" s="71">
        <f t="shared" si="3"/>
        <v>0</v>
      </c>
      <c r="O395" s="71">
        <f t="shared" si="4"/>
        <v>0</v>
      </c>
    </row>
    <row r="396" ht="15.75" customHeight="1">
      <c r="A396" s="17">
        <v>46023.0</v>
      </c>
      <c r="B396" s="44" t="s">
        <v>239</v>
      </c>
      <c r="C396" s="44" t="s">
        <v>30</v>
      </c>
      <c r="D396" s="45" t="s">
        <v>295</v>
      </c>
      <c r="E396" s="19">
        <f>IF($D396&lt;&gt;"Entregado",0,IF($C396="","",VLOOKUP($C396,'DATA DE TARIFA'!$A$4:$C$68,2,FALSE)/1.18))</f>
        <v>8.474576271</v>
      </c>
      <c r="F396" s="19">
        <f>IF($C396="","",IF($D396="",0,VLOOKUP($C396,'DATA DE TARIFA'!$A$4:$C$68,3,FALSE)))</f>
        <v>4.5</v>
      </c>
      <c r="G396" s="66">
        <v>0.0</v>
      </c>
      <c r="H396" s="19">
        <f t="shared" si="1"/>
        <v>8.474576271</v>
      </c>
      <c r="I396" s="19">
        <f t="shared" si="2"/>
        <v>4.5</v>
      </c>
      <c r="J396" s="67"/>
      <c r="K396" s="44" t="str">
        <f>IF($B396="","",IFERROR(VLOOKUP($B396,Tiendas!$A$4:$B$176,2,FALSE),""))</f>
        <v>JORDAN</v>
      </c>
      <c r="L396" s="68" t="s">
        <v>296</v>
      </c>
      <c r="M396" s="44" t="str">
        <f>IF($B396="","",IFERROR(VLOOKUP($B396,Tiendas!$A$4:$I$176,9,FALSE),""))</f>
        <v>Si</v>
      </c>
      <c r="N396" s="71">
        <f t="shared" si="3"/>
        <v>0</v>
      </c>
      <c r="O396" s="71">
        <f t="shared" si="4"/>
        <v>0</v>
      </c>
    </row>
    <row r="397" ht="15.75" customHeight="1">
      <c r="A397" s="17">
        <v>46023.0</v>
      </c>
      <c r="B397" s="44" t="s">
        <v>239</v>
      </c>
      <c r="C397" s="44" t="s">
        <v>30</v>
      </c>
      <c r="D397" s="45" t="s">
        <v>295</v>
      </c>
      <c r="E397" s="19">
        <f>IF($D397&lt;&gt;"Entregado",0,IF($C397="","",VLOOKUP($C397,'DATA DE TARIFA'!$A$4:$C$68,2,FALSE)/1.18))</f>
        <v>8.474576271</v>
      </c>
      <c r="F397" s="19">
        <f>IF($C397="","",IF($D397="",0,VLOOKUP($C397,'DATA DE TARIFA'!$A$4:$C$68,3,FALSE)))</f>
        <v>4.5</v>
      </c>
      <c r="G397" s="66">
        <v>0.0</v>
      </c>
      <c r="H397" s="19">
        <f t="shared" si="1"/>
        <v>8.474576271</v>
      </c>
      <c r="I397" s="19">
        <f t="shared" si="2"/>
        <v>4.5</v>
      </c>
      <c r="J397" s="67"/>
      <c r="K397" s="44" t="str">
        <f>IF($B397="","",IFERROR(VLOOKUP($B397,Tiendas!$A$4:$B$176,2,FALSE),""))</f>
        <v>JORDAN</v>
      </c>
      <c r="L397" s="68" t="s">
        <v>296</v>
      </c>
      <c r="M397" s="44" t="str">
        <f>IF($B397="","",IFERROR(VLOOKUP($B397,Tiendas!$A$4:$I$176,9,FALSE),""))</f>
        <v>Si</v>
      </c>
      <c r="N397" s="71">
        <f t="shared" si="3"/>
        <v>0</v>
      </c>
      <c r="O397" s="71">
        <f t="shared" si="4"/>
        <v>0</v>
      </c>
    </row>
    <row r="398" ht="15.75" customHeight="1">
      <c r="A398" s="17">
        <v>46023.0</v>
      </c>
      <c r="B398" s="44" t="s">
        <v>239</v>
      </c>
      <c r="C398" s="44" t="s">
        <v>65</v>
      </c>
      <c r="D398" s="45" t="s">
        <v>295</v>
      </c>
      <c r="E398" s="19">
        <f>IF($D398&lt;&gt;"Entregado",0,IF($C398="","",VLOOKUP($C398,'DATA DE TARIFA'!$A$4:$C$68,2,FALSE)/1.18))</f>
        <v>10.16949153</v>
      </c>
      <c r="F398" s="19">
        <f>IF($C398="","",IF($D398="",0,VLOOKUP($C398,'DATA DE TARIFA'!$A$4:$C$68,3,FALSE)))</f>
        <v>4.5</v>
      </c>
      <c r="G398" s="66">
        <v>0.0</v>
      </c>
      <c r="H398" s="19">
        <f t="shared" si="1"/>
        <v>10.16949153</v>
      </c>
      <c r="I398" s="19">
        <f t="shared" si="2"/>
        <v>4.5</v>
      </c>
      <c r="J398" s="67"/>
      <c r="K398" s="44" t="str">
        <f>IF($B398="","",IFERROR(VLOOKUP($B398,Tiendas!$A$4:$B$176,2,FALSE),""))</f>
        <v>JORDAN</v>
      </c>
      <c r="L398" s="68" t="s">
        <v>296</v>
      </c>
      <c r="M398" s="44" t="str">
        <f>IF($B398="","",IFERROR(VLOOKUP($B398,Tiendas!$A$4:$I$176,9,FALSE),""))</f>
        <v>Si</v>
      </c>
      <c r="N398" s="71">
        <f t="shared" si="3"/>
        <v>0</v>
      </c>
      <c r="O398" s="71">
        <f t="shared" si="4"/>
        <v>0</v>
      </c>
    </row>
    <row r="399" ht="15.75" customHeight="1">
      <c r="A399" s="17">
        <v>46023.0</v>
      </c>
      <c r="B399" s="44" t="s">
        <v>239</v>
      </c>
      <c r="C399" s="44" t="s">
        <v>23</v>
      </c>
      <c r="D399" s="45" t="s">
        <v>295</v>
      </c>
      <c r="E399" s="19">
        <f>IF($D399&lt;&gt;"Entregado",0,IF($C399="","",VLOOKUP($C399,'DATA DE TARIFA'!$A$4:$C$68,2,FALSE)/1.18))</f>
        <v>8.474576271</v>
      </c>
      <c r="F399" s="19">
        <f>IF($C399="","",IF($D399="",0,VLOOKUP($C399,'DATA DE TARIFA'!$A$4:$C$68,3,FALSE)))</f>
        <v>4.5</v>
      </c>
      <c r="G399" s="66">
        <v>0.0</v>
      </c>
      <c r="H399" s="19">
        <f t="shared" si="1"/>
        <v>8.474576271</v>
      </c>
      <c r="I399" s="19">
        <f t="shared" si="2"/>
        <v>4.5</v>
      </c>
      <c r="J399" s="67"/>
      <c r="K399" s="44" t="str">
        <f>IF($B399="","",IFERROR(VLOOKUP($B399,Tiendas!$A$4:$B$176,2,FALSE),""))</f>
        <v>JORDAN</v>
      </c>
      <c r="L399" s="68" t="s">
        <v>296</v>
      </c>
      <c r="M399" s="44" t="str">
        <f>IF($B399="","",IFERROR(VLOOKUP($B399,Tiendas!$A$4:$I$176,9,FALSE),""))</f>
        <v>Si</v>
      </c>
      <c r="N399" s="71">
        <f t="shared" si="3"/>
        <v>0</v>
      </c>
      <c r="O399" s="71">
        <f t="shared" si="4"/>
        <v>0</v>
      </c>
    </row>
    <row r="400" ht="15.75" customHeight="1">
      <c r="A400" s="17">
        <v>46023.0</v>
      </c>
      <c r="B400" s="44" t="s">
        <v>239</v>
      </c>
      <c r="C400" s="44" t="s">
        <v>70</v>
      </c>
      <c r="D400" s="45" t="s">
        <v>295</v>
      </c>
      <c r="E400" s="19">
        <f>IF($D400&lt;&gt;"Entregado",0,IF($C400="","",VLOOKUP($C400,'DATA DE TARIFA'!$A$4:$C$68,2,FALSE)/1.18))</f>
        <v>8.474576271</v>
      </c>
      <c r="F400" s="19">
        <f>IF($C400="","",IF($D400="",0,VLOOKUP($C400,'DATA DE TARIFA'!$A$4:$C$68,3,FALSE)))</f>
        <v>4</v>
      </c>
      <c r="G400" s="66">
        <v>0.0</v>
      </c>
      <c r="H400" s="19">
        <f t="shared" si="1"/>
        <v>8.474576271</v>
      </c>
      <c r="I400" s="19">
        <f t="shared" si="2"/>
        <v>4</v>
      </c>
      <c r="J400" s="67"/>
      <c r="K400" s="44" t="str">
        <f>IF($B400="","",IFERROR(VLOOKUP($B400,Tiendas!$A$4:$B$176,2,FALSE),""))</f>
        <v>JORDAN</v>
      </c>
      <c r="L400" s="68" t="s">
        <v>296</v>
      </c>
      <c r="M400" s="44" t="str">
        <f>IF($B400="","",IFERROR(VLOOKUP($B400,Tiendas!$A$4:$I$176,9,FALSE),""))</f>
        <v>Si</v>
      </c>
      <c r="N400" s="71">
        <f t="shared" si="3"/>
        <v>0</v>
      </c>
      <c r="O400" s="71">
        <f t="shared" si="4"/>
        <v>0</v>
      </c>
    </row>
    <row r="401" ht="15.75" customHeight="1">
      <c r="A401" s="17">
        <v>46023.0</v>
      </c>
      <c r="B401" s="44" t="s">
        <v>239</v>
      </c>
      <c r="C401" s="44" t="s">
        <v>32</v>
      </c>
      <c r="D401" s="45" t="s">
        <v>295</v>
      </c>
      <c r="E401" s="19">
        <f>IF($D401&lt;&gt;"Entregado",0,IF($C401="","",VLOOKUP($C401,'DATA DE TARIFA'!$A$4:$C$68,2,FALSE)/1.18))</f>
        <v>8.474576271</v>
      </c>
      <c r="F401" s="19">
        <f>IF($C401="","",IF($D401="",0,VLOOKUP($C401,'DATA DE TARIFA'!$A$4:$C$68,3,FALSE)))</f>
        <v>4.5</v>
      </c>
      <c r="G401" s="66">
        <v>0.0</v>
      </c>
      <c r="H401" s="19">
        <f t="shared" si="1"/>
        <v>8.474576271</v>
      </c>
      <c r="I401" s="19">
        <f t="shared" si="2"/>
        <v>4.5</v>
      </c>
      <c r="J401" s="67"/>
      <c r="K401" s="44" t="str">
        <f>IF($B401="","",IFERROR(VLOOKUP($B401,Tiendas!$A$4:$B$176,2,FALSE),""))</f>
        <v>JORDAN</v>
      </c>
      <c r="L401" s="68" t="s">
        <v>296</v>
      </c>
      <c r="M401" s="44" t="str">
        <f>IF($B401="","",IFERROR(VLOOKUP($B401,Tiendas!$A$4:$I$176,9,FALSE),""))</f>
        <v>Si</v>
      </c>
      <c r="N401" s="71">
        <f t="shared" si="3"/>
        <v>0</v>
      </c>
      <c r="O401" s="71">
        <f t="shared" si="4"/>
        <v>0</v>
      </c>
    </row>
    <row r="402" ht="15.75" customHeight="1">
      <c r="A402" s="17">
        <v>46023.0</v>
      </c>
      <c r="B402" s="44" t="s">
        <v>239</v>
      </c>
      <c r="C402" s="44" t="s">
        <v>15</v>
      </c>
      <c r="D402" s="45" t="s">
        <v>295</v>
      </c>
      <c r="E402" s="19">
        <f>IF($D402&lt;&gt;"Entregado",0,IF($C402="","",VLOOKUP($C402,'DATA DE TARIFA'!$A$4:$C$68,2,FALSE)/1.18))</f>
        <v>8.474576271</v>
      </c>
      <c r="F402" s="19">
        <f>IF($C402="","",IF($D402="",0,VLOOKUP($C402,'DATA DE TARIFA'!$A$4:$C$68,3,FALSE)))</f>
        <v>4.5</v>
      </c>
      <c r="G402" s="66">
        <v>0.0</v>
      </c>
      <c r="H402" s="19">
        <f t="shared" si="1"/>
        <v>8.474576271</v>
      </c>
      <c r="I402" s="19">
        <f t="shared" si="2"/>
        <v>4.5</v>
      </c>
      <c r="J402" s="67"/>
      <c r="K402" s="44" t="str">
        <f>IF($B402="","",IFERROR(VLOOKUP($B402,Tiendas!$A$4:$B$176,2,FALSE),""))</f>
        <v>JORDAN</v>
      </c>
      <c r="L402" s="68" t="s">
        <v>296</v>
      </c>
      <c r="M402" s="44" t="str">
        <f>IF($B402="","",IFERROR(VLOOKUP($B402,Tiendas!$A$4:$I$176,9,FALSE),""))</f>
        <v>Si</v>
      </c>
      <c r="N402" s="71">
        <f t="shared" si="3"/>
        <v>0</v>
      </c>
      <c r="O402" s="71">
        <f t="shared" si="4"/>
        <v>0</v>
      </c>
    </row>
    <row r="403" ht="15.75" customHeight="1">
      <c r="A403" s="17">
        <v>46023.0</v>
      </c>
      <c r="B403" s="44" t="s">
        <v>239</v>
      </c>
      <c r="C403" s="44" t="s">
        <v>55</v>
      </c>
      <c r="D403" s="45" t="s">
        <v>295</v>
      </c>
      <c r="E403" s="19">
        <f>IF($D403&lt;&gt;"Entregado",0,IF($C403="","",VLOOKUP($C403,'DATA DE TARIFA'!$A$4:$C$68,2,FALSE)/1.18))</f>
        <v>8.474576271</v>
      </c>
      <c r="F403" s="19">
        <f>IF($C403="","",IF($D403="",0,VLOOKUP($C403,'DATA DE TARIFA'!$A$4:$C$68,3,FALSE)))</f>
        <v>4</v>
      </c>
      <c r="G403" s="66">
        <v>0.0</v>
      </c>
      <c r="H403" s="19">
        <f t="shared" si="1"/>
        <v>8.474576271</v>
      </c>
      <c r="I403" s="19">
        <f t="shared" si="2"/>
        <v>4</v>
      </c>
      <c r="J403" s="67"/>
      <c r="K403" s="44" t="str">
        <f>IF($B403="","",IFERROR(VLOOKUP($B403,Tiendas!$A$4:$B$176,2,FALSE),""))</f>
        <v>JORDAN</v>
      </c>
      <c r="L403" s="68" t="s">
        <v>296</v>
      </c>
      <c r="M403" s="44" t="str">
        <f>IF($B403="","",IFERROR(VLOOKUP($B403,Tiendas!$A$4:$I$176,9,FALSE),""))</f>
        <v>Si</v>
      </c>
      <c r="N403" s="71">
        <f t="shared" si="3"/>
        <v>0</v>
      </c>
      <c r="O403" s="71">
        <f t="shared" si="4"/>
        <v>0</v>
      </c>
    </row>
    <row r="404" ht="15.75" customHeight="1">
      <c r="A404" s="17">
        <v>46023.0</v>
      </c>
      <c r="B404" s="44" t="s">
        <v>239</v>
      </c>
      <c r="C404" s="44" t="s">
        <v>21</v>
      </c>
      <c r="D404" s="45" t="s">
        <v>295</v>
      </c>
      <c r="E404" s="19">
        <f>IF($D404&lt;&gt;"Entregado",0,IF($C404="","",VLOOKUP($C404,'DATA DE TARIFA'!$A$4:$C$68,2,FALSE)/1.18))</f>
        <v>10.16949153</v>
      </c>
      <c r="F404" s="19">
        <f>IF($C404="","",IF($D404="",0,VLOOKUP($C404,'DATA DE TARIFA'!$A$4:$C$68,3,FALSE)))</f>
        <v>4.5</v>
      </c>
      <c r="G404" s="66">
        <v>0.0</v>
      </c>
      <c r="H404" s="19">
        <f t="shared" si="1"/>
        <v>10.16949153</v>
      </c>
      <c r="I404" s="19">
        <f t="shared" si="2"/>
        <v>4.5</v>
      </c>
      <c r="J404" s="67"/>
      <c r="K404" s="44" t="str">
        <f>IF($B404="","",IFERROR(VLOOKUP($B404,Tiendas!$A$4:$B$176,2,FALSE),""))</f>
        <v>JORDAN</v>
      </c>
      <c r="L404" s="68" t="s">
        <v>296</v>
      </c>
      <c r="M404" s="44" t="str">
        <f>IF($B404="","",IFERROR(VLOOKUP($B404,Tiendas!$A$4:$I$176,9,FALSE),""))</f>
        <v>Si</v>
      </c>
      <c r="N404" s="71">
        <f t="shared" si="3"/>
        <v>0</v>
      </c>
      <c r="O404" s="71">
        <f t="shared" si="4"/>
        <v>0</v>
      </c>
    </row>
    <row r="405" ht="15.75" customHeight="1">
      <c r="A405" s="17">
        <v>46023.0</v>
      </c>
      <c r="B405" s="44" t="s">
        <v>239</v>
      </c>
      <c r="C405" s="44" t="s">
        <v>18</v>
      </c>
      <c r="D405" s="45" t="s">
        <v>295</v>
      </c>
      <c r="E405" s="19">
        <f>IF($D405&lt;&gt;"Entregado",0,IF($C405="","",VLOOKUP($C405,'DATA DE TARIFA'!$A$4:$C$68,2,FALSE)/1.18))</f>
        <v>10.16949153</v>
      </c>
      <c r="F405" s="19">
        <f>IF($C405="","",IF($D405="",0,VLOOKUP($C405,'DATA DE TARIFA'!$A$4:$C$68,3,FALSE)))</f>
        <v>4.5</v>
      </c>
      <c r="G405" s="66">
        <v>0.0</v>
      </c>
      <c r="H405" s="19">
        <f t="shared" si="1"/>
        <v>10.16949153</v>
      </c>
      <c r="I405" s="19">
        <f t="shared" si="2"/>
        <v>4.5</v>
      </c>
      <c r="J405" s="67"/>
      <c r="K405" s="44" t="str">
        <f>IF($B405="","",IFERROR(VLOOKUP($B405,Tiendas!$A$4:$B$176,2,FALSE),""))</f>
        <v>JORDAN</v>
      </c>
      <c r="L405" s="68" t="s">
        <v>296</v>
      </c>
      <c r="M405" s="44" t="str">
        <f>IF($B405="","",IFERROR(VLOOKUP($B405,Tiendas!$A$4:$I$176,9,FALSE),""))</f>
        <v>Si</v>
      </c>
      <c r="N405" s="71">
        <f t="shared" si="3"/>
        <v>0</v>
      </c>
      <c r="O405" s="71">
        <f t="shared" si="4"/>
        <v>0</v>
      </c>
    </row>
    <row r="406" ht="15.75" customHeight="1">
      <c r="A406" s="17">
        <v>46023.0</v>
      </c>
      <c r="B406" s="44" t="s">
        <v>239</v>
      </c>
      <c r="C406" s="44" t="s">
        <v>57</v>
      </c>
      <c r="D406" s="45" t="s">
        <v>295</v>
      </c>
      <c r="E406" s="19">
        <f>IF($D406&lt;&gt;"Entregado",0,IF($C406="","",VLOOKUP($C406,'DATA DE TARIFA'!$A$4:$C$68,2,FALSE)/1.18))</f>
        <v>8.474576271</v>
      </c>
      <c r="F406" s="19">
        <f>IF($C406="","",IF($D406="",0,VLOOKUP($C406,'DATA DE TARIFA'!$A$4:$C$68,3,FALSE)))</f>
        <v>4.5</v>
      </c>
      <c r="G406" s="66">
        <v>0.0</v>
      </c>
      <c r="H406" s="19">
        <f t="shared" si="1"/>
        <v>8.474576271</v>
      </c>
      <c r="I406" s="19">
        <f t="shared" si="2"/>
        <v>4.5</v>
      </c>
      <c r="J406" s="67"/>
      <c r="K406" s="44" t="str">
        <f>IF($B406="","",IFERROR(VLOOKUP($B406,Tiendas!$A$4:$B$176,2,FALSE),""))</f>
        <v>JORDAN</v>
      </c>
      <c r="L406" s="68" t="s">
        <v>296</v>
      </c>
      <c r="M406" s="44" t="str">
        <f>IF($B406="","",IFERROR(VLOOKUP($B406,Tiendas!$A$4:$I$176,9,FALSE),""))</f>
        <v>Si</v>
      </c>
      <c r="N406" s="71">
        <f t="shared" si="3"/>
        <v>0</v>
      </c>
      <c r="O406" s="71">
        <f t="shared" si="4"/>
        <v>0</v>
      </c>
    </row>
    <row r="407" ht="15.75" customHeight="1">
      <c r="A407" s="17">
        <v>46023.0</v>
      </c>
      <c r="B407" s="44" t="s">
        <v>239</v>
      </c>
      <c r="C407" s="44" t="s">
        <v>18</v>
      </c>
      <c r="D407" s="45" t="s">
        <v>295</v>
      </c>
      <c r="E407" s="19">
        <f>IF($D407&lt;&gt;"Entregado",0,IF($C407="","",VLOOKUP($C407,'DATA DE TARIFA'!$A$4:$C$68,2,FALSE)/1.18))</f>
        <v>10.16949153</v>
      </c>
      <c r="F407" s="19">
        <f>IF($C407="","",IF($D407="",0,VLOOKUP($C407,'DATA DE TARIFA'!$A$4:$C$68,3,FALSE)))</f>
        <v>4.5</v>
      </c>
      <c r="G407" s="66">
        <v>0.0</v>
      </c>
      <c r="H407" s="19">
        <f t="shared" si="1"/>
        <v>10.16949153</v>
      </c>
      <c r="I407" s="19">
        <f t="shared" si="2"/>
        <v>4.5</v>
      </c>
      <c r="J407" s="67"/>
      <c r="K407" s="44" t="str">
        <f>IF($B407="","",IFERROR(VLOOKUP($B407,Tiendas!$A$4:$B$176,2,FALSE),""))</f>
        <v>JORDAN</v>
      </c>
      <c r="L407" s="68" t="s">
        <v>296</v>
      </c>
      <c r="M407" s="44" t="str">
        <f>IF($B407="","",IFERROR(VLOOKUP($B407,Tiendas!$A$4:$I$176,9,FALSE),""))</f>
        <v>Si</v>
      </c>
      <c r="N407" s="71">
        <f t="shared" si="3"/>
        <v>0</v>
      </c>
      <c r="O407" s="71">
        <f t="shared" si="4"/>
        <v>0</v>
      </c>
    </row>
    <row r="408" ht="15.75" customHeight="1">
      <c r="A408" s="17">
        <v>46023.0</v>
      </c>
      <c r="B408" s="44" t="s">
        <v>239</v>
      </c>
      <c r="C408" s="44" t="s">
        <v>47</v>
      </c>
      <c r="D408" s="45" t="s">
        <v>295</v>
      </c>
      <c r="E408" s="19">
        <f>IF($D408&lt;&gt;"Entregado",0,IF($C408="","",VLOOKUP($C408,'DATA DE TARIFA'!$A$4:$C$68,2,FALSE)/1.18))</f>
        <v>10.16949153</v>
      </c>
      <c r="F408" s="19">
        <f>IF($C408="","",IF($D408="",0,VLOOKUP($C408,'DATA DE TARIFA'!$A$4:$C$68,3,FALSE)))</f>
        <v>5.5</v>
      </c>
      <c r="G408" s="66">
        <v>0.0</v>
      </c>
      <c r="H408" s="19">
        <f t="shared" si="1"/>
        <v>10.16949153</v>
      </c>
      <c r="I408" s="19">
        <f t="shared" si="2"/>
        <v>5.5</v>
      </c>
      <c r="J408" s="67"/>
      <c r="K408" s="44" t="str">
        <f>IF($B408="","",IFERROR(VLOOKUP($B408,Tiendas!$A$4:$B$176,2,FALSE),""))</f>
        <v>JORDAN</v>
      </c>
      <c r="L408" s="68" t="s">
        <v>296</v>
      </c>
      <c r="M408" s="44" t="str">
        <f>IF($B408="","",IFERROR(VLOOKUP($B408,Tiendas!$A$4:$I$176,9,FALSE),""))</f>
        <v>Si</v>
      </c>
      <c r="N408" s="71">
        <f t="shared" si="3"/>
        <v>0</v>
      </c>
      <c r="O408" s="71">
        <f t="shared" si="4"/>
        <v>0</v>
      </c>
    </row>
    <row r="409" ht="15.75" customHeight="1">
      <c r="A409" s="17">
        <v>46023.0</v>
      </c>
      <c r="B409" s="44" t="s">
        <v>239</v>
      </c>
      <c r="C409" s="44" t="s">
        <v>34</v>
      </c>
      <c r="D409" s="45" t="s">
        <v>295</v>
      </c>
      <c r="E409" s="19">
        <f>IF($D409&lt;&gt;"Entregado",0,IF($C409="","",VLOOKUP($C409,'DATA DE TARIFA'!$A$4:$C$68,2,FALSE)/1.18))</f>
        <v>10.16949153</v>
      </c>
      <c r="F409" s="19">
        <f>IF($C409="","",IF($D409="",0,VLOOKUP($C409,'DATA DE TARIFA'!$A$4:$C$68,3,FALSE)))</f>
        <v>4.5</v>
      </c>
      <c r="G409" s="66">
        <v>0.0</v>
      </c>
      <c r="H409" s="19">
        <f t="shared" si="1"/>
        <v>10.16949153</v>
      </c>
      <c r="I409" s="19">
        <f t="shared" si="2"/>
        <v>4.5</v>
      </c>
      <c r="J409" s="67"/>
      <c r="K409" s="44" t="str">
        <f>IF($B409="","",IFERROR(VLOOKUP($B409,Tiendas!$A$4:$B$176,2,FALSE),""))</f>
        <v>JORDAN</v>
      </c>
      <c r="L409" s="68" t="s">
        <v>296</v>
      </c>
      <c r="M409" s="44" t="str">
        <f>IF($B409="","",IFERROR(VLOOKUP($B409,Tiendas!$A$4:$I$176,9,FALSE),""))</f>
        <v>Si</v>
      </c>
      <c r="N409" s="71">
        <f t="shared" si="3"/>
        <v>0</v>
      </c>
      <c r="O409" s="71">
        <f t="shared" si="4"/>
        <v>0</v>
      </c>
    </row>
    <row r="410" ht="15.75" customHeight="1">
      <c r="A410" s="17">
        <v>46023.0</v>
      </c>
      <c r="B410" s="44" t="s">
        <v>239</v>
      </c>
      <c r="C410" s="44" t="s">
        <v>44</v>
      </c>
      <c r="D410" s="45" t="s">
        <v>295</v>
      </c>
      <c r="E410" s="19">
        <f>IF($D410&lt;&gt;"Entregado",0,IF($C410="","",VLOOKUP($C410,'DATA DE TARIFA'!$A$4:$C$68,2,FALSE)/1.18))</f>
        <v>10.16949153</v>
      </c>
      <c r="F410" s="19">
        <f>IF($C410="","",IF($D410="",0,VLOOKUP($C410,'DATA DE TARIFA'!$A$4:$C$68,3,FALSE)))</f>
        <v>5.5</v>
      </c>
      <c r="G410" s="66">
        <v>0.0</v>
      </c>
      <c r="H410" s="19">
        <f t="shared" si="1"/>
        <v>10.16949153</v>
      </c>
      <c r="I410" s="19">
        <f t="shared" si="2"/>
        <v>5.5</v>
      </c>
      <c r="J410" s="67"/>
      <c r="K410" s="44" t="str">
        <f>IF($B410="","",IFERROR(VLOOKUP($B410,Tiendas!$A$4:$B$176,2,FALSE),""))</f>
        <v>JORDAN</v>
      </c>
      <c r="L410" s="68" t="s">
        <v>296</v>
      </c>
      <c r="M410" s="44" t="str">
        <f>IF($B410="","",IFERROR(VLOOKUP($B410,Tiendas!$A$4:$I$176,9,FALSE),""))</f>
        <v>Si</v>
      </c>
      <c r="N410" s="71">
        <f t="shared" si="3"/>
        <v>0</v>
      </c>
      <c r="O410" s="71">
        <f t="shared" si="4"/>
        <v>0</v>
      </c>
    </row>
    <row r="411" ht="15.75" customHeight="1">
      <c r="A411" s="17">
        <v>46023.0</v>
      </c>
      <c r="B411" s="44" t="s">
        <v>239</v>
      </c>
      <c r="C411" s="44" t="s">
        <v>83</v>
      </c>
      <c r="D411" s="45" t="s">
        <v>295</v>
      </c>
      <c r="E411" s="19">
        <f>IF($D411&lt;&gt;"Entregado",0,IF($C411="","",VLOOKUP($C411,'DATA DE TARIFA'!$A$4:$C$68,2,FALSE)/1.18))</f>
        <v>14.40677966</v>
      </c>
      <c r="F411" s="19">
        <f>IF($C411="","",IF($D411="",0,VLOOKUP($C411,'DATA DE TARIFA'!$A$4:$C$68,3,FALSE)))</f>
        <v>8.5</v>
      </c>
      <c r="G411" s="66">
        <v>0.0</v>
      </c>
      <c r="H411" s="19">
        <f t="shared" si="1"/>
        <v>14.40677966</v>
      </c>
      <c r="I411" s="19">
        <f t="shared" si="2"/>
        <v>8.5</v>
      </c>
      <c r="J411" s="67"/>
      <c r="K411" s="44" t="str">
        <f>IF($B411="","",IFERROR(VLOOKUP($B411,Tiendas!$A$4:$B$176,2,FALSE),""))</f>
        <v>JORDAN</v>
      </c>
      <c r="L411" s="68" t="s">
        <v>296</v>
      </c>
      <c r="M411" s="44" t="str">
        <f>IF($B411="","",IFERROR(VLOOKUP($B411,Tiendas!$A$4:$I$176,9,FALSE),""))</f>
        <v>Si</v>
      </c>
      <c r="N411" s="71">
        <f t="shared" si="3"/>
        <v>0</v>
      </c>
      <c r="O411" s="71">
        <f t="shared" si="4"/>
        <v>0</v>
      </c>
    </row>
    <row r="412" ht="15.75" customHeight="1">
      <c r="A412" s="17">
        <v>46023.0</v>
      </c>
      <c r="B412" s="44" t="s">
        <v>239</v>
      </c>
      <c r="C412" s="44" t="s">
        <v>36</v>
      </c>
      <c r="D412" s="45" t="s">
        <v>295</v>
      </c>
      <c r="E412" s="19">
        <f>IF($D412&lt;&gt;"Entregado",0,IF($C412="","",VLOOKUP($C412,'DATA DE TARIFA'!$A$4:$C$68,2,FALSE)/1.18))</f>
        <v>10.16949153</v>
      </c>
      <c r="F412" s="19">
        <f>IF($C412="","",IF($D412="",0,VLOOKUP($C412,'DATA DE TARIFA'!$A$4:$C$68,3,FALSE)))</f>
        <v>4.5</v>
      </c>
      <c r="G412" s="66">
        <v>0.0</v>
      </c>
      <c r="H412" s="19">
        <f t="shared" si="1"/>
        <v>10.16949153</v>
      </c>
      <c r="I412" s="19">
        <f t="shared" si="2"/>
        <v>4.5</v>
      </c>
      <c r="J412" s="67"/>
      <c r="K412" s="44" t="str">
        <f>IF($B412="","",IFERROR(VLOOKUP($B412,Tiendas!$A$4:$B$176,2,FALSE),""))</f>
        <v>JORDAN</v>
      </c>
      <c r="L412" s="68" t="s">
        <v>296</v>
      </c>
      <c r="M412" s="44" t="str">
        <f>IF($B412="","",IFERROR(VLOOKUP($B412,Tiendas!$A$4:$I$176,9,FALSE),""))</f>
        <v>Si</v>
      </c>
      <c r="N412" s="71">
        <f t="shared" si="3"/>
        <v>0</v>
      </c>
      <c r="O412" s="71">
        <f t="shared" si="4"/>
        <v>0</v>
      </c>
    </row>
    <row r="413" ht="15.75" customHeight="1">
      <c r="A413" s="17">
        <v>46023.0</v>
      </c>
      <c r="B413" s="44" t="s">
        <v>239</v>
      </c>
      <c r="C413" s="44" t="s">
        <v>44</v>
      </c>
      <c r="D413" s="45" t="s">
        <v>295</v>
      </c>
      <c r="E413" s="19">
        <f>IF($D413&lt;&gt;"Entregado",0,IF($C413="","",VLOOKUP($C413,'DATA DE TARIFA'!$A$4:$C$68,2,FALSE)/1.18))</f>
        <v>10.16949153</v>
      </c>
      <c r="F413" s="19">
        <f>IF($C413="","",IF($D413="",0,VLOOKUP($C413,'DATA DE TARIFA'!$A$4:$C$68,3,FALSE)))</f>
        <v>5.5</v>
      </c>
      <c r="G413" s="66">
        <v>0.0</v>
      </c>
      <c r="H413" s="19">
        <f t="shared" si="1"/>
        <v>10.16949153</v>
      </c>
      <c r="I413" s="19">
        <f t="shared" si="2"/>
        <v>5.5</v>
      </c>
      <c r="J413" s="67"/>
      <c r="K413" s="44" t="str">
        <f>IF($B413="","",IFERROR(VLOOKUP($B413,Tiendas!$A$4:$B$176,2,FALSE),""))</f>
        <v>JORDAN</v>
      </c>
      <c r="L413" s="68" t="s">
        <v>296</v>
      </c>
      <c r="M413" s="44" t="str">
        <f>IF($B413="","",IFERROR(VLOOKUP($B413,Tiendas!$A$4:$I$176,9,FALSE),""))</f>
        <v>Si</v>
      </c>
      <c r="N413" s="71">
        <f t="shared" si="3"/>
        <v>0</v>
      </c>
      <c r="O413" s="71">
        <f t="shared" si="4"/>
        <v>0</v>
      </c>
    </row>
    <row r="414" ht="15.75" customHeight="1">
      <c r="A414" s="17">
        <v>46023.0</v>
      </c>
      <c r="B414" s="44" t="s">
        <v>239</v>
      </c>
      <c r="C414" s="44" t="s">
        <v>32</v>
      </c>
      <c r="D414" s="45" t="s">
        <v>295</v>
      </c>
      <c r="E414" s="19">
        <f>IF($D414&lt;&gt;"Entregado",0,IF($C414="","",VLOOKUP($C414,'DATA DE TARIFA'!$A$4:$C$68,2,FALSE)/1.18))</f>
        <v>8.474576271</v>
      </c>
      <c r="F414" s="19">
        <f>IF($C414="","",IF($D414="",0,VLOOKUP($C414,'DATA DE TARIFA'!$A$4:$C$68,3,FALSE)))</f>
        <v>4.5</v>
      </c>
      <c r="G414" s="66">
        <v>0.0</v>
      </c>
      <c r="H414" s="19">
        <f t="shared" si="1"/>
        <v>8.474576271</v>
      </c>
      <c r="I414" s="19">
        <f t="shared" si="2"/>
        <v>4.5</v>
      </c>
      <c r="J414" s="67"/>
      <c r="K414" s="44" t="str">
        <f>IF($B414="","",IFERROR(VLOOKUP($B414,Tiendas!$A$4:$B$176,2,FALSE),""))</f>
        <v>JORDAN</v>
      </c>
      <c r="L414" s="68" t="s">
        <v>296</v>
      </c>
      <c r="M414" s="44" t="str">
        <f>IF($B414="","",IFERROR(VLOOKUP($B414,Tiendas!$A$4:$I$176,9,FALSE),""))</f>
        <v>Si</v>
      </c>
      <c r="N414" s="71">
        <f t="shared" si="3"/>
        <v>0</v>
      </c>
      <c r="O414" s="71">
        <f t="shared" si="4"/>
        <v>0</v>
      </c>
    </row>
    <row r="415" ht="15.75" customHeight="1">
      <c r="A415" s="17">
        <v>46023.0</v>
      </c>
      <c r="B415" s="44" t="s">
        <v>239</v>
      </c>
      <c r="C415" s="44" t="s">
        <v>15</v>
      </c>
      <c r="D415" s="45" t="s">
        <v>295</v>
      </c>
      <c r="E415" s="19">
        <f>IF($D415&lt;&gt;"Entregado",0,IF($C415="","",VLOOKUP($C415,'DATA DE TARIFA'!$A$4:$C$68,2,FALSE)/1.18))</f>
        <v>8.474576271</v>
      </c>
      <c r="F415" s="19">
        <f>IF($C415="","",IF($D415="",0,VLOOKUP($C415,'DATA DE TARIFA'!$A$4:$C$68,3,FALSE)))</f>
        <v>4.5</v>
      </c>
      <c r="G415" s="66">
        <v>0.0</v>
      </c>
      <c r="H415" s="19">
        <f t="shared" si="1"/>
        <v>8.474576271</v>
      </c>
      <c r="I415" s="19">
        <f t="shared" si="2"/>
        <v>4.5</v>
      </c>
      <c r="J415" s="67"/>
      <c r="K415" s="44" t="str">
        <f>IF($B415="","",IFERROR(VLOOKUP($B415,Tiendas!$A$4:$B$176,2,FALSE),""))</f>
        <v>JORDAN</v>
      </c>
      <c r="L415" s="68" t="s">
        <v>296</v>
      </c>
      <c r="M415" s="44" t="str">
        <f>IF($B415="","",IFERROR(VLOOKUP($B415,Tiendas!$A$4:$I$176,9,FALSE),""))</f>
        <v>Si</v>
      </c>
      <c r="N415" s="71">
        <f t="shared" si="3"/>
        <v>0</v>
      </c>
      <c r="O415" s="71">
        <f t="shared" si="4"/>
        <v>0</v>
      </c>
    </row>
    <row r="416" ht="15.75" customHeight="1">
      <c r="A416" s="17">
        <v>46023.0</v>
      </c>
      <c r="B416" s="44" t="s">
        <v>239</v>
      </c>
      <c r="C416" s="44" t="s">
        <v>32</v>
      </c>
      <c r="D416" s="45" t="s">
        <v>295</v>
      </c>
      <c r="E416" s="19">
        <f>IF($D416&lt;&gt;"Entregado",0,IF($C416="","",VLOOKUP($C416,'DATA DE TARIFA'!$A$4:$C$68,2,FALSE)/1.18))</f>
        <v>8.474576271</v>
      </c>
      <c r="F416" s="19">
        <f>IF($C416="","",IF($D416="",0,VLOOKUP($C416,'DATA DE TARIFA'!$A$4:$C$68,3,FALSE)))</f>
        <v>4.5</v>
      </c>
      <c r="G416" s="66">
        <v>0.0</v>
      </c>
      <c r="H416" s="19">
        <f t="shared" si="1"/>
        <v>8.474576271</v>
      </c>
      <c r="I416" s="19">
        <f t="shared" si="2"/>
        <v>4.5</v>
      </c>
      <c r="J416" s="67"/>
      <c r="K416" s="44" t="str">
        <f>IF($B416="","",IFERROR(VLOOKUP($B416,Tiendas!$A$4:$B$176,2,FALSE),""))</f>
        <v>JORDAN</v>
      </c>
      <c r="L416" s="68" t="s">
        <v>296</v>
      </c>
      <c r="M416" s="44" t="str">
        <f>IF($B416="","",IFERROR(VLOOKUP($B416,Tiendas!$A$4:$I$176,9,FALSE),""))</f>
        <v>Si</v>
      </c>
      <c r="N416" s="71">
        <f t="shared" si="3"/>
        <v>0</v>
      </c>
      <c r="O416" s="71">
        <f t="shared" si="4"/>
        <v>0</v>
      </c>
    </row>
    <row r="417" ht="15.75" customHeight="1">
      <c r="A417" s="17">
        <v>46023.0</v>
      </c>
      <c r="B417" s="44" t="s">
        <v>239</v>
      </c>
      <c r="C417" s="44" t="s">
        <v>44</v>
      </c>
      <c r="D417" s="45" t="s">
        <v>295</v>
      </c>
      <c r="E417" s="19">
        <f>IF($D417&lt;&gt;"Entregado",0,IF($C417="","",VLOOKUP($C417,'DATA DE TARIFA'!$A$4:$C$68,2,FALSE)/1.18))</f>
        <v>10.16949153</v>
      </c>
      <c r="F417" s="19">
        <f>IF($C417="","",IF($D417="",0,VLOOKUP($C417,'DATA DE TARIFA'!$A$4:$C$68,3,FALSE)))</f>
        <v>5.5</v>
      </c>
      <c r="G417" s="66">
        <v>0.0</v>
      </c>
      <c r="H417" s="19">
        <f t="shared" si="1"/>
        <v>10.16949153</v>
      </c>
      <c r="I417" s="19">
        <f t="shared" si="2"/>
        <v>5.5</v>
      </c>
      <c r="J417" s="67"/>
      <c r="K417" s="44" t="str">
        <f>IF($B417="","",IFERROR(VLOOKUP($B417,Tiendas!$A$4:$B$176,2,FALSE),""))</f>
        <v>JORDAN</v>
      </c>
      <c r="L417" s="68" t="s">
        <v>296</v>
      </c>
      <c r="M417" s="44" t="str">
        <f>IF($B417="","",IFERROR(VLOOKUP($B417,Tiendas!$A$4:$I$176,9,FALSE),""))</f>
        <v>Si</v>
      </c>
      <c r="N417" s="71">
        <f t="shared" si="3"/>
        <v>0</v>
      </c>
      <c r="O417" s="71">
        <f t="shared" si="4"/>
        <v>0</v>
      </c>
    </row>
    <row r="418" ht="15.75" customHeight="1">
      <c r="A418" s="17">
        <v>46023.0</v>
      </c>
      <c r="B418" s="44" t="s">
        <v>239</v>
      </c>
      <c r="C418" s="44" t="s">
        <v>49</v>
      </c>
      <c r="D418" s="45" t="s">
        <v>295</v>
      </c>
      <c r="E418" s="19">
        <f>IF($D418&lt;&gt;"Entregado",0,IF($C418="","",VLOOKUP($C418,'DATA DE TARIFA'!$A$4:$C$68,2,FALSE)/1.18))</f>
        <v>10.16949153</v>
      </c>
      <c r="F418" s="19">
        <f>IF($C418="","",IF($D418="",0,VLOOKUP($C418,'DATA DE TARIFA'!$A$4:$C$68,3,FALSE)))</f>
        <v>5.5</v>
      </c>
      <c r="G418" s="66">
        <v>0.0</v>
      </c>
      <c r="H418" s="19">
        <f t="shared" si="1"/>
        <v>10.16949153</v>
      </c>
      <c r="I418" s="19">
        <f t="shared" si="2"/>
        <v>5.5</v>
      </c>
      <c r="J418" s="67"/>
      <c r="K418" s="44" t="str">
        <f>IF($B418="","",IFERROR(VLOOKUP($B418,Tiendas!$A$4:$B$176,2,FALSE),""))</f>
        <v>JORDAN</v>
      </c>
      <c r="L418" s="68" t="s">
        <v>296</v>
      </c>
      <c r="M418" s="44" t="str">
        <f>IF($B418="","",IFERROR(VLOOKUP($B418,Tiendas!$A$4:$I$176,9,FALSE),""))</f>
        <v>Si</v>
      </c>
      <c r="N418" s="71">
        <f t="shared" si="3"/>
        <v>0</v>
      </c>
      <c r="O418" s="71">
        <f t="shared" si="4"/>
        <v>0</v>
      </c>
    </row>
    <row r="419" ht="15.75" customHeight="1">
      <c r="A419" s="17">
        <v>46023.0</v>
      </c>
      <c r="B419" s="44" t="s">
        <v>239</v>
      </c>
      <c r="C419" s="44" t="s">
        <v>24</v>
      </c>
      <c r="D419" s="45" t="s">
        <v>295</v>
      </c>
      <c r="E419" s="19">
        <f>IF($D419&lt;&gt;"Entregado",0,IF($C419="","",VLOOKUP($C419,'DATA DE TARIFA'!$A$4:$C$68,2,FALSE)/1.18))</f>
        <v>8.474576271</v>
      </c>
      <c r="F419" s="19">
        <f>IF($C419="","",IF($D419="",0,VLOOKUP($C419,'DATA DE TARIFA'!$A$4:$C$68,3,FALSE)))</f>
        <v>4.5</v>
      </c>
      <c r="G419" s="66">
        <v>0.0</v>
      </c>
      <c r="H419" s="19">
        <f t="shared" si="1"/>
        <v>8.474576271</v>
      </c>
      <c r="I419" s="19">
        <f t="shared" si="2"/>
        <v>4.5</v>
      </c>
      <c r="J419" s="67"/>
      <c r="K419" s="44" t="str">
        <f>IF($B419="","",IFERROR(VLOOKUP($B419,Tiendas!$A$4:$B$176,2,FALSE),""))</f>
        <v>JORDAN</v>
      </c>
      <c r="L419" s="68" t="s">
        <v>296</v>
      </c>
      <c r="M419" s="44" t="str">
        <f>IF($B419="","",IFERROR(VLOOKUP($B419,Tiendas!$A$4:$I$176,9,FALSE),""))</f>
        <v>Si</v>
      </c>
      <c r="N419" s="71">
        <f t="shared" si="3"/>
        <v>0</v>
      </c>
      <c r="O419" s="71">
        <f t="shared" si="4"/>
        <v>0</v>
      </c>
    </row>
    <row r="420" ht="15.75" customHeight="1">
      <c r="A420" s="17">
        <v>46023.0</v>
      </c>
      <c r="B420" s="44" t="s">
        <v>239</v>
      </c>
      <c r="C420" s="44" t="s">
        <v>66</v>
      </c>
      <c r="D420" s="45" t="s">
        <v>295</v>
      </c>
      <c r="E420" s="19">
        <f>IF($D420&lt;&gt;"Entregado",0,IF($C420="","",VLOOKUP($C420,'DATA DE TARIFA'!$A$4:$C$68,2,FALSE)/1.18))</f>
        <v>10.16949153</v>
      </c>
      <c r="F420" s="19">
        <f>IF($C420="","",IF($D420="",0,VLOOKUP($C420,'DATA DE TARIFA'!$A$4:$C$68,3,FALSE)))</f>
        <v>4.5</v>
      </c>
      <c r="G420" s="66">
        <v>0.0</v>
      </c>
      <c r="H420" s="19">
        <f t="shared" si="1"/>
        <v>10.16949153</v>
      </c>
      <c r="I420" s="19">
        <f t="shared" si="2"/>
        <v>4.5</v>
      </c>
      <c r="J420" s="67"/>
      <c r="K420" s="44" t="str">
        <f>IF($B420="","",IFERROR(VLOOKUP($B420,Tiendas!$A$4:$B$176,2,FALSE),""))</f>
        <v>JORDAN</v>
      </c>
      <c r="L420" s="68" t="s">
        <v>296</v>
      </c>
      <c r="M420" s="44" t="str">
        <f>IF($B420="","",IFERROR(VLOOKUP($B420,Tiendas!$A$4:$I$176,9,FALSE),""))</f>
        <v>Si</v>
      </c>
      <c r="N420" s="71">
        <f t="shared" si="3"/>
        <v>0</v>
      </c>
      <c r="O420" s="71">
        <f t="shared" si="4"/>
        <v>0</v>
      </c>
    </row>
    <row r="421" ht="15.75" customHeight="1">
      <c r="A421" s="17">
        <v>46023.0</v>
      </c>
      <c r="B421" s="44" t="s">
        <v>239</v>
      </c>
      <c r="C421" s="44" t="s">
        <v>23</v>
      </c>
      <c r="D421" s="45" t="s">
        <v>295</v>
      </c>
      <c r="E421" s="19">
        <f>IF($D421&lt;&gt;"Entregado",0,IF($C421="","",VLOOKUP($C421,'DATA DE TARIFA'!$A$4:$C$68,2,FALSE)/1.18))</f>
        <v>8.474576271</v>
      </c>
      <c r="F421" s="19">
        <f>IF($C421="","",IF($D421="",0,VLOOKUP($C421,'DATA DE TARIFA'!$A$4:$C$68,3,FALSE)))</f>
        <v>4.5</v>
      </c>
      <c r="G421" s="66">
        <v>0.0</v>
      </c>
      <c r="H421" s="19">
        <f t="shared" si="1"/>
        <v>8.474576271</v>
      </c>
      <c r="I421" s="19">
        <f t="shared" si="2"/>
        <v>4.5</v>
      </c>
      <c r="J421" s="67"/>
      <c r="K421" s="44" t="str">
        <f>IF($B421="","",IFERROR(VLOOKUP($B421,Tiendas!$A$4:$B$176,2,FALSE),""))</f>
        <v>JORDAN</v>
      </c>
      <c r="L421" s="68" t="s">
        <v>296</v>
      </c>
      <c r="M421" s="44" t="str">
        <f>IF($B421="","",IFERROR(VLOOKUP($B421,Tiendas!$A$4:$I$176,9,FALSE),""))</f>
        <v>Si</v>
      </c>
      <c r="N421" s="71">
        <f t="shared" si="3"/>
        <v>0</v>
      </c>
      <c r="O421" s="71">
        <f t="shared" si="4"/>
        <v>0</v>
      </c>
    </row>
    <row r="422" ht="15.75" customHeight="1">
      <c r="A422" s="17">
        <v>46023.0</v>
      </c>
      <c r="B422" s="44" t="s">
        <v>239</v>
      </c>
      <c r="C422" s="44" t="s">
        <v>44</v>
      </c>
      <c r="D422" s="45" t="s">
        <v>295</v>
      </c>
      <c r="E422" s="19">
        <f>IF($D422&lt;&gt;"Entregado",0,IF($C422="","",VLOOKUP($C422,'DATA DE TARIFA'!$A$4:$C$68,2,FALSE)/1.18))</f>
        <v>10.16949153</v>
      </c>
      <c r="F422" s="19">
        <f>IF($C422="","",IF($D422="",0,VLOOKUP($C422,'DATA DE TARIFA'!$A$4:$C$68,3,FALSE)))</f>
        <v>5.5</v>
      </c>
      <c r="G422" s="66">
        <v>0.0</v>
      </c>
      <c r="H422" s="19">
        <f t="shared" si="1"/>
        <v>10.16949153</v>
      </c>
      <c r="I422" s="19">
        <f t="shared" si="2"/>
        <v>5.5</v>
      </c>
      <c r="J422" s="67"/>
      <c r="K422" s="44" t="str">
        <f>IF($B422="","",IFERROR(VLOOKUP($B422,Tiendas!$A$4:$B$176,2,FALSE),""))</f>
        <v>JORDAN</v>
      </c>
      <c r="L422" s="68" t="s">
        <v>296</v>
      </c>
      <c r="M422" s="44" t="str">
        <f>IF($B422="","",IFERROR(VLOOKUP($B422,Tiendas!$A$4:$I$176,9,FALSE),""))</f>
        <v>Si</v>
      </c>
      <c r="N422" s="71">
        <f t="shared" si="3"/>
        <v>0</v>
      </c>
      <c r="O422" s="71">
        <f t="shared" si="4"/>
        <v>0</v>
      </c>
    </row>
    <row r="423" ht="15.75" customHeight="1">
      <c r="A423" s="17">
        <v>46023.0</v>
      </c>
      <c r="B423" s="44" t="s">
        <v>239</v>
      </c>
      <c r="C423" s="44" t="s">
        <v>23</v>
      </c>
      <c r="D423" s="45" t="s">
        <v>295</v>
      </c>
      <c r="E423" s="19">
        <f>IF($D423&lt;&gt;"Entregado",0,IF($C423="","",VLOOKUP($C423,'DATA DE TARIFA'!$A$4:$C$68,2,FALSE)/1.18))</f>
        <v>8.474576271</v>
      </c>
      <c r="F423" s="19">
        <f>IF($C423="","",IF($D423="",0,VLOOKUP($C423,'DATA DE TARIFA'!$A$4:$C$68,3,FALSE)))</f>
        <v>4.5</v>
      </c>
      <c r="G423" s="66">
        <v>0.0</v>
      </c>
      <c r="H423" s="19">
        <f t="shared" si="1"/>
        <v>8.474576271</v>
      </c>
      <c r="I423" s="19">
        <f t="shared" si="2"/>
        <v>4.5</v>
      </c>
      <c r="J423" s="67"/>
      <c r="K423" s="44" t="str">
        <f>IF($B423="","",IFERROR(VLOOKUP($B423,Tiendas!$A$4:$B$176,2,FALSE),""))</f>
        <v>JORDAN</v>
      </c>
      <c r="L423" s="68" t="s">
        <v>296</v>
      </c>
      <c r="M423" s="44" t="str">
        <f>IF($B423="","",IFERROR(VLOOKUP($B423,Tiendas!$A$4:$I$176,9,FALSE),""))</f>
        <v>Si</v>
      </c>
      <c r="N423" s="71">
        <f t="shared" si="3"/>
        <v>0</v>
      </c>
      <c r="O423" s="71">
        <f t="shared" si="4"/>
        <v>0</v>
      </c>
    </row>
    <row r="424" ht="15.75" customHeight="1">
      <c r="A424" s="17">
        <v>46023.0</v>
      </c>
      <c r="B424" s="44" t="s">
        <v>239</v>
      </c>
      <c r="C424" s="44" t="s">
        <v>44</v>
      </c>
      <c r="D424" s="45" t="s">
        <v>295</v>
      </c>
      <c r="E424" s="19">
        <f>IF($D424&lt;&gt;"Entregado",0,IF($C424="","",VLOOKUP($C424,'DATA DE TARIFA'!$A$4:$C$68,2,FALSE)/1.18))</f>
        <v>10.16949153</v>
      </c>
      <c r="F424" s="19">
        <f>IF($C424="","",IF($D424="",0,VLOOKUP($C424,'DATA DE TARIFA'!$A$4:$C$68,3,FALSE)))</f>
        <v>5.5</v>
      </c>
      <c r="G424" s="66">
        <v>0.0</v>
      </c>
      <c r="H424" s="19">
        <f t="shared" si="1"/>
        <v>10.16949153</v>
      </c>
      <c r="I424" s="19">
        <f t="shared" si="2"/>
        <v>5.5</v>
      </c>
      <c r="J424" s="67"/>
      <c r="K424" s="44" t="str">
        <f>IF($B424="","",IFERROR(VLOOKUP($B424,Tiendas!$A$4:$B$176,2,FALSE),""))</f>
        <v>JORDAN</v>
      </c>
      <c r="L424" s="68" t="s">
        <v>296</v>
      </c>
      <c r="M424" s="44" t="str">
        <f>IF($B424="","",IFERROR(VLOOKUP($B424,Tiendas!$A$4:$I$176,9,FALSE),""))</f>
        <v>Si</v>
      </c>
      <c r="N424" s="71">
        <f t="shared" si="3"/>
        <v>0</v>
      </c>
      <c r="O424" s="71">
        <f t="shared" si="4"/>
        <v>0</v>
      </c>
    </row>
    <row r="425" ht="15.75" customHeight="1">
      <c r="A425" s="17">
        <v>46023.0</v>
      </c>
      <c r="B425" s="44" t="s">
        <v>239</v>
      </c>
      <c r="C425" s="44" t="s">
        <v>94</v>
      </c>
      <c r="D425" s="45" t="s">
        <v>295</v>
      </c>
      <c r="E425" s="19">
        <f>IF($D425&lt;&gt;"Entregado",0,IF($C425="","",VLOOKUP($C425,'DATA DE TARIFA'!$A$4:$C$68,2,FALSE)/1.18))</f>
        <v>18.6440678</v>
      </c>
      <c r="F425" s="19">
        <f>IF($C425="","",IF($D425="",0,VLOOKUP($C425,'DATA DE TARIFA'!$A$4:$C$68,3,FALSE)))</f>
        <v>12</v>
      </c>
      <c r="G425" s="66">
        <v>0.0</v>
      </c>
      <c r="H425" s="19">
        <f t="shared" si="1"/>
        <v>18.6440678</v>
      </c>
      <c r="I425" s="19">
        <f t="shared" si="2"/>
        <v>12</v>
      </c>
      <c r="J425" s="67"/>
      <c r="K425" s="44" t="str">
        <f>IF($B425="","",IFERROR(VLOOKUP($B425,Tiendas!$A$4:$B$176,2,FALSE),""))</f>
        <v>JORDAN</v>
      </c>
      <c r="L425" s="68" t="s">
        <v>296</v>
      </c>
      <c r="M425" s="44" t="str">
        <f>IF($B425="","",IFERROR(VLOOKUP($B425,Tiendas!$A$4:$I$176,9,FALSE),""))</f>
        <v>Si</v>
      </c>
      <c r="N425" s="71">
        <f t="shared" si="3"/>
        <v>0</v>
      </c>
      <c r="O425" s="71">
        <f t="shared" si="4"/>
        <v>0</v>
      </c>
    </row>
    <row r="426" ht="15.75" customHeight="1">
      <c r="A426" s="17">
        <v>46023.0</v>
      </c>
      <c r="B426" s="44" t="s">
        <v>239</v>
      </c>
      <c r="C426" s="44" t="s">
        <v>65</v>
      </c>
      <c r="D426" s="45" t="s">
        <v>295</v>
      </c>
      <c r="E426" s="19">
        <f>IF($D426&lt;&gt;"Entregado",0,IF($C426="","",VLOOKUP($C426,'DATA DE TARIFA'!$A$4:$C$68,2,FALSE)/1.18))</f>
        <v>10.16949153</v>
      </c>
      <c r="F426" s="19">
        <f>IF($C426="","",IF($D426="",0,VLOOKUP($C426,'DATA DE TARIFA'!$A$4:$C$68,3,FALSE)))</f>
        <v>4.5</v>
      </c>
      <c r="G426" s="66">
        <v>0.0</v>
      </c>
      <c r="H426" s="19">
        <f t="shared" si="1"/>
        <v>10.16949153</v>
      </c>
      <c r="I426" s="19">
        <f t="shared" si="2"/>
        <v>4.5</v>
      </c>
      <c r="J426" s="67"/>
      <c r="K426" s="44" t="str">
        <f>IF($B426="","",IFERROR(VLOOKUP($B426,Tiendas!$A$4:$B$176,2,FALSE),""))</f>
        <v>JORDAN</v>
      </c>
      <c r="L426" s="68" t="s">
        <v>296</v>
      </c>
      <c r="M426" s="44" t="str">
        <f>IF($B426="","",IFERROR(VLOOKUP($B426,Tiendas!$A$4:$I$176,9,FALSE),""))</f>
        <v>Si</v>
      </c>
      <c r="N426" s="71">
        <f t="shared" si="3"/>
        <v>0</v>
      </c>
      <c r="O426" s="71">
        <f t="shared" si="4"/>
        <v>0</v>
      </c>
    </row>
    <row r="427" ht="15.75" customHeight="1">
      <c r="A427" s="17">
        <v>46023.0</v>
      </c>
      <c r="B427" s="44" t="s">
        <v>239</v>
      </c>
      <c r="C427" s="44" t="s">
        <v>23</v>
      </c>
      <c r="D427" s="45" t="s">
        <v>295</v>
      </c>
      <c r="E427" s="19">
        <f>IF($D427&lt;&gt;"Entregado",0,IF($C427="","",VLOOKUP($C427,'DATA DE TARIFA'!$A$4:$C$68,2,FALSE)/1.18))</f>
        <v>8.474576271</v>
      </c>
      <c r="F427" s="19">
        <f>IF($C427="","",IF($D427="",0,VLOOKUP($C427,'DATA DE TARIFA'!$A$4:$C$68,3,FALSE)))</f>
        <v>4.5</v>
      </c>
      <c r="G427" s="66">
        <v>0.0</v>
      </c>
      <c r="H427" s="19">
        <f t="shared" si="1"/>
        <v>8.474576271</v>
      </c>
      <c r="I427" s="19">
        <f t="shared" si="2"/>
        <v>4.5</v>
      </c>
      <c r="J427" s="67"/>
      <c r="K427" s="44" t="str">
        <f>IF($B427="","",IFERROR(VLOOKUP($B427,Tiendas!$A$4:$B$176,2,FALSE),""))</f>
        <v>JORDAN</v>
      </c>
      <c r="L427" s="68" t="s">
        <v>296</v>
      </c>
      <c r="M427" s="44" t="str">
        <f>IF($B427="","",IFERROR(VLOOKUP($B427,Tiendas!$A$4:$I$176,9,FALSE),""))</f>
        <v>Si</v>
      </c>
      <c r="N427" s="71">
        <f t="shared" si="3"/>
        <v>0</v>
      </c>
      <c r="O427" s="71">
        <f t="shared" si="4"/>
        <v>0</v>
      </c>
    </row>
    <row r="428" ht="15.75" customHeight="1">
      <c r="A428" s="17">
        <v>46023.0</v>
      </c>
      <c r="B428" s="44" t="s">
        <v>239</v>
      </c>
      <c r="C428" s="44" t="s">
        <v>63</v>
      </c>
      <c r="D428" s="45" t="s">
        <v>295</v>
      </c>
      <c r="E428" s="19">
        <f>IF($D428&lt;&gt;"Entregado",0,IF($C428="","",VLOOKUP($C428,'DATA DE TARIFA'!$A$4:$C$68,2,FALSE)/1.18))</f>
        <v>8.474576271</v>
      </c>
      <c r="F428" s="19">
        <f>IF($C428="","",IF($D428="",0,VLOOKUP($C428,'DATA DE TARIFA'!$A$4:$C$68,3,FALSE)))</f>
        <v>4</v>
      </c>
      <c r="G428" s="66">
        <v>0.0</v>
      </c>
      <c r="H428" s="19">
        <f t="shared" si="1"/>
        <v>8.474576271</v>
      </c>
      <c r="I428" s="19">
        <f t="shared" si="2"/>
        <v>4</v>
      </c>
      <c r="J428" s="67"/>
      <c r="K428" s="44" t="str">
        <f>IF($B428="","",IFERROR(VLOOKUP($B428,Tiendas!$A$4:$B$176,2,FALSE),""))</f>
        <v>JORDAN</v>
      </c>
      <c r="L428" s="68" t="s">
        <v>296</v>
      </c>
      <c r="M428" s="44" t="str">
        <f>IF($B428="","",IFERROR(VLOOKUP($B428,Tiendas!$A$4:$I$176,9,FALSE),""))</f>
        <v>Si</v>
      </c>
      <c r="N428" s="71">
        <f t="shared" si="3"/>
        <v>0</v>
      </c>
      <c r="O428" s="71">
        <f t="shared" si="4"/>
        <v>0</v>
      </c>
    </row>
    <row r="429" ht="15.75" customHeight="1">
      <c r="A429" s="17">
        <v>46023.0</v>
      </c>
      <c r="B429" s="44" t="s">
        <v>239</v>
      </c>
      <c r="C429" s="44" t="s">
        <v>21</v>
      </c>
      <c r="D429" s="45" t="s">
        <v>297</v>
      </c>
      <c r="E429" s="19">
        <f>IF($D429&lt;&gt;"Entregado",0,IF($C429="","",VLOOKUP($C429,'DATA DE TARIFA'!$A$4:$C$68,2,FALSE)/1.18))</f>
        <v>0</v>
      </c>
      <c r="F429" s="19">
        <f>IF($C429="","",IF($D429="",0,VLOOKUP($C429,'DATA DE TARIFA'!$A$4:$C$68,3,FALSE)))</f>
        <v>4.5</v>
      </c>
      <c r="G429" s="66">
        <v>0.0</v>
      </c>
      <c r="H429" s="19">
        <f t="shared" si="1"/>
        <v>0</v>
      </c>
      <c r="I429" s="19">
        <f t="shared" si="2"/>
        <v>4.5</v>
      </c>
      <c r="J429" s="67"/>
      <c r="K429" s="44" t="str">
        <f>IF($B429="","",IFERROR(VLOOKUP($B429,Tiendas!$A$4:$B$176,2,FALSE),""))</f>
        <v>JORDAN</v>
      </c>
      <c r="L429" s="68" t="s">
        <v>296</v>
      </c>
      <c r="M429" s="44" t="str">
        <f>IF($B429="","",IFERROR(VLOOKUP($B429,Tiendas!$A$4:$I$176,9,FALSE),""))</f>
        <v>Si</v>
      </c>
      <c r="N429" s="71">
        <f t="shared" si="3"/>
        <v>0</v>
      </c>
      <c r="O429" s="71">
        <f t="shared" si="4"/>
        <v>0</v>
      </c>
    </row>
    <row r="430" ht="15.75" customHeight="1">
      <c r="A430" s="17">
        <v>46023.0</v>
      </c>
      <c r="B430" s="44" t="s">
        <v>239</v>
      </c>
      <c r="C430" s="44" t="s">
        <v>36</v>
      </c>
      <c r="D430" s="45" t="s">
        <v>295</v>
      </c>
      <c r="E430" s="19">
        <f>IF($D430&lt;&gt;"Entregado",0,IF($C430="","",VLOOKUP($C430,'DATA DE TARIFA'!$A$4:$C$68,2,FALSE)/1.18))</f>
        <v>10.16949153</v>
      </c>
      <c r="F430" s="19">
        <f>IF($C430="","",IF($D430="",0,VLOOKUP($C430,'DATA DE TARIFA'!$A$4:$C$68,3,FALSE)))</f>
        <v>4.5</v>
      </c>
      <c r="G430" s="66">
        <v>0.0</v>
      </c>
      <c r="H430" s="19">
        <f t="shared" si="1"/>
        <v>10.16949153</v>
      </c>
      <c r="I430" s="19">
        <f t="shared" si="2"/>
        <v>4.5</v>
      </c>
      <c r="J430" s="67"/>
      <c r="K430" s="44" t="str">
        <f>IF($B430="","",IFERROR(VLOOKUP($B430,Tiendas!$A$4:$B$176,2,FALSE),""))</f>
        <v>JORDAN</v>
      </c>
      <c r="L430" s="68" t="s">
        <v>296</v>
      </c>
      <c r="M430" s="44" t="str">
        <f>IF($B430="","",IFERROR(VLOOKUP($B430,Tiendas!$A$4:$I$176,9,FALSE),""))</f>
        <v>Si</v>
      </c>
      <c r="N430" s="71">
        <f t="shared" si="3"/>
        <v>0</v>
      </c>
      <c r="O430" s="71">
        <f t="shared" si="4"/>
        <v>0</v>
      </c>
    </row>
    <row r="431" ht="15.75" customHeight="1">
      <c r="A431" s="17">
        <v>46023.0</v>
      </c>
      <c r="B431" s="44" t="s">
        <v>239</v>
      </c>
      <c r="C431" s="44" t="s">
        <v>72</v>
      </c>
      <c r="D431" s="45" t="s">
        <v>295</v>
      </c>
      <c r="E431" s="19">
        <f>IF($D431&lt;&gt;"Entregado",0,IF($C431="","",VLOOKUP($C431,'DATA DE TARIFA'!$A$4:$C$68,2,FALSE)/1.18))</f>
        <v>10.16949153</v>
      </c>
      <c r="F431" s="19">
        <f>IF($C431="","",IF($D431="",0,VLOOKUP($C431,'DATA DE TARIFA'!$A$4:$C$68,3,FALSE)))</f>
        <v>4.5</v>
      </c>
      <c r="G431" s="66">
        <v>0.0</v>
      </c>
      <c r="H431" s="19">
        <f t="shared" si="1"/>
        <v>10.16949153</v>
      </c>
      <c r="I431" s="19">
        <f t="shared" si="2"/>
        <v>4.5</v>
      </c>
      <c r="J431" s="67"/>
      <c r="K431" s="44" t="str">
        <f>IF($B431="","",IFERROR(VLOOKUP($B431,Tiendas!$A$4:$B$176,2,FALSE),""))</f>
        <v>JORDAN</v>
      </c>
      <c r="L431" s="68" t="s">
        <v>296</v>
      </c>
      <c r="M431" s="44" t="str">
        <f>IF($B431="","",IFERROR(VLOOKUP($B431,Tiendas!$A$4:$I$176,9,FALSE),""))</f>
        <v>Si</v>
      </c>
      <c r="N431" s="71">
        <f t="shared" si="3"/>
        <v>0</v>
      </c>
      <c r="O431" s="71">
        <f t="shared" si="4"/>
        <v>0</v>
      </c>
    </row>
    <row r="432" ht="15.75" customHeight="1">
      <c r="A432" s="17">
        <v>46023.0</v>
      </c>
      <c r="B432" s="44" t="s">
        <v>239</v>
      </c>
      <c r="C432" s="44" t="s">
        <v>47</v>
      </c>
      <c r="D432" s="45" t="s">
        <v>295</v>
      </c>
      <c r="E432" s="19">
        <f>IF($D432&lt;&gt;"Entregado",0,IF($C432="","",VLOOKUP($C432,'DATA DE TARIFA'!$A$4:$C$68,2,FALSE)/1.18))</f>
        <v>10.16949153</v>
      </c>
      <c r="F432" s="19">
        <f>IF($C432="","",IF($D432="",0,VLOOKUP($C432,'DATA DE TARIFA'!$A$4:$C$68,3,FALSE)))</f>
        <v>5.5</v>
      </c>
      <c r="G432" s="66">
        <v>0.0</v>
      </c>
      <c r="H432" s="19">
        <f t="shared" si="1"/>
        <v>10.16949153</v>
      </c>
      <c r="I432" s="19">
        <f t="shared" si="2"/>
        <v>5.5</v>
      </c>
      <c r="J432" s="67"/>
      <c r="K432" s="44" t="str">
        <f>IF($B432="","",IFERROR(VLOOKUP($B432,Tiendas!$A$4:$B$176,2,FALSE),""))</f>
        <v>JORDAN</v>
      </c>
      <c r="L432" s="68" t="s">
        <v>296</v>
      </c>
      <c r="M432" s="44" t="str">
        <f>IF($B432="","",IFERROR(VLOOKUP($B432,Tiendas!$A$4:$I$176,9,FALSE),""))</f>
        <v>Si</v>
      </c>
      <c r="N432" s="71">
        <f t="shared" si="3"/>
        <v>0</v>
      </c>
      <c r="O432" s="71">
        <f t="shared" si="4"/>
        <v>0</v>
      </c>
    </row>
    <row r="433" ht="15.75" customHeight="1">
      <c r="A433" s="17">
        <v>46023.0</v>
      </c>
      <c r="B433" s="44" t="s">
        <v>239</v>
      </c>
      <c r="C433" s="44" t="s">
        <v>30</v>
      </c>
      <c r="D433" s="45" t="s">
        <v>295</v>
      </c>
      <c r="E433" s="19">
        <f>IF($D433&lt;&gt;"Entregado",0,IF($C433="","",VLOOKUP($C433,'DATA DE TARIFA'!$A$4:$C$68,2,FALSE)/1.18))</f>
        <v>8.474576271</v>
      </c>
      <c r="F433" s="19">
        <f>IF($C433="","",IF($D433="",0,VLOOKUP($C433,'DATA DE TARIFA'!$A$4:$C$68,3,FALSE)))</f>
        <v>4.5</v>
      </c>
      <c r="G433" s="66">
        <v>0.0</v>
      </c>
      <c r="H433" s="19">
        <f t="shared" si="1"/>
        <v>8.474576271</v>
      </c>
      <c r="I433" s="19">
        <f t="shared" si="2"/>
        <v>4.5</v>
      </c>
      <c r="J433" s="67"/>
      <c r="K433" s="44" t="str">
        <f>IF($B433="","",IFERROR(VLOOKUP($B433,Tiendas!$A$4:$B$176,2,FALSE),""))</f>
        <v>JORDAN</v>
      </c>
      <c r="L433" s="68" t="s">
        <v>296</v>
      </c>
      <c r="M433" s="44" t="str">
        <f>IF($B433="","",IFERROR(VLOOKUP($B433,Tiendas!$A$4:$I$176,9,FALSE),""))</f>
        <v>Si</v>
      </c>
      <c r="N433" s="71">
        <f t="shared" si="3"/>
        <v>0</v>
      </c>
      <c r="O433" s="71">
        <f t="shared" si="4"/>
        <v>0</v>
      </c>
    </row>
    <row r="434" ht="15.75" customHeight="1">
      <c r="A434" s="17">
        <v>46023.0</v>
      </c>
      <c r="B434" s="44" t="s">
        <v>239</v>
      </c>
      <c r="C434" s="44" t="s">
        <v>30</v>
      </c>
      <c r="D434" s="45" t="s">
        <v>295</v>
      </c>
      <c r="E434" s="19">
        <f>IF($D434&lt;&gt;"Entregado",0,IF($C434="","",VLOOKUP($C434,'DATA DE TARIFA'!$A$4:$C$68,2,FALSE)/1.18))</f>
        <v>8.474576271</v>
      </c>
      <c r="F434" s="19">
        <f>IF($C434="","",IF($D434="",0,VLOOKUP($C434,'DATA DE TARIFA'!$A$4:$C$68,3,FALSE)))</f>
        <v>4.5</v>
      </c>
      <c r="G434" s="66">
        <v>0.0</v>
      </c>
      <c r="H434" s="19">
        <f t="shared" si="1"/>
        <v>8.474576271</v>
      </c>
      <c r="I434" s="19">
        <f t="shared" si="2"/>
        <v>4.5</v>
      </c>
      <c r="J434" s="67"/>
      <c r="K434" s="44" t="str">
        <f>IF($B434="","",IFERROR(VLOOKUP($B434,Tiendas!$A$4:$B$176,2,FALSE),""))</f>
        <v>JORDAN</v>
      </c>
      <c r="L434" s="68" t="s">
        <v>296</v>
      </c>
      <c r="M434" s="44" t="str">
        <f>IF($B434="","",IFERROR(VLOOKUP($B434,Tiendas!$A$4:$I$176,9,FALSE),""))</f>
        <v>Si</v>
      </c>
      <c r="N434" s="71">
        <f t="shared" si="3"/>
        <v>0</v>
      </c>
      <c r="O434" s="71">
        <f t="shared" si="4"/>
        <v>0</v>
      </c>
    </row>
    <row r="435" ht="15.75" customHeight="1">
      <c r="A435" s="17">
        <v>46023.0</v>
      </c>
      <c r="B435" s="44" t="s">
        <v>239</v>
      </c>
      <c r="C435" s="44" t="s">
        <v>21</v>
      </c>
      <c r="D435" s="45" t="s">
        <v>295</v>
      </c>
      <c r="E435" s="19">
        <f>IF($D435&lt;&gt;"Entregado",0,IF($C435="","",VLOOKUP($C435,'DATA DE TARIFA'!$A$4:$C$68,2,FALSE)/1.18))</f>
        <v>10.16949153</v>
      </c>
      <c r="F435" s="19">
        <f>IF($C435="","",IF($D435="",0,VLOOKUP($C435,'DATA DE TARIFA'!$A$4:$C$68,3,FALSE)))</f>
        <v>4.5</v>
      </c>
      <c r="G435" s="66">
        <v>0.0</v>
      </c>
      <c r="H435" s="19">
        <f t="shared" si="1"/>
        <v>10.16949153</v>
      </c>
      <c r="I435" s="19">
        <f t="shared" si="2"/>
        <v>4.5</v>
      </c>
      <c r="J435" s="67"/>
      <c r="K435" s="44" t="str">
        <f>IF($B435="","",IFERROR(VLOOKUP($B435,Tiendas!$A$4:$B$176,2,FALSE),""))</f>
        <v>JORDAN</v>
      </c>
      <c r="L435" s="68" t="s">
        <v>296</v>
      </c>
      <c r="M435" s="44" t="str">
        <f>IF($B435="","",IFERROR(VLOOKUP($B435,Tiendas!$A$4:$I$176,9,FALSE),""))</f>
        <v>Si</v>
      </c>
      <c r="N435" s="71">
        <f t="shared" si="3"/>
        <v>0</v>
      </c>
      <c r="O435" s="71">
        <f t="shared" si="4"/>
        <v>0</v>
      </c>
    </row>
    <row r="436" ht="15.75" customHeight="1">
      <c r="A436" s="17">
        <v>46023.0</v>
      </c>
      <c r="B436" s="44" t="s">
        <v>239</v>
      </c>
      <c r="C436" s="44" t="s">
        <v>21</v>
      </c>
      <c r="D436" s="45" t="s">
        <v>295</v>
      </c>
      <c r="E436" s="19">
        <f>IF($D436&lt;&gt;"Entregado",0,IF($C436="","",VLOOKUP($C436,'DATA DE TARIFA'!$A$4:$C$68,2,FALSE)/1.18))</f>
        <v>10.16949153</v>
      </c>
      <c r="F436" s="19">
        <f>IF($C436="","",IF($D436="",0,VLOOKUP($C436,'DATA DE TARIFA'!$A$4:$C$68,3,FALSE)))</f>
        <v>4.5</v>
      </c>
      <c r="G436" s="66">
        <v>0.0</v>
      </c>
      <c r="H436" s="19">
        <f t="shared" si="1"/>
        <v>10.16949153</v>
      </c>
      <c r="I436" s="19">
        <f t="shared" si="2"/>
        <v>4.5</v>
      </c>
      <c r="J436" s="67"/>
      <c r="K436" s="44" t="str">
        <f>IF($B436="","",IFERROR(VLOOKUP($B436,Tiendas!$A$4:$B$176,2,FALSE),""))</f>
        <v>JORDAN</v>
      </c>
      <c r="L436" s="68" t="s">
        <v>296</v>
      </c>
      <c r="M436" s="44" t="str">
        <f>IF($B436="","",IFERROR(VLOOKUP($B436,Tiendas!$A$4:$I$176,9,FALSE),""))</f>
        <v>Si</v>
      </c>
      <c r="N436" s="71">
        <f t="shared" si="3"/>
        <v>0</v>
      </c>
      <c r="O436" s="71">
        <f t="shared" si="4"/>
        <v>0</v>
      </c>
    </row>
    <row r="437" ht="15.75" customHeight="1">
      <c r="A437" s="17">
        <v>46023.0</v>
      </c>
      <c r="B437" s="44" t="s">
        <v>239</v>
      </c>
      <c r="C437" s="44" t="s">
        <v>51</v>
      </c>
      <c r="D437" s="45" t="s">
        <v>295</v>
      </c>
      <c r="E437" s="19">
        <f>IF($D437&lt;&gt;"Entregado",0,IF($C437="","",VLOOKUP($C437,'DATA DE TARIFA'!$A$4:$C$68,2,FALSE)/1.18))</f>
        <v>10.16949153</v>
      </c>
      <c r="F437" s="19">
        <f>IF($C437="","",IF($D437="",0,VLOOKUP($C437,'DATA DE TARIFA'!$A$4:$C$68,3,FALSE)))</f>
        <v>5.5</v>
      </c>
      <c r="G437" s="66">
        <v>0.0</v>
      </c>
      <c r="H437" s="19">
        <f t="shared" si="1"/>
        <v>10.16949153</v>
      </c>
      <c r="I437" s="19">
        <f t="shared" si="2"/>
        <v>5.5</v>
      </c>
      <c r="J437" s="67"/>
      <c r="K437" s="44" t="str">
        <f>IF($B437="","",IFERROR(VLOOKUP($B437,Tiendas!$A$4:$B$176,2,FALSE),""))</f>
        <v>JORDAN</v>
      </c>
      <c r="L437" s="68" t="s">
        <v>296</v>
      </c>
      <c r="M437" s="44" t="str">
        <f>IF($B437="","",IFERROR(VLOOKUP($B437,Tiendas!$A$4:$I$176,9,FALSE),""))</f>
        <v>Si</v>
      </c>
      <c r="N437" s="71">
        <f t="shared" si="3"/>
        <v>0</v>
      </c>
      <c r="O437" s="71">
        <f t="shared" si="4"/>
        <v>0</v>
      </c>
    </row>
    <row r="438" ht="15.75" customHeight="1">
      <c r="A438" s="17">
        <v>46023.0</v>
      </c>
      <c r="B438" s="44" t="s">
        <v>239</v>
      </c>
      <c r="C438" s="44" t="s">
        <v>83</v>
      </c>
      <c r="D438" s="45" t="s">
        <v>295</v>
      </c>
      <c r="E438" s="19">
        <f>IF($D438&lt;&gt;"Entregado",0,IF($C438="","",VLOOKUP($C438,'DATA DE TARIFA'!$A$4:$C$68,2,FALSE)/1.18))</f>
        <v>14.40677966</v>
      </c>
      <c r="F438" s="19">
        <f>IF($C438="","",IF($D438="",0,VLOOKUP($C438,'DATA DE TARIFA'!$A$4:$C$68,3,FALSE)))</f>
        <v>8.5</v>
      </c>
      <c r="G438" s="66">
        <v>0.0</v>
      </c>
      <c r="H438" s="19">
        <f t="shared" si="1"/>
        <v>14.40677966</v>
      </c>
      <c r="I438" s="19">
        <f t="shared" si="2"/>
        <v>8.5</v>
      </c>
      <c r="J438" s="67"/>
      <c r="K438" s="44" t="str">
        <f>IF($B438="","",IFERROR(VLOOKUP($B438,Tiendas!$A$4:$B$176,2,FALSE),""))</f>
        <v>JORDAN</v>
      </c>
      <c r="L438" s="68" t="s">
        <v>296</v>
      </c>
      <c r="M438" s="44" t="str">
        <f>IF($B438="","",IFERROR(VLOOKUP($B438,Tiendas!$A$4:$I$176,9,FALSE),""))</f>
        <v>Si</v>
      </c>
      <c r="N438" s="71">
        <f t="shared" si="3"/>
        <v>0</v>
      </c>
      <c r="O438" s="71">
        <f t="shared" si="4"/>
        <v>0</v>
      </c>
    </row>
    <row r="439" ht="15.75" customHeight="1">
      <c r="A439" s="17">
        <v>46023.0</v>
      </c>
      <c r="B439" s="44" t="s">
        <v>239</v>
      </c>
      <c r="C439" s="44" t="s">
        <v>64</v>
      </c>
      <c r="D439" s="45" t="s">
        <v>295</v>
      </c>
      <c r="E439" s="19">
        <f>IF($D439&lt;&gt;"Entregado",0,IF($C439="","",VLOOKUP($C439,'DATA DE TARIFA'!$A$4:$C$68,2,FALSE)/1.18))</f>
        <v>8.474576271</v>
      </c>
      <c r="F439" s="19">
        <f>IF($C439="","",IF($D439="",0,VLOOKUP($C439,'DATA DE TARIFA'!$A$4:$C$68,3,FALSE)))</f>
        <v>4.5</v>
      </c>
      <c r="G439" s="66">
        <v>0.0</v>
      </c>
      <c r="H439" s="19">
        <f t="shared" si="1"/>
        <v>8.474576271</v>
      </c>
      <c r="I439" s="19">
        <f t="shared" si="2"/>
        <v>4.5</v>
      </c>
      <c r="J439" s="67"/>
      <c r="K439" s="44" t="str">
        <f>IF($B439="","",IFERROR(VLOOKUP($B439,Tiendas!$A$4:$B$176,2,FALSE),""))</f>
        <v>JORDAN</v>
      </c>
      <c r="L439" s="68" t="s">
        <v>296</v>
      </c>
      <c r="M439" s="44" t="str">
        <f>IF($B439="","",IFERROR(VLOOKUP($B439,Tiendas!$A$4:$I$176,9,FALSE),""))</f>
        <v>Si</v>
      </c>
      <c r="N439" s="71">
        <f t="shared" si="3"/>
        <v>0</v>
      </c>
      <c r="O439" s="71">
        <f t="shared" si="4"/>
        <v>0</v>
      </c>
    </row>
    <row r="440" ht="15.75" customHeight="1">
      <c r="A440" s="17">
        <v>46023.0</v>
      </c>
      <c r="B440" s="44" t="s">
        <v>239</v>
      </c>
      <c r="C440" s="44" t="s">
        <v>44</v>
      </c>
      <c r="D440" s="45" t="s">
        <v>295</v>
      </c>
      <c r="E440" s="19">
        <f>IF($D440&lt;&gt;"Entregado",0,IF($C440="","",VLOOKUP($C440,'DATA DE TARIFA'!$A$4:$C$68,2,FALSE)/1.18))</f>
        <v>10.16949153</v>
      </c>
      <c r="F440" s="19">
        <f>IF($C440="","",IF($D440="",0,VLOOKUP($C440,'DATA DE TARIFA'!$A$4:$C$68,3,FALSE)))</f>
        <v>5.5</v>
      </c>
      <c r="G440" s="66">
        <v>0.0</v>
      </c>
      <c r="H440" s="19">
        <f t="shared" si="1"/>
        <v>10.16949153</v>
      </c>
      <c r="I440" s="19">
        <f t="shared" si="2"/>
        <v>5.5</v>
      </c>
      <c r="J440" s="67"/>
      <c r="K440" s="44" t="str">
        <f>IF($B440="","",IFERROR(VLOOKUP($B440,Tiendas!$A$4:$B$176,2,FALSE),""))</f>
        <v>JORDAN</v>
      </c>
      <c r="L440" s="68" t="s">
        <v>296</v>
      </c>
      <c r="M440" s="44" t="str">
        <f>IF($B440="","",IFERROR(VLOOKUP($B440,Tiendas!$A$4:$I$176,9,FALSE),""))</f>
        <v>Si</v>
      </c>
      <c r="N440" s="71">
        <f t="shared" si="3"/>
        <v>0</v>
      </c>
      <c r="O440" s="71">
        <f t="shared" si="4"/>
        <v>0</v>
      </c>
    </row>
    <row r="441" ht="15.75" customHeight="1">
      <c r="A441" s="17">
        <v>46023.0</v>
      </c>
      <c r="B441" s="44" t="s">
        <v>239</v>
      </c>
      <c r="C441" s="44" t="s">
        <v>65</v>
      </c>
      <c r="D441" s="45" t="s">
        <v>295</v>
      </c>
      <c r="E441" s="19">
        <f>IF($D441&lt;&gt;"Entregado",0,IF($C441="","",VLOOKUP($C441,'DATA DE TARIFA'!$A$4:$C$68,2,FALSE)/1.18))</f>
        <v>10.16949153</v>
      </c>
      <c r="F441" s="19">
        <f>IF($C441="","",IF($D441="",0,VLOOKUP($C441,'DATA DE TARIFA'!$A$4:$C$68,3,FALSE)))</f>
        <v>4.5</v>
      </c>
      <c r="G441" s="66">
        <v>0.0</v>
      </c>
      <c r="H441" s="19">
        <f t="shared" si="1"/>
        <v>10.16949153</v>
      </c>
      <c r="I441" s="19">
        <f t="shared" si="2"/>
        <v>4.5</v>
      </c>
      <c r="J441" s="67"/>
      <c r="K441" s="44" t="str">
        <f>IF($B441="","",IFERROR(VLOOKUP($B441,Tiendas!$A$4:$B$176,2,FALSE),""))</f>
        <v>JORDAN</v>
      </c>
      <c r="L441" s="68" t="s">
        <v>296</v>
      </c>
      <c r="M441" s="44" t="str">
        <f>IF($B441="","",IFERROR(VLOOKUP($B441,Tiendas!$A$4:$I$176,9,FALSE),""))</f>
        <v>Si</v>
      </c>
      <c r="N441" s="71">
        <f t="shared" si="3"/>
        <v>0</v>
      </c>
      <c r="O441" s="71">
        <f t="shared" si="4"/>
        <v>0</v>
      </c>
    </row>
    <row r="442" ht="15.75" customHeight="1">
      <c r="A442" s="17">
        <v>46023.0</v>
      </c>
      <c r="B442" s="44" t="s">
        <v>239</v>
      </c>
      <c r="C442" s="44" t="s">
        <v>64</v>
      </c>
      <c r="D442" s="45" t="s">
        <v>295</v>
      </c>
      <c r="E442" s="19">
        <f>IF($D442&lt;&gt;"Entregado",0,IF($C442="","",VLOOKUP($C442,'DATA DE TARIFA'!$A$4:$C$68,2,FALSE)/1.18))</f>
        <v>8.474576271</v>
      </c>
      <c r="F442" s="19">
        <f>IF($C442="","",IF($D442="",0,VLOOKUP($C442,'DATA DE TARIFA'!$A$4:$C$68,3,FALSE)))</f>
        <v>4.5</v>
      </c>
      <c r="G442" s="66">
        <v>0.0</v>
      </c>
      <c r="H442" s="19">
        <f t="shared" si="1"/>
        <v>8.474576271</v>
      </c>
      <c r="I442" s="19">
        <f t="shared" si="2"/>
        <v>4.5</v>
      </c>
      <c r="J442" s="67"/>
      <c r="K442" s="44" t="str">
        <f>IF($B442="","",IFERROR(VLOOKUP($B442,Tiendas!$A$4:$B$176,2,FALSE),""))</f>
        <v>JORDAN</v>
      </c>
      <c r="L442" s="68" t="s">
        <v>296</v>
      </c>
      <c r="M442" s="44" t="str">
        <f>IF($B442="","",IFERROR(VLOOKUP($B442,Tiendas!$A$4:$I$176,9,FALSE),""))</f>
        <v>Si</v>
      </c>
      <c r="N442" s="71">
        <f t="shared" si="3"/>
        <v>0</v>
      </c>
      <c r="O442" s="71">
        <f t="shared" si="4"/>
        <v>0</v>
      </c>
    </row>
    <row r="443" ht="15.75" customHeight="1">
      <c r="A443" s="17">
        <v>46023.0</v>
      </c>
      <c r="B443" s="44" t="s">
        <v>239</v>
      </c>
      <c r="C443" s="44" t="s">
        <v>34</v>
      </c>
      <c r="D443" s="45" t="s">
        <v>295</v>
      </c>
      <c r="E443" s="19">
        <f>IF($D443&lt;&gt;"Entregado",0,IF($C443="","",VLOOKUP($C443,'DATA DE TARIFA'!$A$4:$C$68,2,FALSE)/1.18))</f>
        <v>10.16949153</v>
      </c>
      <c r="F443" s="19">
        <f>IF($C443="","",IF($D443="",0,VLOOKUP($C443,'DATA DE TARIFA'!$A$4:$C$68,3,FALSE)))</f>
        <v>4.5</v>
      </c>
      <c r="G443" s="66">
        <v>0.0</v>
      </c>
      <c r="H443" s="19">
        <f t="shared" si="1"/>
        <v>10.16949153</v>
      </c>
      <c r="I443" s="19">
        <f t="shared" si="2"/>
        <v>4.5</v>
      </c>
      <c r="J443" s="67"/>
      <c r="K443" s="44" t="str">
        <f>IF($B443="","",IFERROR(VLOOKUP($B443,Tiendas!$A$4:$B$176,2,FALSE),""))</f>
        <v>JORDAN</v>
      </c>
      <c r="L443" s="68" t="s">
        <v>296</v>
      </c>
      <c r="M443" s="44" t="str">
        <f>IF($B443="","",IFERROR(VLOOKUP($B443,Tiendas!$A$4:$I$176,9,FALSE),""))</f>
        <v>Si</v>
      </c>
      <c r="N443" s="71">
        <f t="shared" si="3"/>
        <v>0</v>
      </c>
      <c r="O443" s="71">
        <f t="shared" si="4"/>
        <v>0</v>
      </c>
    </row>
    <row r="444" ht="15.75" customHeight="1">
      <c r="A444" s="17">
        <v>46023.0</v>
      </c>
      <c r="B444" s="44" t="s">
        <v>239</v>
      </c>
      <c r="C444" s="72" t="s">
        <v>64</v>
      </c>
      <c r="D444" s="45" t="s">
        <v>295</v>
      </c>
      <c r="E444" s="19">
        <f>IF($D444&lt;&gt;"Entregado",0,IF($C444="","",VLOOKUP($C444,'DATA DE TARIFA'!$A$4:$C$68,2,FALSE)/1.18))</f>
        <v>8.474576271</v>
      </c>
      <c r="F444" s="19">
        <f>IF($C444="","",IF($D444="",0,VLOOKUP($C444,'DATA DE TARIFA'!$A$4:$C$68,3,FALSE)))</f>
        <v>4.5</v>
      </c>
      <c r="G444" s="66">
        <v>0.0</v>
      </c>
      <c r="H444" s="19">
        <f t="shared" si="1"/>
        <v>8.474576271</v>
      </c>
      <c r="I444" s="19">
        <f t="shared" si="2"/>
        <v>4.5</v>
      </c>
      <c r="J444" s="67"/>
      <c r="K444" s="44" t="str">
        <f>IF($B444="","",IFERROR(VLOOKUP($B444,Tiendas!$A$4:$B$176,2,FALSE),""))</f>
        <v>JORDAN</v>
      </c>
      <c r="L444" s="68" t="s">
        <v>296</v>
      </c>
      <c r="M444" s="44" t="str">
        <f>IF($B444="","",IFERROR(VLOOKUP($B444,Tiendas!$A$4:$I$176,9,FALSE),""))</f>
        <v>Si</v>
      </c>
      <c r="N444" s="71">
        <f t="shared" si="3"/>
        <v>0</v>
      </c>
      <c r="O444" s="71">
        <f t="shared" si="4"/>
        <v>0</v>
      </c>
    </row>
    <row r="445" ht="15.75" customHeight="1">
      <c r="A445" s="17">
        <v>46023.0</v>
      </c>
      <c r="B445" s="44" t="s">
        <v>239</v>
      </c>
      <c r="C445" s="44" t="s">
        <v>68</v>
      </c>
      <c r="D445" s="45" t="s">
        <v>295</v>
      </c>
      <c r="E445" s="19">
        <f>IF($D445&lt;&gt;"Entregado",0,IF($C445="","",VLOOKUP($C445,'DATA DE TARIFA'!$A$4:$C$68,2,FALSE)/1.18))</f>
        <v>11.86440678</v>
      </c>
      <c r="F445" s="19">
        <f>IF($C445="","",IF($D445="",0,VLOOKUP($C445,'DATA DE TARIFA'!$A$4:$C$68,3,FALSE)))</f>
        <v>7.5</v>
      </c>
      <c r="G445" s="66">
        <v>0.0</v>
      </c>
      <c r="H445" s="19">
        <f t="shared" si="1"/>
        <v>11.86440678</v>
      </c>
      <c r="I445" s="19">
        <f t="shared" si="2"/>
        <v>7.5</v>
      </c>
      <c r="J445" s="67"/>
      <c r="K445" s="44" t="str">
        <f>IF($B445="","",IFERROR(VLOOKUP($B445,Tiendas!$A$4:$B$176,2,FALSE),""))</f>
        <v>JORDAN</v>
      </c>
      <c r="L445" s="68" t="s">
        <v>296</v>
      </c>
      <c r="M445" s="44" t="str">
        <f>IF($B445="","",IFERROR(VLOOKUP($B445,Tiendas!$A$4:$I$176,9,FALSE),""))</f>
        <v>Si</v>
      </c>
      <c r="N445" s="71">
        <f t="shared" si="3"/>
        <v>0</v>
      </c>
      <c r="O445" s="71">
        <f t="shared" si="4"/>
        <v>0</v>
      </c>
    </row>
    <row r="446" ht="15.75" customHeight="1">
      <c r="A446" s="17">
        <v>46023.0</v>
      </c>
      <c r="B446" s="44" t="s">
        <v>239</v>
      </c>
      <c r="C446" s="44" t="s">
        <v>26</v>
      </c>
      <c r="D446" s="45" t="s">
        <v>295</v>
      </c>
      <c r="E446" s="19">
        <f>IF($D446&lt;&gt;"Entregado",0,IF($C446="","",VLOOKUP($C446,'DATA DE TARIFA'!$A$4:$C$68,2,FALSE)/1.18))</f>
        <v>10.16949153</v>
      </c>
      <c r="F446" s="19">
        <f>IF($C446="","",IF($D446="",0,VLOOKUP($C446,'DATA DE TARIFA'!$A$4:$C$68,3,FALSE)))</f>
        <v>5</v>
      </c>
      <c r="G446" s="66">
        <v>0.0</v>
      </c>
      <c r="H446" s="19">
        <f t="shared" si="1"/>
        <v>10.16949153</v>
      </c>
      <c r="I446" s="19">
        <f t="shared" si="2"/>
        <v>5</v>
      </c>
      <c r="J446" s="67"/>
      <c r="K446" s="44" t="str">
        <f>IF($B446="","",IFERROR(VLOOKUP($B446,Tiendas!$A$4:$B$176,2,FALSE),""))</f>
        <v>JORDAN</v>
      </c>
      <c r="L446" s="68" t="s">
        <v>296</v>
      </c>
      <c r="M446" s="44" t="str">
        <f>IF($B446="","",IFERROR(VLOOKUP($B446,Tiendas!$A$4:$I$176,9,FALSE),""))</f>
        <v>Si</v>
      </c>
      <c r="N446" s="71">
        <f t="shared" si="3"/>
        <v>0</v>
      </c>
      <c r="O446" s="71">
        <f t="shared" si="4"/>
        <v>0</v>
      </c>
    </row>
    <row r="447" ht="15.75" customHeight="1">
      <c r="A447" s="17">
        <v>46023.0</v>
      </c>
      <c r="B447" s="44" t="s">
        <v>239</v>
      </c>
      <c r="C447" s="44" t="s">
        <v>49</v>
      </c>
      <c r="D447" s="45" t="s">
        <v>295</v>
      </c>
      <c r="E447" s="19">
        <f>IF($D447&lt;&gt;"Entregado",0,IF($C447="","",VLOOKUP($C447,'DATA DE TARIFA'!$A$4:$C$68,2,FALSE)/1.18))</f>
        <v>10.16949153</v>
      </c>
      <c r="F447" s="19">
        <f>IF($C447="","",IF($D447="",0,VLOOKUP($C447,'DATA DE TARIFA'!$A$4:$C$68,3,FALSE)))</f>
        <v>5.5</v>
      </c>
      <c r="G447" s="66">
        <v>0.0</v>
      </c>
      <c r="H447" s="19">
        <f t="shared" si="1"/>
        <v>10.16949153</v>
      </c>
      <c r="I447" s="19">
        <f t="shared" si="2"/>
        <v>5.5</v>
      </c>
      <c r="J447" s="67"/>
      <c r="K447" s="44" t="str">
        <f>IF($B447="","",IFERROR(VLOOKUP($B447,Tiendas!$A$4:$B$176,2,FALSE),""))</f>
        <v>JORDAN</v>
      </c>
      <c r="L447" s="68" t="s">
        <v>296</v>
      </c>
      <c r="M447" s="44" t="str">
        <f>IF($B447="","",IFERROR(VLOOKUP($B447,Tiendas!$A$4:$I$176,9,FALSE),""))</f>
        <v>Si</v>
      </c>
      <c r="N447" s="71">
        <f t="shared" si="3"/>
        <v>0</v>
      </c>
      <c r="O447" s="71">
        <f t="shared" si="4"/>
        <v>0</v>
      </c>
    </row>
    <row r="448" ht="15.75" customHeight="1">
      <c r="A448" s="17">
        <v>46023.0</v>
      </c>
      <c r="B448" s="44" t="s">
        <v>239</v>
      </c>
      <c r="C448" s="44" t="s">
        <v>65</v>
      </c>
      <c r="D448" s="45" t="s">
        <v>295</v>
      </c>
      <c r="E448" s="19">
        <f>IF($D448&lt;&gt;"Entregado",0,IF($C448="","",VLOOKUP($C448,'DATA DE TARIFA'!$A$4:$C$68,2,FALSE)/1.18))</f>
        <v>10.16949153</v>
      </c>
      <c r="F448" s="19">
        <f>IF($C448="","",IF($D448="",0,VLOOKUP($C448,'DATA DE TARIFA'!$A$4:$C$68,3,FALSE)))</f>
        <v>4.5</v>
      </c>
      <c r="G448" s="66">
        <v>0.0</v>
      </c>
      <c r="H448" s="19">
        <f t="shared" si="1"/>
        <v>10.16949153</v>
      </c>
      <c r="I448" s="19">
        <f t="shared" si="2"/>
        <v>4.5</v>
      </c>
      <c r="J448" s="67"/>
      <c r="K448" s="44" t="str">
        <f>IF($B448="","",IFERROR(VLOOKUP($B448,Tiendas!$A$4:$B$176,2,FALSE),""))</f>
        <v>JORDAN</v>
      </c>
      <c r="L448" s="68" t="s">
        <v>296</v>
      </c>
      <c r="M448" s="44" t="str">
        <f>IF($B448="","",IFERROR(VLOOKUP($B448,Tiendas!$A$4:$I$176,9,FALSE),""))</f>
        <v>Si</v>
      </c>
      <c r="N448" s="71">
        <f t="shared" si="3"/>
        <v>0</v>
      </c>
      <c r="O448" s="71">
        <f t="shared" si="4"/>
        <v>0</v>
      </c>
    </row>
    <row r="449" ht="15.75" customHeight="1">
      <c r="A449" s="17">
        <v>46023.0</v>
      </c>
      <c r="B449" s="44" t="s">
        <v>239</v>
      </c>
      <c r="C449" s="44" t="s">
        <v>49</v>
      </c>
      <c r="D449" s="45" t="s">
        <v>295</v>
      </c>
      <c r="E449" s="19">
        <f>IF($D449&lt;&gt;"Entregado",0,IF($C449="","",VLOOKUP($C449,'DATA DE TARIFA'!$A$4:$C$68,2,FALSE)/1.18))</f>
        <v>10.16949153</v>
      </c>
      <c r="F449" s="19">
        <f>IF($C449="","",IF($D449="",0,VLOOKUP($C449,'DATA DE TARIFA'!$A$4:$C$68,3,FALSE)))</f>
        <v>5.5</v>
      </c>
      <c r="G449" s="66">
        <v>0.0</v>
      </c>
      <c r="H449" s="19">
        <f t="shared" si="1"/>
        <v>10.16949153</v>
      </c>
      <c r="I449" s="19">
        <f t="shared" si="2"/>
        <v>5.5</v>
      </c>
      <c r="J449" s="67"/>
      <c r="K449" s="44" t="str">
        <f>IF($B449="","",IFERROR(VLOOKUP($B449,Tiendas!$A$4:$B$176,2,FALSE),""))</f>
        <v>JORDAN</v>
      </c>
      <c r="L449" s="68" t="s">
        <v>296</v>
      </c>
      <c r="M449" s="44" t="str">
        <f>IF($B449="","",IFERROR(VLOOKUP($B449,Tiendas!$A$4:$I$176,9,FALSE),""))</f>
        <v>Si</v>
      </c>
      <c r="N449" s="71">
        <f t="shared" si="3"/>
        <v>0</v>
      </c>
      <c r="O449" s="71">
        <f t="shared" si="4"/>
        <v>0</v>
      </c>
    </row>
    <row r="450" ht="15.75" customHeight="1">
      <c r="A450" s="17">
        <v>46023.0</v>
      </c>
      <c r="B450" s="44" t="s">
        <v>239</v>
      </c>
      <c r="C450" s="44" t="s">
        <v>51</v>
      </c>
      <c r="D450" s="45" t="s">
        <v>295</v>
      </c>
      <c r="E450" s="19">
        <f>IF($D450&lt;&gt;"Entregado",0,IF($C450="","",VLOOKUP($C450,'DATA DE TARIFA'!$A$4:$C$68,2,FALSE)/1.18))</f>
        <v>10.16949153</v>
      </c>
      <c r="F450" s="19">
        <f>IF($C450="","",IF($D450="",0,VLOOKUP($C450,'DATA DE TARIFA'!$A$4:$C$68,3,FALSE)))</f>
        <v>5.5</v>
      </c>
      <c r="G450" s="66">
        <v>0.0</v>
      </c>
      <c r="H450" s="19">
        <f t="shared" si="1"/>
        <v>10.16949153</v>
      </c>
      <c r="I450" s="19">
        <f t="shared" si="2"/>
        <v>5.5</v>
      </c>
      <c r="J450" s="67"/>
      <c r="K450" s="44" t="str">
        <f>IF($B450="","",IFERROR(VLOOKUP($B450,Tiendas!$A$4:$B$176,2,FALSE),""))</f>
        <v>JORDAN</v>
      </c>
      <c r="L450" s="68" t="s">
        <v>296</v>
      </c>
      <c r="M450" s="44" t="str">
        <f>IF($B450="","",IFERROR(VLOOKUP($B450,Tiendas!$A$4:$I$176,9,FALSE),""))</f>
        <v>Si</v>
      </c>
      <c r="N450" s="71">
        <f t="shared" si="3"/>
        <v>0</v>
      </c>
      <c r="O450" s="71">
        <f t="shared" si="4"/>
        <v>0</v>
      </c>
    </row>
    <row r="451" ht="15.75" customHeight="1">
      <c r="A451" s="17">
        <v>46023.0</v>
      </c>
      <c r="B451" s="44" t="s">
        <v>239</v>
      </c>
      <c r="C451" s="44" t="s">
        <v>51</v>
      </c>
      <c r="D451" s="45" t="s">
        <v>295</v>
      </c>
      <c r="E451" s="19">
        <f>IF($D451&lt;&gt;"Entregado",0,IF($C451="","",VLOOKUP($C451,'DATA DE TARIFA'!$A$4:$C$68,2,FALSE)/1.18))</f>
        <v>10.16949153</v>
      </c>
      <c r="F451" s="19">
        <f>IF($C451="","",IF($D451="",0,VLOOKUP($C451,'DATA DE TARIFA'!$A$4:$C$68,3,FALSE)))</f>
        <v>5.5</v>
      </c>
      <c r="G451" s="66">
        <v>0.0</v>
      </c>
      <c r="H451" s="19">
        <f t="shared" si="1"/>
        <v>10.16949153</v>
      </c>
      <c r="I451" s="19">
        <f t="shared" si="2"/>
        <v>5.5</v>
      </c>
      <c r="J451" s="67"/>
      <c r="K451" s="44" t="str">
        <f>IF($B451="","",IFERROR(VLOOKUP($B451,Tiendas!$A$4:$B$176,2,FALSE),""))</f>
        <v>JORDAN</v>
      </c>
      <c r="L451" s="68" t="s">
        <v>296</v>
      </c>
      <c r="M451" s="44" t="str">
        <f>IF($B451="","",IFERROR(VLOOKUP($B451,Tiendas!$A$4:$I$176,9,FALSE),""))</f>
        <v>Si</v>
      </c>
      <c r="N451" s="71">
        <f t="shared" si="3"/>
        <v>0</v>
      </c>
      <c r="O451" s="71">
        <f t="shared" si="4"/>
        <v>0</v>
      </c>
    </row>
    <row r="452" ht="15.75" customHeight="1">
      <c r="A452" s="17">
        <v>46023.0</v>
      </c>
      <c r="B452" s="44" t="s">
        <v>239</v>
      </c>
      <c r="C452" s="44" t="s">
        <v>65</v>
      </c>
      <c r="D452" s="45" t="s">
        <v>295</v>
      </c>
      <c r="E452" s="19">
        <f>IF($D452&lt;&gt;"Entregado",0,IF($C452="","",VLOOKUP($C452,'DATA DE TARIFA'!$A$4:$C$68,2,FALSE)/1.18))</f>
        <v>10.16949153</v>
      </c>
      <c r="F452" s="19">
        <f>IF($C452="","",IF($D452="",0,VLOOKUP($C452,'DATA DE TARIFA'!$A$4:$C$68,3,FALSE)))</f>
        <v>4.5</v>
      </c>
      <c r="G452" s="66">
        <v>0.0</v>
      </c>
      <c r="H452" s="19">
        <f t="shared" si="1"/>
        <v>10.16949153</v>
      </c>
      <c r="I452" s="19">
        <f t="shared" si="2"/>
        <v>4.5</v>
      </c>
      <c r="J452" s="67"/>
      <c r="K452" s="44" t="str">
        <f>IF($B452="","",IFERROR(VLOOKUP($B452,Tiendas!$A$4:$B$176,2,FALSE),""))</f>
        <v>JORDAN</v>
      </c>
      <c r="L452" s="68" t="s">
        <v>296</v>
      </c>
      <c r="M452" s="44" t="str">
        <f>IF($B452="","",IFERROR(VLOOKUP($B452,Tiendas!$A$4:$I$176,9,FALSE),""))</f>
        <v>Si</v>
      </c>
      <c r="N452" s="71">
        <f t="shared" si="3"/>
        <v>0</v>
      </c>
      <c r="O452" s="71">
        <f t="shared" si="4"/>
        <v>0</v>
      </c>
    </row>
    <row r="453" ht="15.75" customHeight="1">
      <c r="A453" s="17">
        <v>46023.0</v>
      </c>
      <c r="B453" s="44" t="s">
        <v>239</v>
      </c>
      <c r="C453" s="44" t="s">
        <v>51</v>
      </c>
      <c r="D453" s="45" t="s">
        <v>295</v>
      </c>
      <c r="E453" s="19">
        <f>IF($D453&lt;&gt;"Entregado",0,IF($C453="","",VLOOKUP($C453,'DATA DE TARIFA'!$A$4:$C$68,2,FALSE)/1.18))</f>
        <v>10.16949153</v>
      </c>
      <c r="F453" s="19">
        <f>IF($C453="","",IF($D453="",0,VLOOKUP($C453,'DATA DE TARIFA'!$A$4:$C$68,3,FALSE)))</f>
        <v>5.5</v>
      </c>
      <c r="G453" s="66">
        <v>0.0</v>
      </c>
      <c r="H453" s="19">
        <f t="shared" si="1"/>
        <v>10.16949153</v>
      </c>
      <c r="I453" s="19">
        <f t="shared" si="2"/>
        <v>5.5</v>
      </c>
      <c r="J453" s="67"/>
      <c r="K453" s="44" t="str">
        <f>IF($B453="","",IFERROR(VLOOKUP($B453,Tiendas!$A$4:$B$176,2,FALSE),""))</f>
        <v>JORDAN</v>
      </c>
      <c r="L453" s="68" t="s">
        <v>296</v>
      </c>
      <c r="M453" s="44" t="str">
        <f>IF($B453="","",IFERROR(VLOOKUP($B453,Tiendas!$A$4:$I$176,9,FALSE),""))</f>
        <v>Si</v>
      </c>
      <c r="N453" s="71">
        <f t="shared" si="3"/>
        <v>0</v>
      </c>
      <c r="O453" s="71">
        <f t="shared" si="4"/>
        <v>0</v>
      </c>
    </row>
    <row r="454" ht="15.75" customHeight="1">
      <c r="A454" s="17">
        <v>46023.0</v>
      </c>
      <c r="B454" s="44" t="s">
        <v>239</v>
      </c>
      <c r="C454" s="44" t="s">
        <v>61</v>
      </c>
      <c r="D454" s="45" t="s">
        <v>295</v>
      </c>
      <c r="E454" s="19">
        <f>IF($D454&lt;&gt;"Entregado",0,IF($C454="","",VLOOKUP($C454,'DATA DE TARIFA'!$A$4:$C$68,2,FALSE)/1.18))</f>
        <v>8.474576271</v>
      </c>
      <c r="F454" s="19">
        <f>IF($C454="","",IF($D454="",0,VLOOKUP($C454,'DATA DE TARIFA'!$A$4:$C$68,3,FALSE)))</f>
        <v>4.5</v>
      </c>
      <c r="G454" s="66">
        <v>0.0</v>
      </c>
      <c r="H454" s="19">
        <f t="shared" si="1"/>
        <v>8.474576271</v>
      </c>
      <c r="I454" s="19">
        <f t="shared" si="2"/>
        <v>4.5</v>
      </c>
      <c r="J454" s="67"/>
      <c r="K454" s="44" t="str">
        <f>IF($B454="","",IFERROR(VLOOKUP($B454,Tiendas!$A$4:$B$176,2,FALSE),""))</f>
        <v>JORDAN</v>
      </c>
      <c r="L454" s="68" t="s">
        <v>296</v>
      </c>
      <c r="M454" s="44" t="str">
        <f>IF($B454="","",IFERROR(VLOOKUP($B454,Tiendas!$A$4:$I$176,9,FALSE),""))</f>
        <v>Si</v>
      </c>
      <c r="N454" s="71">
        <f t="shared" si="3"/>
        <v>0</v>
      </c>
      <c r="O454" s="71">
        <f t="shared" si="4"/>
        <v>0</v>
      </c>
    </row>
    <row r="455" ht="15.75" customHeight="1">
      <c r="A455" s="17">
        <v>46023.0</v>
      </c>
      <c r="B455" s="44" t="s">
        <v>239</v>
      </c>
      <c r="C455" s="44" t="s">
        <v>32</v>
      </c>
      <c r="D455" s="45" t="s">
        <v>295</v>
      </c>
      <c r="E455" s="19">
        <f>IF($D455&lt;&gt;"Entregado",0,IF($C455="","",VLOOKUP($C455,'DATA DE TARIFA'!$A$4:$C$68,2,FALSE)/1.18))</f>
        <v>8.474576271</v>
      </c>
      <c r="F455" s="19">
        <f>IF($C455="","",IF($D455="",0,VLOOKUP($C455,'DATA DE TARIFA'!$A$4:$C$68,3,FALSE)))</f>
        <v>4.5</v>
      </c>
      <c r="G455" s="66">
        <v>0.0</v>
      </c>
      <c r="H455" s="19">
        <f t="shared" si="1"/>
        <v>8.474576271</v>
      </c>
      <c r="I455" s="19">
        <f t="shared" si="2"/>
        <v>4.5</v>
      </c>
      <c r="J455" s="67"/>
      <c r="K455" s="44" t="str">
        <f>IF($B455="","",IFERROR(VLOOKUP($B455,Tiendas!$A$4:$B$176,2,FALSE),""))</f>
        <v>JORDAN</v>
      </c>
      <c r="L455" s="68" t="s">
        <v>296</v>
      </c>
      <c r="M455" s="44" t="str">
        <f>IF($B455="","",IFERROR(VLOOKUP($B455,Tiendas!$A$4:$I$176,9,FALSE),""))</f>
        <v>Si</v>
      </c>
      <c r="N455" s="71">
        <f t="shared" si="3"/>
        <v>0</v>
      </c>
      <c r="O455" s="71">
        <f t="shared" si="4"/>
        <v>0</v>
      </c>
    </row>
    <row r="456" ht="15.75" customHeight="1">
      <c r="A456" s="17">
        <v>46023.0</v>
      </c>
      <c r="B456" s="44" t="s">
        <v>239</v>
      </c>
      <c r="C456" s="44" t="s">
        <v>92</v>
      </c>
      <c r="D456" s="45" t="s">
        <v>295</v>
      </c>
      <c r="E456" s="19">
        <f>IF($D456&lt;&gt;"Entregado",0,IF($C456="","",VLOOKUP($C456,'DATA DE TARIFA'!$A$4:$C$68,2,FALSE)/1.18))</f>
        <v>17.79661017</v>
      </c>
      <c r="F456" s="19">
        <f>IF($C456="","",IF($D456="",0,VLOOKUP($C456,'DATA DE TARIFA'!$A$4:$C$68,3,FALSE)))</f>
        <v>10</v>
      </c>
      <c r="G456" s="66">
        <v>0.0</v>
      </c>
      <c r="H456" s="19">
        <f t="shared" si="1"/>
        <v>17.79661017</v>
      </c>
      <c r="I456" s="19">
        <f t="shared" si="2"/>
        <v>10</v>
      </c>
      <c r="J456" s="67"/>
      <c r="K456" s="44" t="str">
        <f>IF($B456="","",IFERROR(VLOOKUP($B456,Tiendas!$A$4:$B$176,2,FALSE),""))</f>
        <v>JORDAN</v>
      </c>
      <c r="L456" s="68" t="s">
        <v>296</v>
      </c>
      <c r="M456" s="44" t="str">
        <f>IF($B456="","",IFERROR(VLOOKUP($B456,Tiendas!$A$4:$I$176,9,FALSE),""))</f>
        <v>Si</v>
      </c>
      <c r="N456" s="71">
        <f t="shared" si="3"/>
        <v>0</v>
      </c>
      <c r="O456" s="71">
        <f t="shared" si="4"/>
        <v>0</v>
      </c>
    </row>
    <row r="457" ht="15.75" customHeight="1">
      <c r="A457" s="17">
        <v>46023.0</v>
      </c>
      <c r="B457" s="44" t="s">
        <v>239</v>
      </c>
      <c r="C457" s="44" t="s">
        <v>47</v>
      </c>
      <c r="D457" s="45" t="s">
        <v>295</v>
      </c>
      <c r="E457" s="19">
        <f>IF($D457&lt;&gt;"Entregado",0,IF($C457="","",VLOOKUP($C457,'DATA DE TARIFA'!$A$4:$C$68,2,FALSE)/1.18))</f>
        <v>10.16949153</v>
      </c>
      <c r="F457" s="19">
        <f>IF($C457="","",IF($D457="",0,VLOOKUP($C457,'DATA DE TARIFA'!$A$4:$C$68,3,FALSE)))</f>
        <v>5.5</v>
      </c>
      <c r="G457" s="66">
        <v>0.0</v>
      </c>
      <c r="H457" s="19">
        <f t="shared" si="1"/>
        <v>10.16949153</v>
      </c>
      <c r="I457" s="19">
        <f t="shared" si="2"/>
        <v>5.5</v>
      </c>
      <c r="J457" s="67"/>
      <c r="K457" s="44" t="str">
        <f>IF($B457="","",IFERROR(VLOOKUP($B457,Tiendas!$A$4:$B$176,2,FALSE),""))</f>
        <v>JORDAN</v>
      </c>
      <c r="L457" s="68" t="s">
        <v>296</v>
      </c>
      <c r="M457" s="44" t="str">
        <f>IF($B457="","",IFERROR(VLOOKUP($B457,Tiendas!$A$4:$I$176,9,FALSE),""))</f>
        <v>Si</v>
      </c>
      <c r="N457" s="71">
        <f t="shared" si="3"/>
        <v>0</v>
      </c>
      <c r="O457" s="71">
        <f t="shared" si="4"/>
        <v>0</v>
      </c>
    </row>
    <row r="458" ht="15.75" customHeight="1">
      <c r="A458" s="17">
        <v>46023.0</v>
      </c>
      <c r="B458" s="44" t="s">
        <v>239</v>
      </c>
      <c r="C458" s="44" t="s">
        <v>51</v>
      </c>
      <c r="D458" s="45" t="s">
        <v>295</v>
      </c>
      <c r="E458" s="19">
        <f>IF($D458&lt;&gt;"Entregado",0,IF($C458="","",VLOOKUP($C458,'DATA DE TARIFA'!$A$4:$C$68,2,FALSE)/1.18))</f>
        <v>10.16949153</v>
      </c>
      <c r="F458" s="19">
        <f>IF($C458="","",IF($D458="",0,VLOOKUP($C458,'DATA DE TARIFA'!$A$4:$C$68,3,FALSE)))</f>
        <v>5.5</v>
      </c>
      <c r="G458" s="66">
        <v>0.0</v>
      </c>
      <c r="H458" s="19">
        <f t="shared" si="1"/>
        <v>10.16949153</v>
      </c>
      <c r="I458" s="19">
        <f t="shared" si="2"/>
        <v>5.5</v>
      </c>
      <c r="J458" s="67"/>
      <c r="K458" s="44" t="str">
        <f>IF($B458="","",IFERROR(VLOOKUP($B458,Tiendas!$A$4:$B$176,2,FALSE),""))</f>
        <v>JORDAN</v>
      </c>
      <c r="L458" s="68" t="s">
        <v>296</v>
      </c>
      <c r="M458" s="44" t="str">
        <f>IF($B458="","",IFERROR(VLOOKUP($B458,Tiendas!$A$4:$I$176,9,FALSE),""))</f>
        <v>Si</v>
      </c>
      <c r="N458" s="71">
        <f t="shared" si="3"/>
        <v>0</v>
      </c>
      <c r="O458" s="71">
        <f t="shared" si="4"/>
        <v>0</v>
      </c>
    </row>
    <row r="459" ht="15.75" customHeight="1">
      <c r="A459" s="17">
        <v>46023.0</v>
      </c>
      <c r="B459" s="44" t="s">
        <v>239</v>
      </c>
      <c r="C459" s="44" t="s">
        <v>40</v>
      </c>
      <c r="D459" s="45" t="s">
        <v>295</v>
      </c>
      <c r="E459" s="19">
        <f>IF($D459&lt;&gt;"Entregado",0,IF($C459="","",VLOOKUP($C459,'DATA DE TARIFA'!$A$4:$C$68,2,FALSE)/1.18))</f>
        <v>8.474576271</v>
      </c>
      <c r="F459" s="19">
        <f>IF($C459="","",IF($D459="",0,VLOOKUP($C459,'DATA DE TARIFA'!$A$4:$C$68,3,FALSE)))</f>
        <v>4</v>
      </c>
      <c r="G459" s="66">
        <v>0.0</v>
      </c>
      <c r="H459" s="19">
        <f t="shared" si="1"/>
        <v>8.474576271</v>
      </c>
      <c r="I459" s="19">
        <f t="shared" si="2"/>
        <v>4</v>
      </c>
      <c r="J459" s="67"/>
      <c r="K459" s="44" t="str">
        <f>IF($B459="","",IFERROR(VLOOKUP($B459,Tiendas!$A$4:$B$176,2,FALSE),""))</f>
        <v>JORDAN</v>
      </c>
      <c r="L459" s="68" t="s">
        <v>296</v>
      </c>
      <c r="M459" s="44" t="str">
        <f>IF($B459="","",IFERROR(VLOOKUP($B459,Tiendas!$A$4:$I$176,9,FALSE),""))</f>
        <v>Si</v>
      </c>
      <c r="N459" s="71">
        <f t="shared" si="3"/>
        <v>0</v>
      </c>
      <c r="O459" s="71">
        <f t="shared" si="4"/>
        <v>0</v>
      </c>
    </row>
    <row r="460" ht="15.75" customHeight="1">
      <c r="A460" s="17">
        <v>46023.0</v>
      </c>
      <c r="B460" s="44" t="s">
        <v>239</v>
      </c>
      <c r="C460" s="44" t="s">
        <v>21</v>
      </c>
      <c r="D460" s="45" t="s">
        <v>295</v>
      </c>
      <c r="E460" s="19">
        <f>IF($D460&lt;&gt;"Entregado",0,IF($C460="","",VLOOKUP($C460,'DATA DE TARIFA'!$A$4:$C$68,2,FALSE)/1.18))</f>
        <v>10.16949153</v>
      </c>
      <c r="F460" s="19">
        <f>IF($C460="","",IF($D460="",0,VLOOKUP($C460,'DATA DE TARIFA'!$A$4:$C$68,3,FALSE)))</f>
        <v>4.5</v>
      </c>
      <c r="G460" s="66">
        <v>0.0</v>
      </c>
      <c r="H460" s="19">
        <f t="shared" si="1"/>
        <v>10.16949153</v>
      </c>
      <c r="I460" s="19">
        <f t="shared" si="2"/>
        <v>4.5</v>
      </c>
      <c r="J460" s="67"/>
      <c r="K460" s="44" t="str">
        <f>IF($B460="","",IFERROR(VLOOKUP($B460,Tiendas!$A$4:$B$176,2,FALSE),""))</f>
        <v>JORDAN</v>
      </c>
      <c r="L460" s="68" t="s">
        <v>296</v>
      </c>
      <c r="M460" s="44" t="str">
        <f>IF($B460="","",IFERROR(VLOOKUP($B460,Tiendas!$A$4:$I$176,9,FALSE),""))</f>
        <v>Si</v>
      </c>
      <c r="N460" s="71">
        <f t="shared" si="3"/>
        <v>0</v>
      </c>
      <c r="O460" s="71">
        <f t="shared" si="4"/>
        <v>0</v>
      </c>
    </row>
    <row r="461" ht="15.75" customHeight="1">
      <c r="A461" s="17">
        <v>46023.0</v>
      </c>
      <c r="B461" s="44" t="s">
        <v>239</v>
      </c>
      <c r="C461" s="44" t="s">
        <v>88</v>
      </c>
      <c r="D461" s="45" t="s">
        <v>295</v>
      </c>
      <c r="E461" s="19">
        <f>IF($D461&lt;&gt;"Entregado",0,IF($C461="","",VLOOKUP($C461,'DATA DE TARIFA'!$A$4:$C$68,2,FALSE)/1.18))</f>
        <v>14.40677966</v>
      </c>
      <c r="F461" s="19">
        <f>IF($C461="","",IF($D461="",0,VLOOKUP($C461,'DATA DE TARIFA'!$A$4:$C$68,3,FALSE)))</f>
        <v>8.5</v>
      </c>
      <c r="G461" s="66">
        <v>0.0</v>
      </c>
      <c r="H461" s="19">
        <f t="shared" si="1"/>
        <v>14.40677966</v>
      </c>
      <c r="I461" s="19">
        <f t="shared" si="2"/>
        <v>8.5</v>
      </c>
      <c r="J461" s="67"/>
      <c r="K461" s="44" t="str">
        <f>IF($B461="","",IFERROR(VLOOKUP($B461,Tiendas!$A$4:$B$176,2,FALSE),""))</f>
        <v>JORDAN</v>
      </c>
      <c r="L461" s="68" t="s">
        <v>296</v>
      </c>
      <c r="M461" s="44" t="str">
        <f>IF($B461="","",IFERROR(VLOOKUP($B461,Tiendas!$A$4:$I$176,9,FALSE),""))</f>
        <v>Si</v>
      </c>
      <c r="N461" s="71">
        <f t="shared" si="3"/>
        <v>0</v>
      </c>
      <c r="O461" s="71">
        <f t="shared" si="4"/>
        <v>0</v>
      </c>
    </row>
    <row r="462" ht="15.75" customHeight="1">
      <c r="A462" s="17">
        <v>46023.0</v>
      </c>
      <c r="B462" s="44" t="s">
        <v>239</v>
      </c>
      <c r="C462" s="44" t="s">
        <v>32</v>
      </c>
      <c r="D462" s="45" t="s">
        <v>295</v>
      </c>
      <c r="E462" s="19">
        <f>IF($D462&lt;&gt;"Entregado",0,IF($C462="","",VLOOKUP($C462,'DATA DE TARIFA'!$A$4:$C$68,2,FALSE)/1.18))</f>
        <v>8.474576271</v>
      </c>
      <c r="F462" s="19">
        <f>IF($C462="","",IF($D462="",0,VLOOKUP($C462,'DATA DE TARIFA'!$A$4:$C$68,3,FALSE)))</f>
        <v>4.5</v>
      </c>
      <c r="G462" s="66">
        <v>0.0</v>
      </c>
      <c r="H462" s="19">
        <f t="shared" si="1"/>
        <v>8.474576271</v>
      </c>
      <c r="I462" s="19">
        <f t="shared" si="2"/>
        <v>4.5</v>
      </c>
      <c r="J462" s="67"/>
      <c r="K462" s="44" t="str">
        <f>IF($B462="","",IFERROR(VLOOKUP($B462,Tiendas!$A$4:$B$176,2,FALSE),""))</f>
        <v>JORDAN</v>
      </c>
      <c r="L462" s="68" t="s">
        <v>296</v>
      </c>
      <c r="M462" s="44" t="str">
        <f>IF($B462="","",IFERROR(VLOOKUP($B462,Tiendas!$A$4:$I$176,9,FALSE),""))</f>
        <v>Si</v>
      </c>
      <c r="N462" s="71">
        <f t="shared" si="3"/>
        <v>0</v>
      </c>
      <c r="O462" s="71">
        <f t="shared" si="4"/>
        <v>0</v>
      </c>
    </row>
    <row r="463" ht="15.75" customHeight="1">
      <c r="A463" s="17">
        <v>46023.0</v>
      </c>
      <c r="B463" s="44" t="s">
        <v>239</v>
      </c>
      <c r="C463" s="44" t="s">
        <v>23</v>
      </c>
      <c r="D463" s="45" t="s">
        <v>295</v>
      </c>
      <c r="E463" s="19">
        <f>IF($D463&lt;&gt;"Entregado",0,IF($C463="","",VLOOKUP($C463,'DATA DE TARIFA'!$A$4:$C$68,2,FALSE)/1.18))</f>
        <v>8.474576271</v>
      </c>
      <c r="F463" s="19">
        <f>IF($C463="","",IF($D463="",0,VLOOKUP($C463,'DATA DE TARIFA'!$A$4:$C$68,3,FALSE)))</f>
        <v>4.5</v>
      </c>
      <c r="G463" s="66">
        <v>0.0</v>
      </c>
      <c r="H463" s="19">
        <f t="shared" si="1"/>
        <v>8.474576271</v>
      </c>
      <c r="I463" s="19">
        <f t="shared" si="2"/>
        <v>4.5</v>
      </c>
      <c r="J463" s="67"/>
      <c r="K463" s="44" t="str">
        <f>IF($B463="","",IFERROR(VLOOKUP($B463,Tiendas!$A$4:$B$176,2,FALSE),""))</f>
        <v>JORDAN</v>
      </c>
      <c r="L463" s="68" t="s">
        <v>296</v>
      </c>
      <c r="M463" s="44" t="str">
        <f>IF($B463="","",IFERROR(VLOOKUP($B463,Tiendas!$A$4:$I$176,9,FALSE),""))</f>
        <v>Si</v>
      </c>
      <c r="N463" s="71">
        <f t="shared" si="3"/>
        <v>0</v>
      </c>
      <c r="O463" s="71">
        <f t="shared" si="4"/>
        <v>0</v>
      </c>
    </row>
    <row r="464" ht="15.75" customHeight="1">
      <c r="A464" s="17">
        <v>46023.0</v>
      </c>
      <c r="B464" s="44" t="s">
        <v>239</v>
      </c>
      <c r="C464" s="44" t="s">
        <v>74</v>
      </c>
      <c r="D464" s="45" t="s">
        <v>295</v>
      </c>
      <c r="E464" s="19">
        <f>IF($D464&lt;&gt;"Entregado",0,IF($C464="","",VLOOKUP($C464,'DATA DE TARIFA'!$A$4:$C$68,2,FALSE)/1.18))</f>
        <v>10.16949153</v>
      </c>
      <c r="F464" s="19">
        <f>IF($C464="","",IF($D464="",0,VLOOKUP($C464,'DATA DE TARIFA'!$A$4:$C$68,3,FALSE)))</f>
        <v>5.5</v>
      </c>
      <c r="G464" s="66">
        <v>0.0</v>
      </c>
      <c r="H464" s="19">
        <f t="shared" si="1"/>
        <v>10.16949153</v>
      </c>
      <c r="I464" s="19">
        <f t="shared" si="2"/>
        <v>5.5</v>
      </c>
      <c r="J464" s="67"/>
      <c r="K464" s="44" t="str">
        <f>IF($B464="","",IFERROR(VLOOKUP($B464,Tiendas!$A$4:$B$176,2,FALSE),""))</f>
        <v>JORDAN</v>
      </c>
      <c r="L464" s="68" t="s">
        <v>296</v>
      </c>
      <c r="M464" s="44" t="str">
        <f>IF($B464="","",IFERROR(VLOOKUP($B464,Tiendas!$A$4:$I$176,9,FALSE),""))</f>
        <v>Si</v>
      </c>
      <c r="N464" s="71">
        <f t="shared" si="3"/>
        <v>0</v>
      </c>
      <c r="O464" s="71">
        <f t="shared" si="4"/>
        <v>0</v>
      </c>
    </row>
    <row r="465" ht="15.75" customHeight="1">
      <c r="A465" s="17">
        <v>46023.0</v>
      </c>
      <c r="B465" s="44" t="s">
        <v>239</v>
      </c>
      <c r="C465" s="44" t="s">
        <v>21</v>
      </c>
      <c r="D465" s="45" t="s">
        <v>295</v>
      </c>
      <c r="E465" s="19">
        <f>IF($D465&lt;&gt;"Entregado",0,IF($C465="","",VLOOKUP($C465,'DATA DE TARIFA'!$A$4:$C$68,2,FALSE)/1.18))</f>
        <v>10.16949153</v>
      </c>
      <c r="F465" s="19">
        <f>IF($C465="","",IF($D465="",0,VLOOKUP($C465,'DATA DE TARIFA'!$A$4:$C$68,3,FALSE)))</f>
        <v>4.5</v>
      </c>
      <c r="G465" s="66">
        <v>0.0</v>
      </c>
      <c r="H465" s="19">
        <f t="shared" si="1"/>
        <v>10.16949153</v>
      </c>
      <c r="I465" s="19">
        <f t="shared" si="2"/>
        <v>4.5</v>
      </c>
      <c r="J465" s="67"/>
      <c r="K465" s="44" t="str">
        <f>IF($B465="","",IFERROR(VLOOKUP($B465,Tiendas!$A$4:$B$176,2,FALSE),""))</f>
        <v>JORDAN</v>
      </c>
      <c r="L465" s="68" t="s">
        <v>296</v>
      </c>
      <c r="M465" s="44" t="str">
        <f>IF($B465="","",IFERROR(VLOOKUP($B465,Tiendas!$A$4:$I$176,9,FALSE),""))</f>
        <v>Si</v>
      </c>
      <c r="N465" s="71">
        <f t="shared" si="3"/>
        <v>0</v>
      </c>
      <c r="O465" s="71">
        <f t="shared" si="4"/>
        <v>0</v>
      </c>
    </row>
    <row r="466" ht="15.75" customHeight="1">
      <c r="A466" s="17">
        <v>46023.0</v>
      </c>
      <c r="B466" s="44" t="s">
        <v>239</v>
      </c>
      <c r="C466" s="44" t="s">
        <v>32</v>
      </c>
      <c r="D466" s="45" t="s">
        <v>295</v>
      </c>
      <c r="E466" s="19">
        <f>IF($D466&lt;&gt;"Entregado",0,IF($C466="","",VLOOKUP($C466,'DATA DE TARIFA'!$A$4:$C$68,2,FALSE)/1.18))</f>
        <v>8.474576271</v>
      </c>
      <c r="F466" s="19">
        <f>IF($C466="","",IF($D466="",0,VLOOKUP($C466,'DATA DE TARIFA'!$A$4:$C$68,3,FALSE)))</f>
        <v>4.5</v>
      </c>
      <c r="G466" s="66">
        <v>0.0</v>
      </c>
      <c r="H466" s="19">
        <f t="shared" si="1"/>
        <v>8.474576271</v>
      </c>
      <c r="I466" s="19">
        <f t="shared" si="2"/>
        <v>4.5</v>
      </c>
      <c r="J466" s="67"/>
      <c r="K466" s="44" t="str">
        <f>IF($B466="","",IFERROR(VLOOKUP($B466,Tiendas!$A$4:$B$176,2,FALSE),""))</f>
        <v>JORDAN</v>
      </c>
      <c r="L466" s="68" t="s">
        <v>296</v>
      </c>
      <c r="M466" s="44" t="str">
        <f>IF($B466="","",IFERROR(VLOOKUP($B466,Tiendas!$A$4:$I$176,9,FALSE),""))</f>
        <v>Si</v>
      </c>
      <c r="N466" s="71">
        <f t="shared" si="3"/>
        <v>0</v>
      </c>
      <c r="O466" s="71">
        <f t="shared" si="4"/>
        <v>0</v>
      </c>
    </row>
    <row r="467" ht="15.75" customHeight="1">
      <c r="A467" s="17">
        <v>46023.0</v>
      </c>
      <c r="B467" s="44" t="s">
        <v>239</v>
      </c>
      <c r="C467" s="44" t="s">
        <v>44</v>
      </c>
      <c r="D467" s="45" t="s">
        <v>295</v>
      </c>
      <c r="E467" s="19">
        <f>IF($D467&lt;&gt;"Entregado",0,IF($C467="","",VLOOKUP($C467,'DATA DE TARIFA'!$A$4:$C$68,2,FALSE)/1.18))</f>
        <v>10.16949153</v>
      </c>
      <c r="F467" s="19">
        <f>IF($C467="","",IF($D467="",0,VLOOKUP($C467,'DATA DE TARIFA'!$A$4:$C$68,3,FALSE)))</f>
        <v>5.5</v>
      </c>
      <c r="G467" s="66">
        <v>0.0</v>
      </c>
      <c r="H467" s="19">
        <f t="shared" si="1"/>
        <v>10.16949153</v>
      </c>
      <c r="I467" s="19">
        <f t="shared" si="2"/>
        <v>5.5</v>
      </c>
      <c r="J467" s="67"/>
      <c r="K467" s="44" t="str">
        <f>IF($B467="","",IFERROR(VLOOKUP($B467,Tiendas!$A$4:$B$176,2,FALSE),""))</f>
        <v>JORDAN</v>
      </c>
      <c r="L467" s="68" t="s">
        <v>296</v>
      </c>
      <c r="M467" s="44" t="str">
        <f>IF($B467="","",IFERROR(VLOOKUP($B467,Tiendas!$A$4:$I$176,9,FALSE),""))</f>
        <v>Si</v>
      </c>
      <c r="N467" s="71">
        <f t="shared" si="3"/>
        <v>0</v>
      </c>
      <c r="O467" s="71">
        <f t="shared" si="4"/>
        <v>0</v>
      </c>
    </row>
    <row r="468" ht="15.75" customHeight="1">
      <c r="A468" s="17">
        <v>46023.0</v>
      </c>
      <c r="B468" s="44" t="s">
        <v>239</v>
      </c>
      <c r="C468" s="44" t="s">
        <v>65</v>
      </c>
      <c r="D468" s="45" t="s">
        <v>295</v>
      </c>
      <c r="E468" s="19">
        <f>IF($D468&lt;&gt;"Entregado",0,IF($C468="","",VLOOKUP($C468,'DATA DE TARIFA'!$A$4:$C$68,2,FALSE)/1.18))</f>
        <v>10.16949153</v>
      </c>
      <c r="F468" s="19">
        <f>IF($C468="","",IF($D468="",0,VLOOKUP($C468,'DATA DE TARIFA'!$A$4:$C$68,3,FALSE)))</f>
        <v>4.5</v>
      </c>
      <c r="G468" s="66">
        <v>0.0</v>
      </c>
      <c r="H468" s="19">
        <f t="shared" si="1"/>
        <v>10.16949153</v>
      </c>
      <c r="I468" s="19">
        <f t="shared" si="2"/>
        <v>4.5</v>
      </c>
      <c r="J468" s="67"/>
      <c r="K468" s="44" t="str">
        <f>IF($B468="","",IFERROR(VLOOKUP($B468,Tiendas!$A$4:$B$176,2,FALSE),""))</f>
        <v>JORDAN</v>
      </c>
      <c r="L468" s="68" t="s">
        <v>296</v>
      </c>
      <c r="M468" s="44" t="str">
        <f>IF($B468="","",IFERROR(VLOOKUP($B468,Tiendas!$A$4:$I$176,9,FALSE),""))</f>
        <v>Si</v>
      </c>
      <c r="N468" s="71">
        <f t="shared" si="3"/>
        <v>0</v>
      </c>
      <c r="O468" s="71">
        <f t="shared" si="4"/>
        <v>0</v>
      </c>
    </row>
    <row r="469" ht="15.75" customHeight="1">
      <c r="A469" s="17">
        <v>46023.0</v>
      </c>
      <c r="B469" s="44" t="s">
        <v>239</v>
      </c>
      <c r="C469" s="44" t="s">
        <v>30</v>
      </c>
      <c r="D469" s="45" t="s">
        <v>295</v>
      </c>
      <c r="E469" s="19">
        <f>IF($D469&lt;&gt;"Entregado",0,IF($C469="","",VLOOKUP($C469,'DATA DE TARIFA'!$A$4:$C$68,2,FALSE)/1.18))</f>
        <v>8.474576271</v>
      </c>
      <c r="F469" s="19">
        <f>IF($C469="","",IF($D469="",0,VLOOKUP($C469,'DATA DE TARIFA'!$A$4:$C$68,3,FALSE)))</f>
        <v>4.5</v>
      </c>
      <c r="G469" s="66">
        <v>0.0</v>
      </c>
      <c r="H469" s="19">
        <f t="shared" si="1"/>
        <v>8.474576271</v>
      </c>
      <c r="I469" s="19">
        <f t="shared" si="2"/>
        <v>4.5</v>
      </c>
      <c r="J469" s="67"/>
      <c r="K469" s="44" t="str">
        <f>IF($B469="","",IFERROR(VLOOKUP($B469,Tiendas!$A$4:$B$176,2,FALSE),""))</f>
        <v>JORDAN</v>
      </c>
      <c r="L469" s="68" t="s">
        <v>296</v>
      </c>
      <c r="M469" s="44" t="str">
        <f>IF($B469="","",IFERROR(VLOOKUP($B469,Tiendas!$A$4:$I$176,9,FALSE),""))</f>
        <v>Si</v>
      </c>
      <c r="N469" s="71">
        <f t="shared" si="3"/>
        <v>0</v>
      </c>
      <c r="O469" s="71">
        <f t="shared" si="4"/>
        <v>0</v>
      </c>
    </row>
    <row r="470" ht="15.75" customHeight="1">
      <c r="A470" s="17">
        <v>46023.0</v>
      </c>
      <c r="B470" s="44" t="s">
        <v>239</v>
      </c>
      <c r="C470" s="44" t="s">
        <v>21</v>
      </c>
      <c r="D470" s="45" t="s">
        <v>295</v>
      </c>
      <c r="E470" s="19">
        <f>IF($D470&lt;&gt;"Entregado",0,IF($C470="","",VLOOKUP($C470,'DATA DE TARIFA'!$A$4:$C$68,2,FALSE)/1.18))</f>
        <v>10.16949153</v>
      </c>
      <c r="F470" s="19">
        <f>IF($C470="","",IF($D470="",0,VLOOKUP($C470,'DATA DE TARIFA'!$A$4:$C$68,3,FALSE)))</f>
        <v>4.5</v>
      </c>
      <c r="G470" s="66">
        <v>0.0</v>
      </c>
      <c r="H470" s="19">
        <f t="shared" si="1"/>
        <v>10.16949153</v>
      </c>
      <c r="I470" s="19">
        <f t="shared" si="2"/>
        <v>4.5</v>
      </c>
      <c r="J470" s="67"/>
      <c r="K470" s="44" t="str">
        <f>IF($B470="","",IFERROR(VLOOKUP($B470,Tiendas!$A$4:$B$176,2,FALSE),""))</f>
        <v>JORDAN</v>
      </c>
      <c r="L470" s="68" t="s">
        <v>296</v>
      </c>
      <c r="M470" s="44" t="str">
        <f>IF($B470="","",IFERROR(VLOOKUP($B470,Tiendas!$A$4:$I$176,9,FALSE),""))</f>
        <v>Si</v>
      </c>
      <c r="N470" s="71">
        <f t="shared" si="3"/>
        <v>0</v>
      </c>
      <c r="O470" s="71">
        <f t="shared" si="4"/>
        <v>0</v>
      </c>
    </row>
    <row r="471" ht="15.75" customHeight="1">
      <c r="A471" s="17">
        <v>46023.0</v>
      </c>
      <c r="B471" s="44" t="s">
        <v>239</v>
      </c>
      <c r="C471" s="44" t="s">
        <v>34</v>
      </c>
      <c r="D471" s="45" t="s">
        <v>295</v>
      </c>
      <c r="E471" s="19">
        <f>IF($D471&lt;&gt;"Entregado",0,IF($C471="","",VLOOKUP($C471,'DATA DE TARIFA'!$A$4:$C$68,2,FALSE)/1.18))</f>
        <v>10.16949153</v>
      </c>
      <c r="F471" s="19">
        <f>IF($C471="","",IF($D471="",0,VLOOKUP($C471,'DATA DE TARIFA'!$A$4:$C$68,3,FALSE)))</f>
        <v>4.5</v>
      </c>
      <c r="G471" s="66">
        <v>0.0</v>
      </c>
      <c r="H471" s="19">
        <f t="shared" si="1"/>
        <v>10.16949153</v>
      </c>
      <c r="I471" s="19">
        <f t="shared" si="2"/>
        <v>4.5</v>
      </c>
      <c r="J471" s="67"/>
      <c r="K471" s="44" t="str">
        <f>IF($B471="","",IFERROR(VLOOKUP($B471,Tiendas!$A$4:$B$176,2,FALSE),""))</f>
        <v>JORDAN</v>
      </c>
      <c r="L471" s="68" t="s">
        <v>296</v>
      </c>
      <c r="M471" s="44" t="str">
        <f>IF($B471="","",IFERROR(VLOOKUP($B471,Tiendas!$A$4:$I$176,9,FALSE),""))</f>
        <v>Si</v>
      </c>
      <c r="N471" s="71">
        <f t="shared" si="3"/>
        <v>0</v>
      </c>
      <c r="O471" s="71">
        <f t="shared" si="4"/>
        <v>0</v>
      </c>
    </row>
    <row r="472" ht="15.75" customHeight="1">
      <c r="A472" s="17">
        <v>46023.0</v>
      </c>
      <c r="B472" s="44" t="s">
        <v>239</v>
      </c>
      <c r="C472" s="44" t="s">
        <v>51</v>
      </c>
      <c r="D472" s="45" t="s">
        <v>295</v>
      </c>
      <c r="E472" s="19">
        <f>IF($D472&lt;&gt;"Entregado",0,IF($C472="","",VLOOKUP($C472,'DATA DE TARIFA'!$A$4:$C$68,2,FALSE)/1.18))</f>
        <v>10.16949153</v>
      </c>
      <c r="F472" s="19">
        <f>IF($C472="","",IF($D472="",0,VLOOKUP($C472,'DATA DE TARIFA'!$A$4:$C$68,3,FALSE)))</f>
        <v>5.5</v>
      </c>
      <c r="G472" s="66">
        <v>0.0</v>
      </c>
      <c r="H472" s="19">
        <f t="shared" si="1"/>
        <v>10.16949153</v>
      </c>
      <c r="I472" s="19">
        <f t="shared" si="2"/>
        <v>5.5</v>
      </c>
      <c r="J472" s="67"/>
      <c r="K472" s="44" t="str">
        <f>IF($B472="","",IFERROR(VLOOKUP($B472,Tiendas!$A$4:$B$176,2,FALSE),""))</f>
        <v>JORDAN</v>
      </c>
      <c r="L472" s="68" t="s">
        <v>296</v>
      </c>
      <c r="M472" s="44" t="str">
        <f>IF($B472="","",IFERROR(VLOOKUP($B472,Tiendas!$A$4:$I$176,9,FALSE),""))</f>
        <v>Si</v>
      </c>
      <c r="N472" s="71">
        <f t="shared" si="3"/>
        <v>0</v>
      </c>
      <c r="O472" s="71">
        <f t="shared" si="4"/>
        <v>0</v>
      </c>
    </row>
    <row r="473" ht="15.75" customHeight="1">
      <c r="A473" s="17">
        <v>46023.0</v>
      </c>
      <c r="B473" s="44" t="s">
        <v>239</v>
      </c>
      <c r="C473" s="44" t="s">
        <v>42</v>
      </c>
      <c r="D473" s="45" t="s">
        <v>295</v>
      </c>
      <c r="E473" s="19">
        <f>IF($D473&lt;&gt;"Entregado",0,IF($C473="","",VLOOKUP($C473,'DATA DE TARIFA'!$A$4:$C$68,2,FALSE)/1.18))</f>
        <v>8.474576271</v>
      </c>
      <c r="F473" s="19">
        <f>IF($C473="","",IF($D473="",0,VLOOKUP($C473,'DATA DE TARIFA'!$A$4:$C$68,3,FALSE)))</f>
        <v>4</v>
      </c>
      <c r="G473" s="66">
        <v>0.0</v>
      </c>
      <c r="H473" s="19">
        <f t="shared" si="1"/>
        <v>8.474576271</v>
      </c>
      <c r="I473" s="19">
        <f t="shared" si="2"/>
        <v>4</v>
      </c>
      <c r="J473" s="67"/>
      <c r="K473" s="44" t="str">
        <f>IF($B473="","",IFERROR(VLOOKUP($B473,Tiendas!$A$4:$B$176,2,FALSE),""))</f>
        <v>JORDAN</v>
      </c>
      <c r="L473" s="68" t="s">
        <v>296</v>
      </c>
      <c r="M473" s="44" t="str">
        <f>IF($B473="","",IFERROR(VLOOKUP($B473,Tiendas!$A$4:$I$176,9,FALSE),""))</f>
        <v>Si</v>
      </c>
      <c r="N473" s="71">
        <f t="shared" si="3"/>
        <v>0</v>
      </c>
      <c r="O473" s="71">
        <f t="shared" si="4"/>
        <v>0</v>
      </c>
    </row>
    <row r="474" ht="15.75" customHeight="1">
      <c r="A474" s="17">
        <v>46023.0</v>
      </c>
      <c r="B474" s="44" t="s">
        <v>239</v>
      </c>
      <c r="C474" s="44" t="s">
        <v>24</v>
      </c>
      <c r="D474" s="45" t="s">
        <v>295</v>
      </c>
      <c r="E474" s="19">
        <f>IF($D474&lt;&gt;"Entregado",0,IF($C474="","",VLOOKUP($C474,'DATA DE TARIFA'!$A$4:$C$68,2,FALSE)/1.18))</f>
        <v>8.474576271</v>
      </c>
      <c r="F474" s="19">
        <f>IF($C474="","",IF($D474="",0,VLOOKUP($C474,'DATA DE TARIFA'!$A$4:$C$68,3,FALSE)))</f>
        <v>4.5</v>
      </c>
      <c r="G474" s="66">
        <v>0.0</v>
      </c>
      <c r="H474" s="19">
        <f t="shared" si="1"/>
        <v>8.474576271</v>
      </c>
      <c r="I474" s="19">
        <f t="shared" si="2"/>
        <v>4.5</v>
      </c>
      <c r="J474" s="67"/>
      <c r="K474" s="44" t="str">
        <f>IF($B474="","",IFERROR(VLOOKUP($B474,Tiendas!$A$4:$B$176,2,FALSE),""))</f>
        <v>JORDAN</v>
      </c>
      <c r="L474" s="68" t="s">
        <v>296</v>
      </c>
      <c r="M474" s="44" t="str">
        <f>IF($B474="","",IFERROR(VLOOKUP($B474,Tiendas!$A$4:$I$176,9,FALSE),""))</f>
        <v>Si</v>
      </c>
      <c r="N474" s="71">
        <f t="shared" si="3"/>
        <v>0</v>
      </c>
      <c r="O474" s="71">
        <f t="shared" si="4"/>
        <v>0</v>
      </c>
    </row>
    <row r="475" ht="15.75" customHeight="1">
      <c r="A475" s="17">
        <v>46023.0</v>
      </c>
      <c r="B475" s="44" t="s">
        <v>239</v>
      </c>
      <c r="C475" s="44" t="s">
        <v>70</v>
      </c>
      <c r="D475" s="45" t="s">
        <v>295</v>
      </c>
      <c r="E475" s="19">
        <f>IF($D475&lt;&gt;"Entregado",0,IF($C475="","",VLOOKUP($C475,'DATA DE TARIFA'!$A$4:$C$68,2,FALSE)/1.18))</f>
        <v>8.474576271</v>
      </c>
      <c r="F475" s="19">
        <f>IF($C475="","",IF($D475="",0,VLOOKUP($C475,'DATA DE TARIFA'!$A$4:$C$68,3,FALSE)))</f>
        <v>4</v>
      </c>
      <c r="G475" s="66">
        <v>0.0</v>
      </c>
      <c r="H475" s="19">
        <f t="shared" si="1"/>
        <v>8.474576271</v>
      </c>
      <c r="I475" s="19">
        <f t="shared" si="2"/>
        <v>4</v>
      </c>
      <c r="J475" s="67"/>
      <c r="K475" s="44" t="str">
        <f>IF($B475="","",IFERROR(VLOOKUP($B475,Tiendas!$A$4:$B$176,2,FALSE),""))</f>
        <v>JORDAN</v>
      </c>
      <c r="L475" s="68" t="s">
        <v>296</v>
      </c>
      <c r="M475" s="44" t="str">
        <f>IF($B475="","",IFERROR(VLOOKUP($B475,Tiendas!$A$4:$I$176,9,FALSE),""))</f>
        <v>Si</v>
      </c>
      <c r="N475" s="71">
        <f t="shared" si="3"/>
        <v>0</v>
      </c>
      <c r="O475" s="71">
        <f t="shared" si="4"/>
        <v>0</v>
      </c>
    </row>
    <row r="476" ht="15.75" customHeight="1">
      <c r="A476" s="17">
        <v>46023.0</v>
      </c>
      <c r="B476" s="44" t="s">
        <v>239</v>
      </c>
      <c r="C476" s="44" t="s">
        <v>18</v>
      </c>
      <c r="D476" s="45" t="s">
        <v>295</v>
      </c>
      <c r="E476" s="19">
        <f>IF($D476&lt;&gt;"Entregado",0,IF($C476="","",VLOOKUP($C476,'DATA DE TARIFA'!$A$4:$C$68,2,FALSE)/1.18))</f>
        <v>10.16949153</v>
      </c>
      <c r="F476" s="19">
        <f>IF($C476="","",IF($D476="",0,VLOOKUP($C476,'DATA DE TARIFA'!$A$4:$C$68,3,FALSE)))</f>
        <v>4.5</v>
      </c>
      <c r="G476" s="66">
        <v>0.0</v>
      </c>
      <c r="H476" s="19">
        <f t="shared" si="1"/>
        <v>10.16949153</v>
      </c>
      <c r="I476" s="19">
        <f t="shared" si="2"/>
        <v>4.5</v>
      </c>
      <c r="J476" s="67"/>
      <c r="K476" s="44" t="str">
        <f>IF($B476="","",IFERROR(VLOOKUP($B476,Tiendas!$A$4:$B$176,2,FALSE),""))</f>
        <v>JORDAN</v>
      </c>
      <c r="L476" s="68" t="s">
        <v>296</v>
      </c>
      <c r="M476" s="44" t="str">
        <f>IF($B476="","",IFERROR(VLOOKUP($B476,Tiendas!$A$4:$I$176,9,FALSE),""))</f>
        <v>Si</v>
      </c>
      <c r="N476" s="71">
        <f t="shared" si="3"/>
        <v>0</v>
      </c>
      <c r="O476" s="71">
        <f t="shared" si="4"/>
        <v>0</v>
      </c>
    </row>
    <row r="477" ht="15.75" customHeight="1">
      <c r="A477" s="17">
        <v>46023.0</v>
      </c>
      <c r="B477" s="44" t="s">
        <v>239</v>
      </c>
      <c r="C477" s="44" t="s">
        <v>32</v>
      </c>
      <c r="D477" s="45" t="s">
        <v>295</v>
      </c>
      <c r="E477" s="19">
        <f>IF($D477&lt;&gt;"Entregado",0,IF($C477="","",VLOOKUP($C477,'DATA DE TARIFA'!$A$4:$C$68,2,FALSE)/1.18))</f>
        <v>8.474576271</v>
      </c>
      <c r="F477" s="19">
        <f>IF($C477="","",IF($D477="",0,VLOOKUP($C477,'DATA DE TARIFA'!$A$4:$C$68,3,FALSE)))</f>
        <v>4.5</v>
      </c>
      <c r="G477" s="66">
        <v>0.0</v>
      </c>
      <c r="H477" s="19">
        <f t="shared" si="1"/>
        <v>8.474576271</v>
      </c>
      <c r="I477" s="19">
        <f t="shared" si="2"/>
        <v>4.5</v>
      </c>
      <c r="J477" s="67"/>
      <c r="K477" s="44" t="str">
        <f>IF($B477="","",IFERROR(VLOOKUP($B477,Tiendas!$A$4:$B$176,2,FALSE),""))</f>
        <v>JORDAN</v>
      </c>
      <c r="L477" s="68" t="s">
        <v>296</v>
      </c>
      <c r="M477" s="44" t="str">
        <f>IF($B477="","",IFERROR(VLOOKUP($B477,Tiendas!$A$4:$I$176,9,FALSE),""))</f>
        <v>Si</v>
      </c>
      <c r="N477" s="71">
        <f t="shared" si="3"/>
        <v>0</v>
      </c>
      <c r="O477" s="71">
        <f t="shared" si="4"/>
        <v>0</v>
      </c>
    </row>
    <row r="478" ht="15.75" customHeight="1">
      <c r="A478" s="17">
        <v>46023.0</v>
      </c>
      <c r="B478" s="44" t="s">
        <v>239</v>
      </c>
      <c r="C478" s="44" t="s">
        <v>18</v>
      </c>
      <c r="D478" s="45" t="s">
        <v>295</v>
      </c>
      <c r="E478" s="19">
        <f>IF($D478&lt;&gt;"Entregado",0,IF($C478="","",VLOOKUP($C478,'DATA DE TARIFA'!$A$4:$C$68,2,FALSE)/1.18))</f>
        <v>10.16949153</v>
      </c>
      <c r="F478" s="19">
        <f>IF($C478="","",IF($D478="",0,VLOOKUP($C478,'DATA DE TARIFA'!$A$4:$C$68,3,FALSE)))</f>
        <v>4.5</v>
      </c>
      <c r="G478" s="66">
        <v>0.0</v>
      </c>
      <c r="H478" s="19">
        <f t="shared" si="1"/>
        <v>10.16949153</v>
      </c>
      <c r="I478" s="19">
        <f t="shared" si="2"/>
        <v>4.5</v>
      </c>
      <c r="J478" s="67"/>
      <c r="K478" s="44" t="str">
        <f>IF($B478="","",IFERROR(VLOOKUP($B478,Tiendas!$A$4:$B$176,2,FALSE),""))</f>
        <v>JORDAN</v>
      </c>
      <c r="L478" s="68" t="s">
        <v>296</v>
      </c>
      <c r="M478" s="44" t="str">
        <f>IF($B478="","",IFERROR(VLOOKUP($B478,Tiendas!$A$4:$I$176,9,FALSE),""))</f>
        <v>Si</v>
      </c>
      <c r="N478" s="71">
        <f t="shared" si="3"/>
        <v>0</v>
      </c>
      <c r="O478" s="71">
        <f t="shared" si="4"/>
        <v>0</v>
      </c>
    </row>
    <row r="479" ht="15.75" customHeight="1">
      <c r="A479" s="17">
        <v>46023.0</v>
      </c>
      <c r="B479" s="44" t="s">
        <v>239</v>
      </c>
      <c r="C479" s="44" t="s">
        <v>46</v>
      </c>
      <c r="D479" s="45" t="s">
        <v>295</v>
      </c>
      <c r="E479" s="19">
        <f>IF($D479&lt;&gt;"Entregado",0,IF($C479="","",VLOOKUP($C479,'DATA DE TARIFA'!$A$4:$C$68,2,FALSE)/1.18))</f>
        <v>10.16949153</v>
      </c>
      <c r="F479" s="19">
        <f>IF($C479="","",IF($D479="",0,VLOOKUP($C479,'DATA DE TARIFA'!$A$4:$C$68,3,FALSE)))</f>
        <v>4.5</v>
      </c>
      <c r="G479" s="66">
        <v>0.0</v>
      </c>
      <c r="H479" s="19">
        <f t="shared" si="1"/>
        <v>10.16949153</v>
      </c>
      <c r="I479" s="19">
        <f t="shared" si="2"/>
        <v>4.5</v>
      </c>
      <c r="J479" s="67"/>
      <c r="K479" s="44" t="str">
        <f>IF($B479="","",IFERROR(VLOOKUP($B479,Tiendas!$A$4:$B$176,2,FALSE),""))</f>
        <v>JORDAN</v>
      </c>
      <c r="L479" s="68" t="s">
        <v>296</v>
      </c>
      <c r="M479" s="44" t="str">
        <f>IF($B479="","",IFERROR(VLOOKUP($B479,Tiendas!$A$4:$I$176,9,FALSE),""))</f>
        <v>Si</v>
      </c>
      <c r="N479" s="71">
        <f t="shared" si="3"/>
        <v>0</v>
      </c>
      <c r="O479" s="71">
        <f t="shared" si="4"/>
        <v>0</v>
      </c>
    </row>
    <row r="480" ht="15.75" customHeight="1">
      <c r="A480" s="17">
        <v>46023.0</v>
      </c>
      <c r="B480" s="44" t="s">
        <v>239</v>
      </c>
      <c r="C480" s="44" t="s">
        <v>65</v>
      </c>
      <c r="D480" s="45" t="s">
        <v>295</v>
      </c>
      <c r="E480" s="19">
        <f>IF($D480&lt;&gt;"Entregado",0,IF($C480="","",VLOOKUP($C480,'DATA DE TARIFA'!$A$4:$C$68,2,FALSE)/1.18))</f>
        <v>10.16949153</v>
      </c>
      <c r="F480" s="19">
        <f>IF($C480="","",IF($D480="",0,VLOOKUP($C480,'DATA DE TARIFA'!$A$4:$C$68,3,FALSE)))</f>
        <v>4.5</v>
      </c>
      <c r="G480" s="66">
        <v>0.0</v>
      </c>
      <c r="H480" s="19">
        <f t="shared" si="1"/>
        <v>10.16949153</v>
      </c>
      <c r="I480" s="19">
        <f t="shared" si="2"/>
        <v>4.5</v>
      </c>
      <c r="J480" s="67"/>
      <c r="K480" s="44" t="str">
        <f>IF($B480="","",IFERROR(VLOOKUP($B480,Tiendas!$A$4:$B$176,2,FALSE),""))</f>
        <v>JORDAN</v>
      </c>
      <c r="L480" s="68" t="s">
        <v>296</v>
      </c>
      <c r="M480" s="44" t="str">
        <f>IF($B480="","",IFERROR(VLOOKUP($B480,Tiendas!$A$4:$I$176,9,FALSE),""))</f>
        <v>Si</v>
      </c>
      <c r="N480" s="71">
        <f t="shared" si="3"/>
        <v>0</v>
      </c>
      <c r="O480" s="71">
        <f t="shared" si="4"/>
        <v>0</v>
      </c>
    </row>
    <row r="481" ht="15.75" customHeight="1">
      <c r="A481" s="17">
        <v>46023.0</v>
      </c>
      <c r="B481" s="44" t="s">
        <v>239</v>
      </c>
      <c r="C481" s="44" t="s">
        <v>18</v>
      </c>
      <c r="D481" s="45" t="s">
        <v>295</v>
      </c>
      <c r="E481" s="19">
        <f>IF($D481&lt;&gt;"Entregado",0,IF($C481="","",VLOOKUP($C481,'DATA DE TARIFA'!$A$4:$C$68,2,FALSE)/1.18))</f>
        <v>10.16949153</v>
      </c>
      <c r="F481" s="19">
        <f>IF($C481="","",IF($D481="",0,VLOOKUP($C481,'DATA DE TARIFA'!$A$4:$C$68,3,FALSE)))</f>
        <v>4.5</v>
      </c>
      <c r="G481" s="66">
        <v>0.0</v>
      </c>
      <c r="H481" s="19">
        <f t="shared" si="1"/>
        <v>10.16949153</v>
      </c>
      <c r="I481" s="19">
        <f t="shared" si="2"/>
        <v>4.5</v>
      </c>
      <c r="J481" s="67"/>
      <c r="K481" s="44" t="str">
        <f>IF($B481="","",IFERROR(VLOOKUP($B481,Tiendas!$A$4:$B$176,2,FALSE),""))</f>
        <v>JORDAN</v>
      </c>
      <c r="L481" s="68" t="s">
        <v>296</v>
      </c>
      <c r="M481" s="44" t="str">
        <f>IF($B481="","",IFERROR(VLOOKUP($B481,Tiendas!$A$4:$I$176,9,FALSE),""))</f>
        <v>Si</v>
      </c>
      <c r="N481" s="71">
        <f t="shared" si="3"/>
        <v>0</v>
      </c>
      <c r="O481" s="71">
        <f t="shared" si="4"/>
        <v>0</v>
      </c>
    </row>
    <row r="482" ht="15.75" customHeight="1">
      <c r="A482" s="17">
        <v>46023.0</v>
      </c>
      <c r="B482" s="44" t="s">
        <v>239</v>
      </c>
      <c r="C482" s="44" t="s">
        <v>18</v>
      </c>
      <c r="D482" s="45" t="s">
        <v>295</v>
      </c>
      <c r="E482" s="19">
        <f>IF($D482&lt;&gt;"Entregado",0,IF($C482="","",VLOOKUP($C482,'DATA DE TARIFA'!$A$4:$C$68,2,FALSE)/1.18))</f>
        <v>10.16949153</v>
      </c>
      <c r="F482" s="19">
        <f>IF($C482="","",IF($D482="",0,VLOOKUP($C482,'DATA DE TARIFA'!$A$4:$C$68,3,FALSE)))</f>
        <v>4.5</v>
      </c>
      <c r="G482" s="66">
        <v>0.0</v>
      </c>
      <c r="H482" s="19">
        <f t="shared" si="1"/>
        <v>10.16949153</v>
      </c>
      <c r="I482" s="19">
        <f t="shared" si="2"/>
        <v>4.5</v>
      </c>
      <c r="J482" s="67"/>
      <c r="K482" s="44" t="str">
        <f>IF($B482="","",IFERROR(VLOOKUP($B482,Tiendas!$A$4:$B$176,2,FALSE),""))</f>
        <v>JORDAN</v>
      </c>
      <c r="L482" s="68" t="s">
        <v>296</v>
      </c>
      <c r="M482" s="44" t="str">
        <f>IF($B482="","",IFERROR(VLOOKUP($B482,Tiendas!$A$4:$I$176,9,FALSE),""))</f>
        <v>Si</v>
      </c>
      <c r="N482" s="71">
        <f t="shared" si="3"/>
        <v>0</v>
      </c>
      <c r="O482" s="71">
        <f t="shared" si="4"/>
        <v>0</v>
      </c>
    </row>
    <row r="483" ht="15.75" customHeight="1">
      <c r="A483" s="17">
        <v>46023.0</v>
      </c>
      <c r="B483" s="44" t="s">
        <v>239</v>
      </c>
      <c r="C483" s="44" t="s">
        <v>46</v>
      </c>
      <c r="D483" s="45" t="s">
        <v>295</v>
      </c>
      <c r="E483" s="19">
        <f>IF($D483&lt;&gt;"Entregado",0,IF($C483="","",VLOOKUP($C483,'DATA DE TARIFA'!$A$4:$C$68,2,FALSE)/1.18))</f>
        <v>10.16949153</v>
      </c>
      <c r="F483" s="19">
        <f>IF($C483="","",IF($D483="",0,VLOOKUP($C483,'DATA DE TARIFA'!$A$4:$C$68,3,FALSE)))</f>
        <v>4.5</v>
      </c>
      <c r="G483" s="66">
        <v>0.0</v>
      </c>
      <c r="H483" s="19">
        <f t="shared" si="1"/>
        <v>10.16949153</v>
      </c>
      <c r="I483" s="19">
        <f t="shared" si="2"/>
        <v>4.5</v>
      </c>
      <c r="J483" s="67"/>
      <c r="K483" s="44" t="str">
        <f>IF($B483="","",IFERROR(VLOOKUP($B483,Tiendas!$A$4:$B$176,2,FALSE),""))</f>
        <v>JORDAN</v>
      </c>
      <c r="L483" s="68" t="s">
        <v>296</v>
      </c>
      <c r="M483" s="44" t="str">
        <f>IF($B483="","",IFERROR(VLOOKUP($B483,Tiendas!$A$4:$I$176,9,FALSE),""))</f>
        <v>Si</v>
      </c>
      <c r="N483" s="71">
        <f t="shared" si="3"/>
        <v>0</v>
      </c>
      <c r="O483" s="71">
        <f t="shared" si="4"/>
        <v>0</v>
      </c>
    </row>
    <row r="484" ht="15.75" customHeight="1">
      <c r="A484" s="17">
        <v>46023.0</v>
      </c>
      <c r="B484" s="44" t="s">
        <v>239</v>
      </c>
      <c r="C484" s="44" t="s">
        <v>74</v>
      </c>
      <c r="D484" s="45" t="s">
        <v>295</v>
      </c>
      <c r="E484" s="19">
        <f>IF($D484&lt;&gt;"Entregado",0,IF($C484="","",VLOOKUP($C484,'DATA DE TARIFA'!$A$4:$C$68,2,FALSE)/1.18))</f>
        <v>10.16949153</v>
      </c>
      <c r="F484" s="19">
        <f>IF($C484="","",IF($D484="",0,VLOOKUP($C484,'DATA DE TARIFA'!$A$4:$C$68,3,FALSE)))</f>
        <v>5.5</v>
      </c>
      <c r="G484" s="66">
        <v>0.0</v>
      </c>
      <c r="H484" s="19">
        <f t="shared" si="1"/>
        <v>10.16949153</v>
      </c>
      <c r="I484" s="19">
        <f t="shared" si="2"/>
        <v>5.5</v>
      </c>
      <c r="J484" s="67"/>
      <c r="K484" s="44" t="str">
        <f>IF($B484="","",IFERROR(VLOOKUP($B484,Tiendas!$A$4:$B$176,2,FALSE),""))</f>
        <v>JORDAN</v>
      </c>
      <c r="L484" s="68" t="s">
        <v>296</v>
      </c>
      <c r="M484" s="44" t="str">
        <f>IF($B484="","",IFERROR(VLOOKUP($B484,Tiendas!$A$4:$I$176,9,FALSE),""))</f>
        <v>Si</v>
      </c>
      <c r="N484" s="71">
        <f t="shared" si="3"/>
        <v>0</v>
      </c>
      <c r="O484" s="71">
        <f t="shared" si="4"/>
        <v>0</v>
      </c>
    </row>
    <row r="485" ht="15.75" customHeight="1">
      <c r="A485" s="17">
        <v>46023.0</v>
      </c>
      <c r="B485" s="44" t="s">
        <v>239</v>
      </c>
      <c r="C485" s="44" t="s">
        <v>75</v>
      </c>
      <c r="D485" s="45" t="s">
        <v>295</v>
      </c>
      <c r="E485" s="19">
        <f>IF($D485&lt;&gt;"Entregado",0,IF($C485="","",VLOOKUP($C485,'DATA DE TARIFA'!$A$4:$C$68,2,FALSE)/1.18))</f>
        <v>10.16949153</v>
      </c>
      <c r="F485" s="19">
        <f>IF($C485="","",IF($D485="",0,VLOOKUP($C485,'DATA DE TARIFA'!$A$4:$C$68,3,FALSE)))</f>
        <v>4.5</v>
      </c>
      <c r="G485" s="66">
        <v>0.0</v>
      </c>
      <c r="H485" s="19">
        <f t="shared" si="1"/>
        <v>10.16949153</v>
      </c>
      <c r="I485" s="19">
        <f t="shared" si="2"/>
        <v>4.5</v>
      </c>
      <c r="J485" s="67"/>
      <c r="K485" s="44" t="str">
        <f>IF($B485="","",IFERROR(VLOOKUP($B485,Tiendas!$A$4:$B$176,2,FALSE),""))</f>
        <v>JORDAN</v>
      </c>
      <c r="L485" s="68" t="s">
        <v>296</v>
      </c>
      <c r="M485" s="44" t="str">
        <f>IF($B485="","",IFERROR(VLOOKUP($B485,Tiendas!$A$4:$I$176,9,FALSE),""))</f>
        <v>Si</v>
      </c>
      <c r="N485" s="71">
        <f t="shared" si="3"/>
        <v>0</v>
      </c>
      <c r="O485" s="71">
        <f t="shared" si="4"/>
        <v>0</v>
      </c>
    </row>
    <row r="486" ht="15.75" customHeight="1">
      <c r="A486" s="17">
        <v>46023.0</v>
      </c>
      <c r="B486" s="44" t="s">
        <v>239</v>
      </c>
      <c r="C486" s="44" t="s">
        <v>26</v>
      </c>
      <c r="D486" s="45" t="s">
        <v>295</v>
      </c>
      <c r="E486" s="19">
        <f>IF($D486&lt;&gt;"Entregado",0,IF($C486="","",VLOOKUP($C486,'DATA DE TARIFA'!$A$4:$C$68,2,FALSE)/1.18))</f>
        <v>10.16949153</v>
      </c>
      <c r="F486" s="19">
        <f>IF($C486="","",IF($D486="",0,VLOOKUP($C486,'DATA DE TARIFA'!$A$4:$C$68,3,FALSE)))</f>
        <v>5</v>
      </c>
      <c r="G486" s="66">
        <v>0.0</v>
      </c>
      <c r="H486" s="19">
        <f t="shared" si="1"/>
        <v>10.16949153</v>
      </c>
      <c r="I486" s="19">
        <f t="shared" si="2"/>
        <v>5</v>
      </c>
      <c r="J486" s="67"/>
      <c r="K486" s="44" t="str">
        <f>IF($B486="","",IFERROR(VLOOKUP($B486,Tiendas!$A$4:$B$176,2,FALSE),""))</f>
        <v>JORDAN</v>
      </c>
      <c r="L486" s="73" t="s">
        <v>296</v>
      </c>
      <c r="M486" s="44" t="str">
        <f>IF($B486="","",IFERROR(VLOOKUP($B486,Tiendas!$A$4:$I$176,9,FALSE),""))</f>
        <v>Si</v>
      </c>
      <c r="N486" s="71">
        <f t="shared" si="3"/>
        <v>0</v>
      </c>
      <c r="O486" s="71">
        <f t="shared" si="4"/>
        <v>0</v>
      </c>
    </row>
    <row r="487" ht="15.75" customHeight="1">
      <c r="A487" s="17">
        <v>46023.0</v>
      </c>
      <c r="B487" s="44" t="s">
        <v>239</v>
      </c>
      <c r="C487" s="44" t="s">
        <v>74</v>
      </c>
      <c r="D487" s="45" t="s">
        <v>295</v>
      </c>
      <c r="E487" s="19">
        <f>IF($D487&lt;&gt;"Entregado",0,IF($C487="","",VLOOKUP($C487,'DATA DE TARIFA'!$A$4:$C$68,2,FALSE)/1.18))</f>
        <v>10.16949153</v>
      </c>
      <c r="F487" s="19">
        <f>IF($C487="","",IF($D487="",0,VLOOKUP($C487,'DATA DE TARIFA'!$A$4:$C$68,3,FALSE)))</f>
        <v>5.5</v>
      </c>
      <c r="G487" s="66">
        <v>0.0</v>
      </c>
      <c r="H487" s="19">
        <f t="shared" si="1"/>
        <v>10.16949153</v>
      </c>
      <c r="I487" s="19">
        <f t="shared" si="2"/>
        <v>5.5</v>
      </c>
      <c r="J487" s="67"/>
      <c r="K487" s="44" t="str">
        <f>IF($B487="","",IFERROR(VLOOKUP($B487,Tiendas!$A$4:$B$176,2,FALSE),""))</f>
        <v>JORDAN</v>
      </c>
      <c r="L487" s="68" t="s">
        <v>296</v>
      </c>
      <c r="M487" s="44" t="str">
        <f>IF($B487="","",IFERROR(VLOOKUP($B487,Tiendas!$A$4:$I$176,9,FALSE),""))</f>
        <v>Si</v>
      </c>
      <c r="N487" s="71">
        <f t="shared" si="3"/>
        <v>0</v>
      </c>
      <c r="O487" s="71">
        <f t="shared" si="4"/>
        <v>0</v>
      </c>
    </row>
    <row r="488" ht="15.75" customHeight="1">
      <c r="A488" s="17">
        <v>46023.0</v>
      </c>
      <c r="B488" s="44" t="s">
        <v>239</v>
      </c>
      <c r="C488" s="44" t="s">
        <v>49</v>
      </c>
      <c r="D488" s="45" t="s">
        <v>295</v>
      </c>
      <c r="E488" s="19">
        <f>IF($D488&lt;&gt;"Entregado",0,IF($C488="","",VLOOKUP($C488,'DATA DE TARIFA'!$A$4:$C$68,2,FALSE)/1.18))</f>
        <v>10.16949153</v>
      </c>
      <c r="F488" s="19">
        <f>IF($C488="","",IF($D488="",0,VLOOKUP($C488,'DATA DE TARIFA'!$A$4:$C$68,3,FALSE)))</f>
        <v>5.5</v>
      </c>
      <c r="G488" s="66">
        <v>0.0</v>
      </c>
      <c r="H488" s="19">
        <f t="shared" si="1"/>
        <v>10.16949153</v>
      </c>
      <c r="I488" s="19">
        <f t="shared" si="2"/>
        <v>5.5</v>
      </c>
      <c r="J488" s="67"/>
      <c r="K488" s="44" t="str">
        <f>IF($B488="","",IFERROR(VLOOKUP($B488,Tiendas!$A$4:$B$176,2,FALSE),""))</f>
        <v>JORDAN</v>
      </c>
      <c r="L488" s="68" t="s">
        <v>296</v>
      </c>
      <c r="M488" s="44" t="str">
        <f>IF($B488="","",IFERROR(VLOOKUP($B488,Tiendas!$A$4:$I$176,9,FALSE),""))</f>
        <v>Si</v>
      </c>
      <c r="N488" s="71">
        <f t="shared" si="3"/>
        <v>0</v>
      </c>
      <c r="O488" s="71">
        <f t="shared" si="4"/>
        <v>0</v>
      </c>
    </row>
    <row r="489" ht="15.75" customHeight="1">
      <c r="A489" s="17">
        <v>46023.0</v>
      </c>
      <c r="B489" s="44" t="s">
        <v>239</v>
      </c>
      <c r="C489" s="44" t="s">
        <v>21</v>
      </c>
      <c r="D489" s="45" t="s">
        <v>295</v>
      </c>
      <c r="E489" s="19">
        <f>IF($D489&lt;&gt;"Entregado",0,IF($C489="","",VLOOKUP($C489,'DATA DE TARIFA'!$A$4:$C$68,2,FALSE)/1.18))</f>
        <v>10.16949153</v>
      </c>
      <c r="F489" s="19">
        <f>IF($C489="","",IF($D489="",0,VLOOKUP($C489,'DATA DE TARIFA'!$A$4:$C$68,3,FALSE)))</f>
        <v>4.5</v>
      </c>
      <c r="G489" s="66">
        <v>0.0</v>
      </c>
      <c r="H489" s="19">
        <f t="shared" si="1"/>
        <v>10.16949153</v>
      </c>
      <c r="I489" s="19">
        <f t="shared" si="2"/>
        <v>4.5</v>
      </c>
      <c r="J489" s="67"/>
      <c r="K489" s="44" t="str">
        <f>IF($B489="","",IFERROR(VLOOKUP($B489,Tiendas!$A$4:$B$176,2,FALSE),""))</f>
        <v>JORDAN</v>
      </c>
      <c r="L489" s="68" t="s">
        <v>296</v>
      </c>
      <c r="M489" s="44" t="str">
        <f>IF($B489="","",IFERROR(VLOOKUP($B489,Tiendas!$A$4:$I$176,9,FALSE),""))</f>
        <v>Si</v>
      </c>
      <c r="N489" s="71">
        <f t="shared" si="3"/>
        <v>0</v>
      </c>
      <c r="O489" s="71">
        <f t="shared" si="4"/>
        <v>0</v>
      </c>
    </row>
    <row r="490" ht="15.75" customHeight="1">
      <c r="A490" s="17">
        <v>46023.0</v>
      </c>
      <c r="B490" s="44" t="s">
        <v>239</v>
      </c>
      <c r="C490" s="44" t="s">
        <v>21</v>
      </c>
      <c r="D490" s="45" t="s">
        <v>295</v>
      </c>
      <c r="E490" s="19">
        <f>IF($D490&lt;&gt;"Entregado",0,IF($C490="","",VLOOKUP($C490,'DATA DE TARIFA'!$A$4:$C$68,2,FALSE)/1.18))</f>
        <v>10.16949153</v>
      </c>
      <c r="F490" s="19">
        <f>IF($C490="","",IF($D490="",0,VLOOKUP($C490,'DATA DE TARIFA'!$A$4:$C$68,3,FALSE)))</f>
        <v>4.5</v>
      </c>
      <c r="G490" s="66">
        <v>0.0</v>
      </c>
      <c r="H490" s="19">
        <f t="shared" si="1"/>
        <v>10.16949153</v>
      </c>
      <c r="I490" s="19">
        <f t="shared" si="2"/>
        <v>4.5</v>
      </c>
      <c r="J490" s="67"/>
      <c r="K490" s="44" t="str">
        <f>IF($B490="","",IFERROR(VLOOKUP($B490,Tiendas!$A$4:$B$176,2,FALSE),""))</f>
        <v>JORDAN</v>
      </c>
      <c r="L490" s="68" t="s">
        <v>296</v>
      </c>
      <c r="M490" s="44" t="str">
        <f>IF($B490="","",IFERROR(VLOOKUP($B490,Tiendas!$A$4:$I$176,9,FALSE),""))</f>
        <v>Si</v>
      </c>
      <c r="N490" s="71">
        <f t="shared" si="3"/>
        <v>0</v>
      </c>
      <c r="O490" s="71">
        <f t="shared" si="4"/>
        <v>0</v>
      </c>
    </row>
    <row r="491" ht="15.75" customHeight="1">
      <c r="A491" s="17">
        <v>46023.0</v>
      </c>
      <c r="B491" s="44" t="s">
        <v>239</v>
      </c>
      <c r="C491" s="44" t="s">
        <v>26</v>
      </c>
      <c r="D491" s="45" t="s">
        <v>295</v>
      </c>
      <c r="E491" s="19">
        <f>IF($D491&lt;&gt;"Entregado",0,IF($C491="","",VLOOKUP($C491,'DATA DE TARIFA'!$A$4:$C$68,2,FALSE)/1.18))</f>
        <v>10.16949153</v>
      </c>
      <c r="F491" s="19">
        <f>IF($C491="","",IF($D491="",0,VLOOKUP($C491,'DATA DE TARIFA'!$A$4:$C$68,3,FALSE)))</f>
        <v>5</v>
      </c>
      <c r="G491" s="66">
        <v>0.0</v>
      </c>
      <c r="H491" s="19">
        <f t="shared" si="1"/>
        <v>10.16949153</v>
      </c>
      <c r="I491" s="19">
        <f t="shared" si="2"/>
        <v>5</v>
      </c>
      <c r="J491" s="67"/>
      <c r="K491" s="44" t="str">
        <f>IF($B491="","",IFERROR(VLOOKUP($B491,Tiendas!$A$4:$B$176,2,FALSE),""))</f>
        <v>JORDAN</v>
      </c>
      <c r="L491" s="68" t="s">
        <v>296</v>
      </c>
      <c r="M491" s="44" t="str">
        <f>IF($B491="","",IFERROR(VLOOKUP($B491,Tiendas!$A$4:$I$176,9,FALSE),""))</f>
        <v>Si</v>
      </c>
      <c r="N491" s="71">
        <f t="shared" si="3"/>
        <v>0</v>
      </c>
      <c r="O491" s="71">
        <f t="shared" si="4"/>
        <v>0</v>
      </c>
    </row>
    <row r="492" ht="15.75" customHeight="1">
      <c r="A492" s="17">
        <v>46023.0</v>
      </c>
      <c r="B492" s="44" t="s">
        <v>239</v>
      </c>
      <c r="C492" s="44" t="s">
        <v>26</v>
      </c>
      <c r="D492" s="45" t="s">
        <v>295</v>
      </c>
      <c r="E492" s="19">
        <f>IF($D492&lt;&gt;"Entregado",0,IF($C492="","",VLOOKUP($C492,'DATA DE TARIFA'!$A$4:$C$68,2,FALSE)/1.18))</f>
        <v>10.16949153</v>
      </c>
      <c r="F492" s="19">
        <f>IF($C492="","",IF($D492="",0,VLOOKUP($C492,'DATA DE TARIFA'!$A$4:$C$68,3,FALSE)))</f>
        <v>5</v>
      </c>
      <c r="G492" s="66">
        <v>0.0</v>
      </c>
      <c r="H492" s="19">
        <f t="shared" si="1"/>
        <v>10.16949153</v>
      </c>
      <c r="I492" s="19">
        <f t="shared" si="2"/>
        <v>5</v>
      </c>
      <c r="J492" s="67"/>
      <c r="K492" s="44" t="str">
        <f>IF($B492="","",IFERROR(VLOOKUP($B492,Tiendas!$A$4:$B$176,2,FALSE),""))</f>
        <v>JORDAN</v>
      </c>
      <c r="L492" s="68" t="s">
        <v>296</v>
      </c>
      <c r="M492" s="44" t="str">
        <f>IF($B492="","",IFERROR(VLOOKUP($B492,Tiendas!$A$4:$I$176,9,FALSE),""))</f>
        <v>Si</v>
      </c>
      <c r="N492" s="71">
        <f t="shared" si="3"/>
        <v>0</v>
      </c>
      <c r="O492" s="71">
        <f t="shared" si="4"/>
        <v>0</v>
      </c>
    </row>
    <row r="493" ht="15.75" customHeight="1">
      <c r="A493" s="17">
        <v>46023.0</v>
      </c>
      <c r="B493" s="44" t="s">
        <v>239</v>
      </c>
      <c r="C493" s="44" t="s">
        <v>30</v>
      </c>
      <c r="D493" s="45" t="s">
        <v>295</v>
      </c>
      <c r="E493" s="19">
        <f>IF($D493&lt;&gt;"Entregado",0,IF($C493="","",VLOOKUP($C493,'DATA DE TARIFA'!$A$4:$C$68,2,FALSE)/1.18))</f>
        <v>8.474576271</v>
      </c>
      <c r="F493" s="19">
        <f>IF($C493="","",IF($D493="",0,VLOOKUP($C493,'DATA DE TARIFA'!$A$4:$C$68,3,FALSE)))</f>
        <v>4.5</v>
      </c>
      <c r="G493" s="66">
        <v>0.0</v>
      </c>
      <c r="H493" s="19">
        <f t="shared" si="1"/>
        <v>8.474576271</v>
      </c>
      <c r="I493" s="19">
        <f t="shared" si="2"/>
        <v>4.5</v>
      </c>
      <c r="J493" s="67"/>
      <c r="K493" s="44" t="str">
        <f>IF($B493="","",IFERROR(VLOOKUP($B493,Tiendas!$A$4:$B$176,2,FALSE),""))</f>
        <v>JORDAN</v>
      </c>
      <c r="L493" s="68" t="s">
        <v>296</v>
      </c>
      <c r="M493" s="44" t="str">
        <f>IF($B493="","",IFERROR(VLOOKUP($B493,Tiendas!$A$4:$I$176,9,FALSE),""))</f>
        <v>Si</v>
      </c>
      <c r="N493" s="71">
        <f t="shared" si="3"/>
        <v>0</v>
      </c>
      <c r="O493" s="71">
        <f t="shared" si="4"/>
        <v>0</v>
      </c>
    </row>
    <row r="494" ht="15.75" customHeight="1">
      <c r="A494" s="17">
        <v>46023.0</v>
      </c>
      <c r="B494" s="44" t="s">
        <v>239</v>
      </c>
      <c r="C494" s="44" t="s">
        <v>65</v>
      </c>
      <c r="D494" s="45" t="s">
        <v>295</v>
      </c>
      <c r="E494" s="19">
        <f>IF($D494&lt;&gt;"Entregado",0,IF($C494="","",VLOOKUP($C494,'DATA DE TARIFA'!$A$4:$C$68,2,FALSE)/1.18))</f>
        <v>10.16949153</v>
      </c>
      <c r="F494" s="19">
        <f>IF($C494="","",IF($D494="",0,VLOOKUP($C494,'DATA DE TARIFA'!$A$4:$C$68,3,FALSE)))</f>
        <v>4.5</v>
      </c>
      <c r="G494" s="66">
        <v>0.0</v>
      </c>
      <c r="H494" s="19">
        <f t="shared" si="1"/>
        <v>10.16949153</v>
      </c>
      <c r="I494" s="19">
        <f t="shared" si="2"/>
        <v>4.5</v>
      </c>
      <c r="J494" s="67"/>
      <c r="K494" s="44" t="str">
        <f>IF($B494="","",IFERROR(VLOOKUP($B494,Tiendas!$A$4:$B$176,2,FALSE),""))</f>
        <v>JORDAN</v>
      </c>
      <c r="L494" s="68" t="s">
        <v>296</v>
      </c>
      <c r="M494" s="44" t="str">
        <f>IF($B494="","",IFERROR(VLOOKUP($B494,Tiendas!$A$4:$I$176,9,FALSE),""))</f>
        <v>Si</v>
      </c>
      <c r="N494" s="71">
        <f t="shared" si="3"/>
        <v>0</v>
      </c>
      <c r="O494" s="71">
        <f t="shared" si="4"/>
        <v>0</v>
      </c>
    </row>
    <row r="495" ht="15.75" customHeight="1">
      <c r="A495" s="17">
        <v>46023.0</v>
      </c>
      <c r="B495" s="44" t="s">
        <v>239</v>
      </c>
      <c r="C495" s="44" t="s">
        <v>55</v>
      </c>
      <c r="D495" s="45" t="s">
        <v>295</v>
      </c>
      <c r="E495" s="19">
        <f>IF($D495&lt;&gt;"Entregado",0,IF($C495="","",VLOOKUP($C495,'DATA DE TARIFA'!$A$4:$C$68,2,FALSE)/1.18))</f>
        <v>8.474576271</v>
      </c>
      <c r="F495" s="19">
        <f>IF($C495="","",IF($D495="",0,VLOOKUP($C495,'DATA DE TARIFA'!$A$4:$C$68,3,FALSE)))</f>
        <v>4</v>
      </c>
      <c r="G495" s="66">
        <v>0.0</v>
      </c>
      <c r="H495" s="19">
        <f t="shared" si="1"/>
        <v>8.474576271</v>
      </c>
      <c r="I495" s="19">
        <f t="shared" si="2"/>
        <v>4</v>
      </c>
      <c r="J495" s="67"/>
      <c r="K495" s="44" t="str">
        <f>IF($B495="","",IFERROR(VLOOKUP($B495,Tiendas!$A$4:$B$176,2,FALSE),""))</f>
        <v>JORDAN</v>
      </c>
      <c r="L495" s="68" t="s">
        <v>296</v>
      </c>
      <c r="M495" s="44" t="str">
        <f>IF($B495="","",IFERROR(VLOOKUP($B495,Tiendas!$A$4:$I$176,9,FALSE),""))</f>
        <v>Si</v>
      </c>
      <c r="N495" s="71">
        <f t="shared" si="3"/>
        <v>0</v>
      </c>
      <c r="O495" s="71">
        <f t="shared" si="4"/>
        <v>0</v>
      </c>
    </row>
    <row r="496" ht="15.75" customHeight="1">
      <c r="A496" s="17">
        <v>46023.0</v>
      </c>
      <c r="B496" s="44" t="s">
        <v>239</v>
      </c>
      <c r="C496" s="44" t="s">
        <v>21</v>
      </c>
      <c r="D496" s="45" t="s">
        <v>295</v>
      </c>
      <c r="E496" s="19">
        <f>IF($D496&lt;&gt;"Entregado",0,IF($C496="","",VLOOKUP($C496,'DATA DE TARIFA'!$A$4:$C$68,2,FALSE)/1.18))</f>
        <v>10.16949153</v>
      </c>
      <c r="F496" s="19">
        <f>IF($C496="","",IF($D496="",0,VLOOKUP($C496,'DATA DE TARIFA'!$A$4:$C$68,3,FALSE)))</f>
        <v>4.5</v>
      </c>
      <c r="G496" s="66">
        <v>0.0</v>
      </c>
      <c r="H496" s="19">
        <f t="shared" si="1"/>
        <v>10.16949153</v>
      </c>
      <c r="I496" s="19">
        <f t="shared" si="2"/>
        <v>4.5</v>
      </c>
      <c r="J496" s="67"/>
      <c r="K496" s="44" t="str">
        <f>IF($B496="","",IFERROR(VLOOKUP($B496,Tiendas!$A$4:$B$176,2,FALSE),""))</f>
        <v>JORDAN</v>
      </c>
      <c r="L496" s="68" t="s">
        <v>296</v>
      </c>
      <c r="M496" s="44" t="str">
        <f>IF($B496="","",IFERROR(VLOOKUP($B496,Tiendas!$A$4:$I$176,9,FALSE),""))</f>
        <v>Si</v>
      </c>
      <c r="N496" s="71">
        <f t="shared" si="3"/>
        <v>0</v>
      </c>
      <c r="O496" s="71">
        <f t="shared" si="4"/>
        <v>0</v>
      </c>
    </row>
    <row r="497" ht="15.75" customHeight="1">
      <c r="A497" s="17">
        <v>46023.0</v>
      </c>
      <c r="B497" s="44" t="s">
        <v>239</v>
      </c>
      <c r="C497" s="44" t="s">
        <v>44</v>
      </c>
      <c r="D497" s="45" t="s">
        <v>295</v>
      </c>
      <c r="E497" s="19">
        <f>IF($D497&lt;&gt;"Entregado",0,IF($C497="","",VLOOKUP($C497,'DATA DE TARIFA'!$A$4:$C$68,2,FALSE)/1.18))</f>
        <v>10.16949153</v>
      </c>
      <c r="F497" s="19">
        <f>IF($C497="","",IF($D497="",0,VLOOKUP($C497,'DATA DE TARIFA'!$A$4:$C$68,3,FALSE)))</f>
        <v>5.5</v>
      </c>
      <c r="G497" s="66">
        <v>0.0</v>
      </c>
      <c r="H497" s="19">
        <f t="shared" si="1"/>
        <v>10.16949153</v>
      </c>
      <c r="I497" s="19">
        <f t="shared" si="2"/>
        <v>5.5</v>
      </c>
      <c r="J497" s="67"/>
      <c r="K497" s="44" t="str">
        <f>IF($B497="","",IFERROR(VLOOKUP($B497,Tiendas!$A$4:$B$176,2,FALSE),""))</f>
        <v>JORDAN</v>
      </c>
      <c r="L497" s="68" t="s">
        <v>296</v>
      </c>
      <c r="M497" s="44" t="str">
        <f>IF($B497="","",IFERROR(VLOOKUP($B497,Tiendas!$A$4:$I$176,9,FALSE),""))</f>
        <v>Si</v>
      </c>
      <c r="N497" s="71">
        <f t="shared" si="3"/>
        <v>0</v>
      </c>
      <c r="O497" s="71">
        <f t="shared" si="4"/>
        <v>0</v>
      </c>
    </row>
    <row r="498" ht="15.75" customHeight="1">
      <c r="A498" s="17">
        <v>46023.0</v>
      </c>
      <c r="B498" s="44" t="s">
        <v>239</v>
      </c>
      <c r="C498" s="44" t="s">
        <v>30</v>
      </c>
      <c r="D498" s="45" t="s">
        <v>295</v>
      </c>
      <c r="E498" s="19">
        <f>IF($D498&lt;&gt;"Entregado",0,IF($C498="","",VLOOKUP($C498,'DATA DE TARIFA'!$A$4:$C$68,2,FALSE)/1.18))</f>
        <v>8.474576271</v>
      </c>
      <c r="F498" s="19">
        <f>IF($C498="","",IF($D498="",0,VLOOKUP($C498,'DATA DE TARIFA'!$A$4:$C$68,3,FALSE)))</f>
        <v>4.5</v>
      </c>
      <c r="G498" s="66">
        <v>0.0</v>
      </c>
      <c r="H498" s="19">
        <f t="shared" si="1"/>
        <v>8.474576271</v>
      </c>
      <c r="I498" s="19">
        <f t="shared" si="2"/>
        <v>4.5</v>
      </c>
      <c r="J498" s="67"/>
      <c r="K498" s="44" t="str">
        <f>IF($B498="","",IFERROR(VLOOKUP($B498,Tiendas!$A$4:$B$176,2,FALSE),""))</f>
        <v>JORDAN</v>
      </c>
      <c r="L498" s="68" t="s">
        <v>296</v>
      </c>
      <c r="M498" s="44" t="str">
        <f>IF($B498="","",IFERROR(VLOOKUP($B498,Tiendas!$A$4:$I$176,9,FALSE),""))</f>
        <v>Si</v>
      </c>
      <c r="N498" s="71">
        <f t="shared" si="3"/>
        <v>0</v>
      </c>
      <c r="O498" s="71">
        <f t="shared" si="4"/>
        <v>0</v>
      </c>
    </row>
    <row r="499" ht="15.75" customHeight="1">
      <c r="A499" s="17">
        <v>46023.0</v>
      </c>
      <c r="B499" s="44" t="s">
        <v>239</v>
      </c>
      <c r="C499" s="44" t="s">
        <v>32</v>
      </c>
      <c r="D499" s="45" t="s">
        <v>295</v>
      </c>
      <c r="E499" s="19">
        <f>IF($D499&lt;&gt;"Entregado",0,IF($C499="","",VLOOKUP($C499,'DATA DE TARIFA'!$A$4:$C$68,2,FALSE)/1.18))</f>
        <v>8.474576271</v>
      </c>
      <c r="F499" s="19">
        <f>IF($C499="","",IF($D499="",0,VLOOKUP($C499,'DATA DE TARIFA'!$A$4:$C$68,3,FALSE)))</f>
        <v>4.5</v>
      </c>
      <c r="G499" s="66">
        <v>0.0</v>
      </c>
      <c r="H499" s="19">
        <f t="shared" si="1"/>
        <v>8.474576271</v>
      </c>
      <c r="I499" s="19">
        <f t="shared" si="2"/>
        <v>4.5</v>
      </c>
      <c r="J499" s="67"/>
      <c r="K499" s="44" t="str">
        <f>IF($B499="","",IFERROR(VLOOKUP($B499,Tiendas!$A$4:$B$176,2,FALSE),""))</f>
        <v>JORDAN</v>
      </c>
      <c r="L499" s="68" t="s">
        <v>296</v>
      </c>
      <c r="M499" s="44" t="str">
        <f>IF($B499="","",IFERROR(VLOOKUP($B499,Tiendas!$A$4:$I$176,9,FALSE),""))</f>
        <v>Si</v>
      </c>
      <c r="N499" s="71">
        <f t="shared" si="3"/>
        <v>0</v>
      </c>
      <c r="O499" s="71">
        <f t="shared" si="4"/>
        <v>0</v>
      </c>
    </row>
    <row r="500" ht="15.75" customHeight="1">
      <c r="A500" s="17">
        <v>46023.0</v>
      </c>
      <c r="B500" s="44" t="s">
        <v>239</v>
      </c>
      <c r="C500" s="44" t="s">
        <v>23</v>
      </c>
      <c r="D500" s="45" t="s">
        <v>295</v>
      </c>
      <c r="E500" s="19">
        <f>IF($D500&lt;&gt;"Entregado",0,IF($C500="","",VLOOKUP($C500,'DATA DE TARIFA'!$A$4:$C$68,2,FALSE)/1.18))</f>
        <v>8.474576271</v>
      </c>
      <c r="F500" s="19">
        <f>IF($C500="","",IF($D500="",0,VLOOKUP($C500,'DATA DE TARIFA'!$A$4:$C$68,3,FALSE)))</f>
        <v>4.5</v>
      </c>
      <c r="G500" s="66">
        <v>0.0</v>
      </c>
      <c r="H500" s="19">
        <f t="shared" si="1"/>
        <v>8.474576271</v>
      </c>
      <c r="I500" s="19">
        <f t="shared" si="2"/>
        <v>4.5</v>
      </c>
      <c r="J500" s="67"/>
      <c r="K500" s="44" t="str">
        <f>IF($B500="","",IFERROR(VLOOKUP($B500,Tiendas!$A$4:$B$176,2,FALSE),""))</f>
        <v>JORDAN</v>
      </c>
      <c r="L500" s="68" t="s">
        <v>296</v>
      </c>
      <c r="M500" s="44" t="str">
        <f>IF($B500="","",IFERROR(VLOOKUP($B500,Tiendas!$A$4:$I$176,9,FALSE),""))</f>
        <v>Si</v>
      </c>
      <c r="N500" s="71">
        <f t="shared" si="3"/>
        <v>0</v>
      </c>
      <c r="O500" s="71">
        <f t="shared" si="4"/>
        <v>0</v>
      </c>
    </row>
    <row r="501" ht="15.75" customHeight="1">
      <c r="A501" s="17">
        <v>46023.0</v>
      </c>
      <c r="B501" s="44" t="s">
        <v>239</v>
      </c>
      <c r="C501" s="44" t="s">
        <v>23</v>
      </c>
      <c r="D501" s="45" t="s">
        <v>295</v>
      </c>
      <c r="E501" s="19">
        <f>IF($D501&lt;&gt;"Entregado",0,IF($C501="","",VLOOKUP($C501,'DATA DE TARIFA'!$A$4:$C$68,2,FALSE)/1.18))</f>
        <v>8.474576271</v>
      </c>
      <c r="F501" s="19">
        <f>IF($C501="","",IF($D501="",0,VLOOKUP($C501,'DATA DE TARIFA'!$A$4:$C$68,3,FALSE)))</f>
        <v>4.5</v>
      </c>
      <c r="G501" s="66">
        <v>0.0</v>
      </c>
      <c r="H501" s="19">
        <f t="shared" si="1"/>
        <v>8.474576271</v>
      </c>
      <c r="I501" s="19">
        <f t="shared" si="2"/>
        <v>4.5</v>
      </c>
      <c r="J501" s="67"/>
      <c r="K501" s="44" t="str">
        <f>IF($B501="","",IFERROR(VLOOKUP($B501,Tiendas!$A$4:$B$176,2,FALSE),""))</f>
        <v>JORDAN</v>
      </c>
      <c r="L501" s="68" t="s">
        <v>296</v>
      </c>
      <c r="M501" s="44" t="str">
        <f>IF($B501="","",IFERROR(VLOOKUP($B501,Tiendas!$A$4:$I$176,9,FALSE),""))</f>
        <v>Si</v>
      </c>
      <c r="N501" s="71">
        <f t="shared" si="3"/>
        <v>0</v>
      </c>
      <c r="O501" s="71">
        <f t="shared" si="4"/>
        <v>0</v>
      </c>
    </row>
    <row r="502" ht="15.75" customHeight="1">
      <c r="A502" s="17">
        <v>46023.0</v>
      </c>
      <c r="B502" s="44" t="s">
        <v>239</v>
      </c>
      <c r="C502" s="44" t="s">
        <v>36</v>
      </c>
      <c r="D502" s="45" t="s">
        <v>295</v>
      </c>
      <c r="E502" s="19">
        <f>IF($D502&lt;&gt;"Entregado",0,IF($C502="","",VLOOKUP($C502,'DATA DE TARIFA'!$A$4:$C$68,2,FALSE)/1.18))</f>
        <v>10.16949153</v>
      </c>
      <c r="F502" s="19">
        <f>IF($C502="","",IF($D502="",0,VLOOKUP($C502,'DATA DE TARIFA'!$A$4:$C$68,3,FALSE)))</f>
        <v>4.5</v>
      </c>
      <c r="G502" s="66">
        <v>0.0</v>
      </c>
      <c r="H502" s="19">
        <f t="shared" si="1"/>
        <v>10.16949153</v>
      </c>
      <c r="I502" s="19">
        <f t="shared" si="2"/>
        <v>4.5</v>
      </c>
      <c r="J502" s="67"/>
      <c r="K502" s="44" t="str">
        <f>IF($B502="","",IFERROR(VLOOKUP($B502,Tiendas!$A$4:$B$176,2,FALSE),""))</f>
        <v>JORDAN</v>
      </c>
      <c r="L502" s="68" t="s">
        <v>296</v>
      </c>
      <c r="M502" s="44" t="str">
        <f>IF($B502="","",IFERROR(VLOOKUP($B502,Tiendas!$A$4:$I$176,9,FALSE),""))</f>
        <v>Si</v>
      </c>
      <c r="N502" s="71">
        <f t="shared" si="3"/>
        <v>0</v>
      </c>
      <c r="O502" s="71">
        <f t="shared" si="4"/>
        <v>0</v>
      </c>
    </row>
    <row r="503" ht="15.75" customHeight="1">
      <c r="A503" s="17">
        <v>46023.0</v>
      </c>
      <c r="B503" s="44" t="s">
        <v>239</v>
      </c>
      <c r="C503" s="44" t="s">
        <v>21</v>
      </c>
      <c r="D503" s="45" t="s">
        <v>295</v>
      </c>
      <c r="E503" s="19">
        <f>IF($D503&lt;&gt;"Entregado",0,IF($C503="","",VLOOKUP($C503,'DATA DE TARIFA'!$A$4:$C$68,2,FALSE)/1.18))</f>
        <v>10.16949153</v>
      </c>
      <c r="F503" s="19">
        <f>IF($C503="","",IF($D503="",0,VLOOKUP($C503,'DATA DE TARIFA'!$A$4:$C$68,3,FALSE)))</f>
        <v>4.5</v>
      </c>
      <c r="G503" s="66">
        <v>0.0</v>
      </c>
      <c r="H503" s="19">
        <f t="shared" si="1"/>
        <v>10.16949153</v>
      </c>
      <c r="I503" s="19">
        <f t="shared" si="2"/>
        <v>4.5</v>
      </c>
      <c r="J503" s="67"/>
      <c r="K503" s="44" t="str">
        <f>IF($B503="","",IFERROR(VLOOKUP($B503,Tiendas!$A$4:$B$176,2,FALSE),""))</f>
        <v>JORDAN</v>
      </c>
      <c r="L503" s="68" t="s">
        <v>296</v>
      </c>
      <c r="M503" s="44" t="str">
        <f>IF($B503="","",IFERROR(VLOOKUP($B503,Tiendas!$A$4:$I$176,9,FALSE),""))</f>
        <v>Si</v>
      </c>
      <c r="N503" s="71">
        <f t="shared" si="3"/>
        <v>0</v>
      </c>
      <c r="O503" s="71">
        <f t="shared" si="4"/>
        <v>0</v>
      </c>
    </row>
    <row r="504" ht="15.75" customHeight="1">
      <c r="A504" s="17">
        <v>46023.0</v>
      </c>
      <c r="B504" s="44" t="s">
        <v>239</v>
      </c>
      <c r="C504" s="44" t="s">
        <v>46</v>
      </c>
      <c r="D504" s="45" t="s">
        <v>295</v>
      </c>
      <c r="E504" s="19">
        <f>IF($D504&lt;&gt;"Entregado",0,IF($C504="","",VLOOKUP($C504,'DATA DE TARIFA'!$A$4:$C$68,2,FALSE)/1.18))</f>
        <v>10.16949153</v>
      </c>
      <c r="F504" s="19">
        <f>IF($C504="","",IF($D504="",0,VLOOKUP($C504,'DATA DE TARIFA'!$A$4:$C$68,3,FALSE)))</f>
        <v>4.5</v>
      </c>
      <c r="G504" s="66">
        <v>0.0</v>
      </c>
      <c r="H504" s="19">
        <f t="shared" si="1"/>
        <v>10.16949153</v>
      </c>
      <c r="I504" s="19">
        <f t="shared" si="2"/>
        <v>4.5</v>
      </c>
      <c r="J504" s="67"/>
      <c r="K504" s="44" t="str">
        <f>IF($B504="","",IFERROR(VLOOKUP($B504,Tiendas!$A$4:$B$176,2,FALSE),""))</f>
        <v>JORDAN</v>
      </c>
      <c r="L504" s="68" t="s">
        <v>296</v>
      </c>
      <c r="M504" s="44" t="str">
        <f>IF($B504="","",IFERROR(VLOOKUP($B504,Tiendas!$A$4:$I$176,9,FALSE),""))</f>
        <v>Si</v>
      </c>
      <c r="N504" s="71">
        <f t="shared" si="3"/>
        <v>0</v>
      </c>
      <c r="O504" s="71">
        <f t="shared" si="4"/>
        <v>0</v>
      </c>
    </row>
    <row r="505" ht="15.75" customHeight="1">
      <c r="A505" s="17">
        <v>46023.0</v>
      </c>
      <c r="B505" s="44" t="s">
        <v>239</v>
      </c>
      <c r="C505" s="44" t="s">
        <v>62</v>
      </c>
      <c r="D505" s="45" t="s">
        <v>295</v>
      </c>
      <c r="E505" s="19">
        <f>IF($D505&lt;&gt;"Entregado",0,IF($C505="","",VLOOKUP($C505,'DATA DE TARIFA'!$A$4:$C$68,2,FALSE)/1.18))</f>
        <v>8.474576271</v>
      </c>
      <c r="F505" s="19">
        <f>IF($C505="","",IF($D505="",0,VLOOKUP($C505,'DATA DE TARIFA'!$A$4:$C$68,3,FALSE)))</f>
        <v>4.5</v>
      </c>
      <c r="G505" s="66">
        <v>0.0</v>
      </c>
      <c r="H505" s="19">
        <f t="shared" si="1"/>
        <v>8.474576271</v>
      </c>
      <c r="I505" s="19">
        <f t="shared" si="2"/>
        <v>4.5</v>
      </c>
      <c r="J505" s="67"/>
      <c r="K505" s="44" t="str">
        <f>IF($B505="","",IFERROR(VLOOKUP($B505,Tiendas!$A$4:$B$176,2,FALSE),""))</f>
        <v>JORDAN</v>
      </c>
      <c r="L505" s="68" t="s">
        <v>296</v>
      </c>
      <c r="M505" s="44" t="str">
        <f>IF($B505="","",IFERROR(VLOOKUP($B505,Tiendas!$A$4:$I$176,9,FALSE),""))</f>
        <v>Si</v>
      </c>
      <c r="N505" s="71">
        <f t="shared" si="3"/>
        <v>0</v>
      </c>
      <c r="O505" s="71">
        <f t="shared" si="4"/>
        <v>0</v>
      </c>
    </row>
    <row r="506" ht="15.75" customHeight="1">
      <c r="A506" s="17">
        <v>46023.0</v>
      </c>
      <c r="B506" s="44" t="s">
        <v>239</v>
      </c>
      <c r="C506" s="44" t="s">
        <v>65</v>
      </c>
      <c r="D506" s="45" t="s">
        <v>295</v>
      </c>
      <c r="E506" s="19">
        <f>IF($D506&lt;&gt;"Entregado",0,IF($C506="","",VLOOKUP($C506,'DATA DE TARIFA'!$A$4:$C$68,2,FALSE)/1.18))</f>
        <v>10.16949153</v>
      </c>
      <c r="F506" s="19">
        <f>IF($C506="","",IF($D506="",0,VLOOKUP($C506,'DATA DE TARIFA'!$A$4:$C$68,3,FALSE)))</f>
        <v>4.5</v>
      </c>
      <c r="G506" s="66">
        <v>0.0</v>
      </c>
      <c r="H506" s="19">
        <f t="shared" si="1"/>
        <v>10.16949153</v>
      </c>
      <c r="I506" s="19">
        <f t="shared" si="2"/>
        <v>4.5</v>
      </c>
      <c r="J506" s="67"/>
      <c r="K506" s="44" t="str">
        <f>IF($B506="","",IFERROR(VLOOKUP($B506,Tiendas!$A$4:$B$176,2,FALSE),""))</f>
        <v>JORDAN</v>
      </c>
      <c r="L506" s="68" t="s">
        <v>296</v>
      </c>
      <c r="M506" s="44" t="str">
        <f>IF($B506="","",IFERROR(VLOOKUP($B506,Tiendas!$A$4:$I$176,9,FALSE),""))</f>
        <v>Si</v>
      </c>
      <c r="N506" s="71">
        <f t="shared" si="3"/>
        <v>0</v>
      </c>
      <c r="O506" s="71">
        <f t="shared" si="4"/>
        <v>0</v>
      </c>
    </row>
    <row r="507" ht="15.75" customHeight="1">
      <c r="A507" s="17">
        <v>46023.0</v>
      </c>
      <c r="B507" s="44" t="s">
        <v>239</v>
      </c>
      <c r="C507" s="44" t="s">
        <v>67</v>
      </c>
      <c r="D507" s="45" t="s">
        <v>295</v>
      </c>
      <c r="E507" s="19">
        <f>IF($D507&lt;&gt;"Entregado",0,IF($C507="","",VLOOKUP($C507,'DATA DE TARIFA'!$A$4:$C$68,2,FALSE)/1.18))</f>
        <v>10.16949153</v>
      </c>
      <c r="F507" s="19">
        <f>IF($C507="","",IF($D507="",0,VLOOKUP($C507,'DATA DE TARIFA'!$A$4:$C$68,3,FALSE)))</f>
        <v>5.5</v>
      </c>
      <c r="G507" s="66">
        <v>0.0</v>
      </c>
      <c r="H507" s="19">
        <f t="shared" si="1"/>
        <v>10.16949153</v>
      </c>
      <c r="I507" s="19">
        <f t="shared" si="2"/>
        <v>5.5</v>
      </c>
      <c r="J507" s="67"/>
      <c r="K507" s="44" t="str">
        <f>IF($B507="","",IFERROR(VLOOKUP($B507,Tiendas!$A$4:$B$176,2,FALSE),""))</f>
        <v>JORDAN</v>
      </c>
      <c r="L507" s="68" t="s">
        <v>296</v>
      </c>
      <c r="M507" s="44" t="str">
        <f>IF($B507="","",IFERROR(VLOOKUP($B507,Tiendas!$A$4:$I$176,9,FALSE),""))</f>
        <v>Si</v>
      </c>
      <c r="N507" s="71">
        <f t="shared" si="3"/>
        <v>0</v>
      </c>
      <c r="O507" s="71">
        <f t="shared" si="4"/>
        <v>0</v>
      </c>
    </row>
    <row r="508" ht="15.75" customHeight="1">
      <c r="A508" s="17">
        <v>46023.0</v>
      </c>
      <c r="B508" s="44" t="s">
        <v>239</v>
      </c>
      <c r="C508" s="44" t="s">
        <v>51</v>
      </c>
      <c r="D508" s="45" t="s">
        <v>295</v>
      </c>
      <c r="E508" s="19">
        <f>IF($D508&lt;&gt;"Entregado",0,IF($C508="","",VLOOKUP($C508,'DATA DE TARIFA'!$A$4:$C$68,2,FALSE)/1.18))</f>
        <v>10.16949153</v>
      </c>
      <c r="F508" s="19">
        <f>IF($C508="","",IF($D508="",0,VLOOKUP($C508,'DATA DE TARIFA'!$A$4:$C$68,3,FALSE)))</f>
        <v>5.5</v>
      </c>
      <c r="G508" s="66">
        <v>0.0</v>
      </c>
      <c r="H508" s="19">
        <f t="shared" si="1"/>
        <v>10.16949153</v>
      </c>
      <c r="I508" s="19">
        <f t="shared" si="2"/>
        <v>5.5</v>
      </c>
      <c r="J508" s="67"/>
      <c r="K508" s="44" t="str">
        <f>IF($B508="","",IFERROR(VLOOKUP($B508,Tiendas!$A$4:$B$176,2,FALSE),""))</f>
        <v>JORDAN</v>
      </c>
      <c r="L508" s="68" t="s">
        <v>296</v>
      </c>
      <c r="M508" s="44" t="str">
        <f>IF($B508="","",IFERROR(VLOOKUP($B508,Tiendas!$A$4:$I$176,9,FALSE),""))</f>
        <v>Si</v>
      </c>
      <c r="N508" s="71">
        <f t="shared" si="3"/>
        <v>0</v>
      </c>
      <c r="O508" s="71">
        <f t="shared" si="4"/>
        <v>0</v>
      </c>
    </row>
    <row r="509" ht="15.75" customHeight="1">
      <c r="A509" s="17">
        <v>46023.0</v>
      </c>
      <c r="B509" s="44" t="s">
        <v>239</v>
      </c>
      <c r="C509" s="44" t="s">
        <v>32</v>
      </c>
      <c r="D509" s="45" t="s">
        <v>295</v>
      </c>
      <c r="E509" s="19">
        <f>IF($D509&lt;&gt;"Entregado",0,IF($C509="","",VLOOKUP($C509,'DATA DE TARIFA'!$A$4:$C$68,2,FALSE)/1.18))</f>
        <v>8.474576271</v>
      </c>
      <c r="F509" s="19">
        <f>IF($C509="","",IF($D509="",0,VLOOKUP($C509,'DATA DE TARIFA'!$A$4:$C$68,3,FALSE)))</f>
        <v>4.5</v>
      </c>
      <c r="G509" s="66">
        <v>0.0</v>
      </c>
      <c r="H509" s="19">
        <f t="shared" si="1"/>
        <v>8.474576271</v>
      </c>
      <c r="I509" s="19">
        <f t="shared" si="2"/>
        <v>4.5</v>
      </c>
      <c r="J509" s="67"/>
      <c r="K509" s="44" t="str">
        <f>IF($B509="","",IFERROR(VLOOKUP($B509,Tiendas!$A$4:$B$176,2,FALSE),""))</f>
        <v>JORDAN</v>
      </c>
      <c r="L509" s="68" t="s">
        <v>296</v>
      </c>
      <c r="M509" s="44" t="str">
        <f>IF($B509="","",IFERROR(VLOOKUP($B509,Tiendas!$A$4:$I$176,9,FALSE),""))</f>
        <v>Si</v>
      </c>
      <c r="N509" s="71">
        <f t="shared" si="3"/>
        <v>0</v>
      </c>
      <c r="O509" s="71">
        <f t="shared" si="4"/>
        <v>0</v>
      </c>
    </row>
    <row r="510" ht="15.75" customHeight="1">
      <c r="A510" s="17">
        <v>46023.0</v>
      </c>
      <c r="B510" s="44" t="s">
        <v>239</v>
      </c>
      <c r="C510" s="44" t="s">
        <v>65</v>
      </c>
      <c r="D510" s="45" t="s">
        <v>295</v>
      </c>
      <c r="E510" s="19">
        <f>IF($D510&lt;&gt;"Entregado",0,IF($C510="","",VLOOKUP($C510,'DATA DE TARIFA'!$A$4:$C$68,2,FALSE)/1.18))</f>
        <v>10.16949153</v>
      </c>
      <c r="F510" s="19">
        <f>IF($C510="","",IF($D510="",0,VLOOKUP($C510,'DATA DE TARIFA'!$A$4:$C$68,3,FALSE)))</f>
        <v>4.5</v>
      </c>
      <c r="G510" s="66">
        <v>0.0</v>
      </c>
      <c r="H510" s="19">
        <f t="shared" si="1"/>
        <v>10.16949153</v>
      </c>
      <c r="I510" s="19">
        <f t="shared" si="2"/>
        <v>4.5</v>
      </c>
      <c r="J510" s="67"/>
      <c r="K510" s="44" t="str">
        <f>IF($B510="","",IFERROR(VLOOKUP($B510,Tiendas!$A$4:$B$176,2,FALSE),""))</f>
        <v>JORDAN</v>
      </c>
      <c r="L510" s="68" t="s">
        <v>296</v>
      </c>
      <c r="M510" s="44" t="str">
        <f>IF($B510="","",IFERROR(VLOOKUP($B510,Tiendas!$A$4:$I$176,9,FALSE),""))</f>
        <v>Si</v>
      </c>
      <c r="N510" s="71">
        <f t="shared" si="3"/>
        <v>0</v>
      </c>
      <c r="O510" s="71">
        <f t="shared" si="4"/>
        <v>0</v>
      </c>
    </row>
    <row r="511" ht="15.75" customHeight="1">
      <c r="A511" s="17">
        <v>46023.0</v>
      </c>
      <c r="B511" s="44" t="s">
        <v>239</v>
      </c>
      <c r="C511" s="44" t="s">
        <v>36</v>
      </c>
      <c r="D511" s="45" t="s">
        <v>295</v>
      </c>
      <c r="E511" s="19">
        <f>IF($D511&lt;&gt;"Entregado",0,IF($C511="","",VLOOKUP($C511,'DATA DE TARIFA'!$A$4:$C$68,2,FALSE)/1.18))</f>
        <v>10.16949153</v>
      </c>
      <c r="F511" s="19">
        <f>IF($C511="","",IF($D511="",0,VLOOKUP($C511,'DATA DE TARIFA'!$A$4:$C$68,3,FALSE)))</f>
        <v>4.5</v>
      </c>
      <c r="G511" s="66">
        <v>0.0</v>
      </c>
      <c r="H511" s="19">
        <f t="shared" si="1"/>
        <v>10.16949153</v>
      </c>
      <c r="I511" s="19">
        <f t="shared" si="2"/>
        <v>4.5</v>
      </c>
      <c r="J511" s="67"/>
      <c r="K511" s="44" t="str">
        <f>IF($B511="","",IFERROR(VLOOKUP($B511,Tiendas!$A$4:$B$176,2,FALSE),""))</f>
        <v>JORDAN</v>
      </c>
      <c r="L511" s="68" t="s">
        <v>296</v>
      </c>
      <c r="M511" s="44" t="str">
        <f>IF($B511="","",IFERROR(VLOOKUP($B511,Tiendas!$A$4:$I$176,9,FALSE),""))</f>
        <v>Si</v>
      </c>
      <c r="N511" s="71">
        <f t="shared" si="3"/>
        <v>0</v>
      </c>
      <c r="O511" s="71">
        <f t="shared" si="4"/>
        <v>0</v>
      </c>
    </row>
    <row r="512" ht="15.75" customHeight="1">
      <c r="A512" s="17">
        <v>46023.0</v>
      </c>
      <c r="B512" s="44" t="s">
        <v>207</v>
      </c>
      <c r="C512" s="44" t="s">
        <v>42</v>
      </c>
      <c r="D512" s="45" t="s">
        <v>295</v>
      </c>
      <c r="E512" s="19">
        <f>IF($D512&lt;&gt;"Entregado",0,IF($C512="","",VLOOKUP($C512,'DATA DE TARIFA'!$A$4:$C$68,2,FALSE)/1.18))</f>
        <v>8.474576271</v>
      </c>
      <c r="F512" s="19">
        <f>IF($C512="","",IF($D512="",0,VLOOKUP($C512,'DATA DE TARIFA'!$A$4:$C$68,3,FALSE)))</f>
        <v>4</v>
      </c>
      <c r="G512" s="66">
        <v>0.0</v>
      </c>
      <c r="H512" s="19">
        <f t="shared" si="1"/>
        <v>8.474576271</v>
      </c>
      <c r="I512" s="19">
        <f t="shared" si="2"/>
        <v>4</v>
      </c>
      <c r="J512" s="67"/>
      <c r="K512" s="44" t="str">
        <f>IF($B512="","",IFERROR(VLOOKUP($B512,Tiendas!$A$4:$B$176,2,FALSE),""))</f>
        <v>JORDAN</v>
      </c>
      <c r="L512" s="68" t="s">
        <v>296</v>
      </c>
      <c r="M512" s="44" t="str">
        <f>IF($B512="","",IFERROR(VLOOKUP($B512,Tiendas!$A$4:$I$176,9,FALSE),""))</f>
        <v>No</v>
      </c>
      <c r="N512" s="71">
        <f t="shared" si="3"/>
        <v>0</v>
      </c>
      <c r="O512" s="71">
        <f t="shared" si="4"/>
        <v>0</v>
      </c>
    </row>
    <row r="513" ht="15.75" customHeight="1">
      <c r="A513" s="17">
        <v>46023.0</v>
      </c>
      <c r="B513" s="44" t="s">
        <v>209</v>
      </c>
      <c r="C513" s="44" t="s">
        <v>70</v>
      </c>
      <c r="D513" s="45" t="s">
        <v>295</v>
      </c>
      <c r="E513" s="19">
        <f>IF($D513&lt;&gt;"Entregado",0,IF($C513="","",VLOOKUP($C513,'DATA DE TARIFA'!$A$4:$C$68,2,FALSE)/1.18))</f>
        <v>8.474576271</v>
      </c>
      <c r="F513" s="19">
        <f>IF($C513="","",IF($D513="",0,VLOOKUP($C513,'DATA DE TARIFA'!$A$4:$C$68,3,FALSE)))</f>
        <v>4</v>
      </c>
      <c r="G513" s="66">
        <v>0.0</v>
      </c>
      <c r="H513" s="19">
        <f t="shared" si="1"/>
        <v>8.474576271</v>
      </c>
      <c r="I513" s="19">
        <f t="shared" si="2"/>
        <v>4</v>
      </c>
      <c r="J513" s="67"/>
      <c r="K513" s="44" t="str">
        <f>IF($B513="","",IFERROR(VLOOKUP($B513,Tiendas!$A$4:$B$176,2,FALSE),""))</f>
        <v>JORDAN</v>
      </c>
      <c r="L513" s="68" t="s">
        <v>296</v>
      </c>
      <c r="M513" s="44" t="str">
        <f>IF($B513="","",IFERROR(VLOOKUP($B513,Tiendas!$A$4:$I$176,9,FALSE),""))</f>
        <v>No</v>
      </c>
      <c r="N513" s="71">
        <f t="shared" si="3"/>
        <v>0</v>
      </c>
      <c r="O513" s="71">
        <f t="shared" si="4"/>
        <v>0</v>
      </c>
    </row>
    <row r="514" ht="15.75" customHeight="1">
      <c r="A514" s="17">
        <v>46023.0</v>
      </c>
      <c r="B514" s="44" t="s">
        <v>209</v>
      </c>
      <c r="C514" s="44" t="s">
        <v>69</v>
      </c>
      <c r="D514" s="45" t="s">
        <v>295</v>
      </c>
      <c r="E514" s="19">
        <f>IF($D514&lt;&gt;"Entregado",0,IF($C514="","",VLOOKUP($C514,'DATA DE TARIFA'!$A$4:$C$68,2,FALSE)/1.18))</f>
        <v>8.474576271</v>
      </c>
      <c r="F514" s="19">
        <f>IF($C514="","",IF($D514="",0,VLOOKUP($C514,'DATA DE TARIFA'!$A$4:$C$68,3,FALSE)))</f>
        <v>4</v>
      </c>
      <c r="G514" s="66">
        <v>0.0</v>
      </c>
      <c r="H514" s="19">
        <f t="shared" si="1"/>
        <v>8.474576271</v>
      </c>
      <c r="I514" s="19">
        <f t="shared" si="2"/>
        <v>4</v>
      </c>
      <c r="J514" s="67"/>
      <c r="K514" s="44" t="str">
        <f>IF($B514="","",IFERROR(VLOOKUP($B514,Tiendas!$A$4:$B$176,2,FALSE),""))</f>
        <v>JORDAN</v>
      </c>
      <c r="L514" s="68" t="s">
        <v>296</v>
      </c>
      <c r="M514" s="44" t="str">
        <f>IF($B514="","",IFERROR(VLOOKUP($B514,Tiendas!$A$4:$I$176,9,FALSE),""))</f>
        <v>No</v>
      </c>
      <c r="N514" s="71">
        <f t="shared" si="3"/>
        <v>0</v>
      </c>
      <c r="O514" s="71">
        <f t="shared" si="4"/>
        <v>0</v>
      </c>
    </row>
    <row r="515" ht="15.75" customHeight="1">
      <c r="A515" s="17">
        <v>46023.0</v>
      </c>
      <c r="B515" s="44" t="s">
        <v>209</v>
      </c>
      <c r="C515" s="44" t="s">
        <v>34</v>
      </c>
      <c r="D515" s="45" t="s">
        <v>295</v>
      </c>
      <c r="E515" s="19">
        <f>IF($D515&lt;&gt;"Entregado",0,IF($C515="","",VLOOKUP($C515,'DATA DE TARIFA'!$A$4:$C$68,2,FALSE)/1.18))</f>
        <v>10.16949153</v>
      </c>
      <c r="F515" s="19">
        <f>IF($C515="","",IF($D515="",0,VLOOKUP($C515,'DATA DE TARIFA'!$A$4:$C$68,3,FALSE)))</f>
        <v>4.5</v>
      </c>
      <c r="G515" s="66">
        <v>0.0</v>
      </c>
      <c r="H515" s="19">
        <f t="shared" si="1"/>
        <v>10.16949153</v>
      </c>
      <c r="I515" s="19">
        <f t="shared" si="2"/>
        <v>4.5</v>
      </c>
      <c r="J515" s="67"/>
      <c r="K515" s="44" t="str">
        <f>IF($B515="","",IFERROR(VLOOKUP($B515,Tiendas!$A$4:$B$176,2,FALSE),""))</f>
        <v>JORDAN</v>
      </c>
      <c r="L515" s="68" t="s">
        <v>296</v>
      </c>
      <c r="M515" s="44" t="str">
        <f>IF($B515="","",IFERROR(VLOOKUP($B515,Tiendas!$A$4:$I$176,9,FALSE),""))</f>
        <v>No</v>
      </c>
      <c r="N515" s="71">
        <f t="shared" si="3"/>
        <v>0</v>
      </c>
      <c r="O515" s="71">
        <f t="shared" si="4"/>
        <v>0</v>
      </c>
    </row>
    <row r="516" ht="15.75" customHeight="1">
      <c r="A516" s="17">
        <v>46023.0</v>
      </c>
      <c r="B516" s="44" t="s">
        <v>209</v>
      </c>
      <c r="C516" s="44" t="s">
        <v>46</v>
      </c>
      <c r="D516" s="45" t="s">
        <v>295</v>
      </c>
      <c r="E516" s="19">
        <f>IF($D516&lt;&gt;"Entregado",0,IF($C516="","",VLOOKUP($C516,'DATA DE TARIFA'!$A$4:$C$68,2,FALSE)/1.18))</f>
        <v>10.16949153</v>
      </c>
      <c r="F516" s="19">
        <f>IF($C516="","",IF($D516="",0,VLOOKUP($C516,'DATA DE TARIFA'!$A$4:$C$68,3,FALSE)))</f>
        <v>4.5</v>
      </c>
      <c r="G516" s="66">
        <v>0.0</v>
      </c>
      <c r="H516" s="19">
        <f t="shared" si="1"/>
        <v>10.16949153</v>
      </c>
      <c r="I516" s="19">
        <f t="shared" si="2"/>
        <v>4.5</v>
      </c>
      <c r="J516" s="67"/>
      <c r="K516" s="44" t="str">
        <f>IF($B516="","",IFERROR(VLOOKUP($B516,Tiendas!$A$4:$B$176,2,FALSE),""))</f>
        <v>JORDAN</v>
      </c>
      <c r="L516" s="68" t="s">
        <v>296</v>
      </c>
      <c r="M516" s="44" t="str">
        <f>IF($B516="","",IFERROR(VLOOKUP($B516,Tiendas!$A$4:$I$176,9,FALSE),""))</f>
        <v>No</v>
      </c>
      <c r="N516" s="71">
        <f t="shared" si="3"/>
        <v>0</v>
      </c>
      <c r="O516" s="71">
        <f t="shared" si="4"/>
        <v>0</v>
      </c>
    </row>
    <row r="517" ht="15.75" customHeight="1">
      <c r="A517" s="17">
        <v>46023.0</v>
      </c>
      <c r="B517" s="44" t="s">
        <v>208</v>
      </c>
      <c r="C517" s="44" t="s">
        <v>51</v>
      </c>
      <c r="D517" s="45" t="s">
        <v>295</v>
      </c>
      <c r="E517" s="19">
        <f>IF($D517&lt;&gt;"Entregado",0,IF($C517="","",VLOOKUP($C517,'DATA DE TARIFA'!$A$4:$C$68,2,FALSE)/1.18))</f>
        <v>10.16949153</v>
      </c>
      <c r="F517" s="19">
        <f>IF($C517="","",IF($D517="",0,VLOOKUP($C517,'DATA DE TARIFA'!$A$4:$C$68,3,FALSE)))</f>
        <v>5.5</v>
      </c>
      <c r="G517" s="66">
        <v>0.0</v>
      </c>
      <c r="H517" s="19">
        <f t="shared" si="1"/>
        <v>10.16949153</v>
      </c>
      <c r="I517" s="19">
        <f t="shared" si="2"/>
        <v>5.5</v>
      </c>
      <c r="J517" s="67"/>
      <c r="K517" s="44" t="str">
        <f>IF($B517="","",IFERROR(VLOOKUP($B517,Tiendas!$A$4:$B$176,2,FALSE),""))</f>
        <v>JORDAN</v>
      </c>
      <c r="L517" s="68" t="s">
        <v>296</v>
      </c>
      <c r="M517" s="44" t="str">
        <f>IF($B517="","",IFERROR(VLOOKUP($B517,Tiendas!$A$4:$I$176,9,FALSE),""))</f>
        <v>No</v>
      </c>
      <c r="N517" s="71">
        <f t="shared" si="3"/>
        <v>0</v>
      </c>
      <c r="O517" s="71">
        <f t="shared" si="4"/>
        <v>0</v>
      </c>
    </row>
    <row r="518" ht="15.75" customHeight="1">
      <c r="A518" s="17">
        <v>46023.0</v>
      </c>
      <c r="B518" s="44" t="s">
        <v>230</v>
      </c>
      <c r="C518" s="44" t="s">
        <v>30</v>
      </c>
      <c r="D518" s="45" t="s">
        <v>295</v>
      </c>
      <c r="E518" s="19">
        <f>IF($D518&lt;&gt;"Entregado",0,IF($C518="","",VLOOKUP($C518,'DATA DE TARIFA'!$A$4:$C$68,2,FALSE)/1.18))</f>
        <v>8.474576271</v>
      </c>
      <c r="F518" s="19">
        <f>IF($C518="","",IF($D518="",0,VLOOKUP($C518,'DATA DE TARIFA'!$A$4:$C$68,3,FALSE)))</f>
        <v>4.5</v>
      </c>
      <c r="G518" s="66">
        <v>0.0</v>
      </c>
      <c r="H518" s="19">
        <f t="shared" si="1"/>
        <v>8.474576271</v>
      </c>
      <c r="I518" s="19">
        <f t="shared" si="2"/>
        <v>4.5</v>
      </c>
      <c r="J518" s="67"/>
      <c r="K518" s="44" t="str">
        <f>IF($B518="","",IFERROR(VLOOKUP($B518,Tiendas!$A$4:$B$176,2,FALSE),""))</f>
        <v>JORDAN</v>
      </c>
      <c r="L518" s="68" t="s">
        <v>296</v>
      </c>
      <c r="M518" s="44" t="str">
        <f>IF($B518="","",IFERROR(VLOOKUP($B518,Tiendas!$A$4:$I$176,9,FALSE),""))</f>
        <v>No</v>
      </c>
      <c r="N518" s="71">
        <f t="shared" si="3"/>
        <v>0</v>
      </c>
      <c r="O518" s="71">
        <f t="shared" si="4"/>
        <v>0</v>
      </c>
    </row>
    <row r="519" ht="15.75" customHeight="1">
      <c r="A519" s="17">
        <v>46023.0</v>
      </c>
      <c r="B519" s="44" t="s">
        <v>215</v>
      </c>
      <c r="C519" s="44" t="s">
        <v>32</v>
      </c>
      <c r="D519" s="45" t="s">
        <v>295</v>
      </c>
      <c r="E519" s="19">
        <f>IF($D519&lt;&gt;"Entregado",0,IF($C519="","",VLOOKUP($C519,'DATA DE TARIFA'!$A$4:$C$68,2,FALSE)/1.18))</f>
        <v>8.474576271</v>
      </c>
      <c r="F519" s="19">
        <f>IF($C519="","",IF($D519="",0,VLOOKUP($C519,'DATA DE TARIFA'!$A$4:$C$68,3,FALSE)))</f>
        <v>4.5</v>
      </c>
      <c r="G519" s="66">
        <v>0.0</v>
      </c>
      <c r="H519" s="19">
        <f t="shared" si="1"/>
        <v>8.474576271</v>
      </c>
      <c r="I519" s="19">
        <f t="shared" si="2"/>
        <v>4.5</v>
      </c>
      <c r="J519" s="67"/>
      <c r="K519" s="44" t="str">
        <f>IF($B519="","",IFERROR(VLOOKUP($B519,Tiendas!$A$4:$B$176,2,FALSE),""))</f>
        <v>SEBASTIAN</v>
      </c>
      <c r="L519" s="68" t="s">
        <v>296</v>
      </c>
      <c r="M519" s="44" t="str">
        <f>IF($B519="","",IFERROR(VLOOKUP($B519,Tiendas!$A$4:$I$176,9,FALSE),""))</f>
        <v>No</v>
      </c>
      <c r="N519" s="71">
        <f t="shared" si="3"/>
        <v>0</v>
      </c>
      <c r="O519" s="71">
        <f t="shared" si="4"/>
        <v>0</v>
      </c>
    </row>
    <row r="520" ht="15.75" customHeight="1">
      <c r="A520" s="17">
        <v>46023.0</v>
      </c>
      <c r="B520" s="44" t="s">
        <v>215</v>
      </c>
      <c r="C520" s="44" t="s">
        <v>32</v>
      </c>
      <c r="D520" s="45" t="s">
        <v>295</v>
      </c>
      <c r="E520" s="19">
        <f>IF($D520&lt;&gt;"Entregado",0,IF($C520="","",VLOOKUP($C520,'DATA DE TARIFA'!$A$4:$C$68,2,FALSE)/1.18))</f>
        <v>8.474576271</v>
      </c>
      <c r="F520" s="19">
        <f>IF($C520="","",IF($D520="",0,VLOOKUP($C520,'DATA DE TARIFA'!$A$4:$C$68,3,FALSE)))</f>
        <v>4.5</v>
      </c>
      <c r="G520" s="66">
        <v>1.0</v>
      </c>
      <c r="H520" s="19">
        <f t="shared" si="1"/>
        <v>8.474576271</v>
      </c>
      <c r="I520" s="19">
        <f t="shared" si="2"/>
        <v>5.5</v>
      </c>
      <c r="J520" s="67"/>
      <c r="K520" s="44" t="str">
        <f>IF($B520="","",IFERROR(VLOOKUP($B520,Tiendas!$A$4:$B$176,2,FALSE),""))</f>
        <v>SEBASTIAN</v>
      </c>
      <c r="L520" s="68" t="s">
        <v>296</v>
      </c>
      <c r="M520" s="44" t="str">
        <f>IF($B520="","",IFERROR(VLOOKUP($B520,Tiendas!$A$4:$I$176,9,FALSE),""))</f>
        <v>No</v>
      </c>
      <c r="N520" s="71">
        <f t="shared" si="3"/>
        <v>0</v>
      </c>
      <c r="O520" s="71">
        <f t="shared" si="4"/>
        <v>0</v>
      </c>
    </row>
    <row r="521" ht="15.75" customHeight="1">
      <c r="A521" s="17">
        <v>46023.0</v>
      </c>
      <c r="B521" s="44" t="s">
        <v>215</v>
      </c>
      <c r="C521" s="44" t="s">
        <v>46</v>
      </c>
      <c r="D521" s="45" t="s">
        <v>295</v>
      </c>
      <c r="E521" s="19">
        <f>IF($D521&lt;&gt;"Entregado",0,IF($C521="","",VLOOKUP($C521,'DATA DE TARIFA'!$A$4:$C$68,2,FALSE)/1.18))</f>
        <v>10.16949153</v>
      </c>
      <c r="F521" s="19">
        <f>IF($C521="","",IF($D521="",0,VLOOKUP($C521,'DATA DE TARIFA'!$A$4:$C$68,3,FALSE)))</f>
        <v>4.5</v>
      </c>
      <c r="G521" s="66">
        <v>0.0</v>
      </c>
      <c r="H521" s="19">
        <f t="shared" si="1"/>
        <v>10.16949153</v>
      </c>
      <c r="I521" s="19">
        <f t="shared" si="2"/>
        <v>4.5</v>
      </c>
      <c r="J521" s="67"/>
      <c r="K521" s="44" t="str">
        <f>IF($B521="","",IFERROR(VLOOKUP($B521,Tiendas!$A$4:$B$176,2,FALSE),""))</f>
        <v>SEBASTIAN</v>
      </c>
      <c r="L521" s="68" t="s">
        <v>296</v>
      </c>
      <c r="M521" s="44" t="str">
        <f>IF($B521="","",IFERROR(VLOOKUP($B521,Tiendas!$A$4:$I$176,9,FALSE),""))</f>
        <v>No</v>
      </c>
      <c r="N521" s="71">
        <f t="shared" si="3"/>
        <v>0</v>
      </c>
      <c r="O521" s="71">
        <f t="shared" si="4"/>
        <v>0</v>
      </c>
    </row>
    <row r="522" ht="15.75" customHeight="1">
      <c r="A522" s="17">
        <v>46023.0</v>
      </c>
      <c r="B522" s="44" t="s">
        <v>226</v>
      </c>
      <c r="C522" s="44" t="s">
        <v>58</v>
      </c>
      <c r="D522" s="45" t="s">
        <v>295</v>
      </c>
      <c r="E522" s="19">
        <f>IF($D522&lt;&gt;"Entregado",0,IF($C522="","",VLOOKUP($C522,'DATA DE TARIFA'!$A$4:$C$68,2,FALSE)/1.18))</f>
        <v>8.474576271</v>
      </c>
      <c r="F522" s="19">
        <f>IF($C522="","",IF($D522="",0,VLOOKUP($C522,'DATA DE TARIFA'!$A$4:$C$68,3,FALSE)))</f>
        <v>4</v>
      </c>
      <c r="G522" s="66">
        <v>0.0</v>
      </c>
      <c r="H522" s="19">
        <f t="shared" si="1"/>
        <v>8.474576271</v>
      </c>
      <c r="I522" s="19">
        <f t="shared" si="2"/>
        <v>4</v>
      </c>
      <c r="J522" s="67"/>
      <c r="K522" s="44" t="str">
        <f>IF($B522="","",IFERROR(VLOOKUP($B522,Tiendas!$A$4:$B$176,2,FALSE),""))</f>
        <v>SEBASTIAN</v>
      </c>
      <c r="L522" s="68" t="s">
        <v>296</v>
      </c>
      <c r="M522" s="44" t="str">
        <f>IF($B522="","",IFERROR(VLOOKUP($B522,Tiendas!$A$4:$I$176,9,FALSE),""))</f>
        <v>No</v>
      </c>
      <c r="N522" s="71">
        <f t="shared" si="3"/>
        <v>0</v>
      </c>
      <c r="O522" s="71">
        <f t="shared" si="4"/>
        <v>0</v>
      </c>
    </row>
    <row r="523" ht="15.75" customHeight="1">
      <c r="A523" s="17">
        <v>46023.0</v>
      </c>
      <c r="B523" s="44" t="s">
        <v>226</v>
      </c>
      <c r="C523" s="44" t="s">
        <v>18</v>
      </c>
      <c r="D523" s="45" t="s">
        <v>295</v>
      </c>
      <c r="E523" s="19">
        <f>IF($D523&lt;&gt;"Entregado",0,IF($C523="","",VLOOKUP($C523,'DATA DE TARIFA'!$A$4:$C$68,2,FALSE)/1.18))</f>
        <v>10.16949153</v>
      </c>
      <c r="F523" s="19">
        <f>IF($C523="","",IF($D523="",0,VLOOKUP($C523,'DATA DE TARIFA'!$A$4:$C$68,3,FALSE)))</f>
        <v>4.5</v>
      </c>
      <c r="G523" s="66">
        <v>0.0</v>
      </c>
      <c r="H523" s="19">
        <f t="shared" si="1"/>
        <v>10.16949153</v>
      </c>
      <c r="I523" s="19">
        <f t="shared" si="2"/>
        <v>4.5</v>
      </c>
      <c r="J523" s="67"/>
      <c r="K523" s="44" t="str">
        <f>IF($B523="","",IFERROR(VLOOKUP($B523,Tiendas!$A$4:$B$176,2,FALSE),""))</f>
        <v>SEBASTIAN</v>
      </c>
      <c r="L523" s="68" t="s">
        <v>296</v>
      </c>
      <c r="M523" s="44" t="str">
        <f>IF($B523="","",IFERROR(VLOOKUP($B523,Tiendas!$A$4:$I$176,9,FALSE),""))</f>
        <v>No</v>
      </c>
      <c r="N523" s="71">
        <f t="shared" si="3"/>
        <v>0</v>
      </c>
      <c r="O523" s="71">
        <f t="shared" si="4"/>
        <v>0</v>
      </c>
    </row>
    <row r="524" ht="15.75" customHeight="1">
      <c r="A524" s="17">
        <v>46023.0</v>
      </c>
      <c r="B524" s="44" t="s">
        <v>299</v>
      </c>
      <c r="C524" s="44" t="s">
        <v>15</v>
      </c>
      <c r="D524" s="45" t="s">
        <v>295</v>
      </c>
      <c r="E524" s="19">
        <f>IF($D524&lt;&gt;"Entregado",0,IF($C524="","",VLOOKUP($C524,'DATA DE TARIFA'!$A$4:$C$68,2,FALSE)/1.18))</f>
        <v>8.474576271</v>
      </c>
      <c r="F524" s="19">
        <f>IF($C524="","",IF($D524="",0,VLOOKUP($C524,'DATA DE TARIFA'!$A$4:$C$68,3,FALSE)))</f>
        <v>4.5</v>
      </c>
      <c r="G524" s="66">
        <v>0.0</v>
      </c>
      <c r="H524" s="19">
        <f t="shared" si="1"/>
        <v>8.474576271</v>
      </c>
      <c r="I524" s="19">
        <f t="shared" si="2"/>
        <v>4.5</v>
      </c>
      <c r="J524" s="67"/>
      <c r="K524" s="44" t="str">
        <f>IF($B524="","",IFERROR(VLOOKUP($B524,Tiendas!$A$4:$B$176,2,FALSE),""))</f>
        <v>SEBASTIAN</v>
      </c>
      <c r="L524" s="68" t="s">
        <v>296</v>
      </c>
      <c r="M524" s="44" t="str">
        <f>IF($B524="","",IFERROR(VLOOKUP($B524,Tiendas!$A$4:$I$176,9,FALSE),""))</f>
        <v>No</v>
      </c>
      <c r="N524" s="71">
        <f t="shared" si="3"/>
        <v>0</v>
      </c>
      <c r="O524" s="71">
        <f t="shared" si="4"/>
        <v>0</v>
      </c>
    </row>
    <row r="525" ht="15.75" customHeight="1">
      <c r="A525" s="17">
        <v>46023.0</v>
      </c>
      <c r="B525" s="44" t="s">
        <v>299</v>
      </c>
      <c r="C525" s="44" t="s">
        <v>63</v>
      </c>
      <c r="D525" s="45" t="s">
        <v>295</v>
      </c>
      <c r="E525" s="19">
        <f>IF($D525&lt;&gt;"Entregado",0,IF($C525="","",VLOOKUP($C525,'DATA DE TARIFA'!$A$4:$C$68,2,FALSE)/1.18))</f>
        <v>8.474576271</v>
      </c>
      <c r="F525" s="19">
        <f>IF($C525="","",IF($D525="",0,VLOOKUP($C525,'DATA DE TARIFA'!$A$4:$C$68,3,FALSE)))</f>
        <v>4</v>
      </c>
      <c r="G525" s="66">
        <v>0.0</v>
      </c>
      <c r="H525" s="19">
        <f t="shared" si="1"/>
        <v>8.474576271</v>
      </c>
      <c r="I525" s="19">
        <f t="shared" si="2"/>
        <v>4</v>
      </c>
      <c r="J525" s="67"/>
      <c r="K525" s="44" t="str">
        <f>IF($B525="","",IFERROR(VLOOKUP($B525,Tiendas!$A$4:$B$176,2,FALSE),""))</f>
        <v>SEBASTIAN</v>
      </c>
      <c r="L525" s="68" t="s">
        <v>296</v>
      </c>
      <c r="M525" s="44" t="str">
        <f>IF($B525="","",IFERROR(VLOOKUP($B525,Tiendas!$A$4:$I$176,9,FALSE),""))</f>
        <v>No</v>
      </c>
      <c r="N525" s="71">
        <f t="shared" si="3"/>
        <v>0</v>
      </c>
      <c r="O525" s="71">
        <f t="shared" si="4"/>
        <v>0</v>
      </c>
    </row>
    <row r="526" ht="15.75" customHeight="1">
      <c r="A526" s="17">
        <v>46023.0</v>
      </c>
      <c r="B526" s="44" t="s">
        <v>256</v>
      </c>
      <c r="C526" s="44" t="s">
        <v>40</v>
      </c>
      <c r="D526" s="45" t="s">
        <v>295</v>
      </c>
      <c r="E526" s="19">
        <f>IF($D526&lt;&gt;"Entregado",0,IF($C526="","",VLOOKUP($C526,'DATA DE TARIFA'!$A$4:$C$68,2,FALSE)/1.18))</f>
        <v>8.474576271</v>
      </c>
      <c r="F526" s="19">
        <f>IF($C526="","",IF($D526="",0,VLOOKUP($C526,'DATA DE TARIFA'!$A$4:$C$68,3,FALSE)))</f>
        <v>4</v>
      </c>
      <c r="G526" s="66">
        <v>0.0</v>
      </c>
      <c r="H526" s="19">
        <f t="shared" si="1"/>
        <v>8.474576271</v>
      </c>
      <c r="I526" s="19">
        <f t="shared" si="2"/>
        <v>4</v>
      </c>
      <c r="J526" s="67"/>
      <c r="K526" s="44" t="str">
        <f>IF($B526="","",IFERROR(VLOOKUP($B526,Tiendas!$A$4:$B$176,2,FALSE),""))</f>
        <v>SEBASTIAN</v>
      </c>
      <c r="L526" s="68" t="s">
        <v>296</v>
      </c>
      <c r="M526" s="44" t="str">
        <f>IF($B526="","",IFERROR(VLOOKUP($B526,Tiendas!$A$4:$I$176,9,FALSE),""))</f>
        <v>No</v>
      </c>
      <c r="N526" s="71">
        <f t="shared" si="3"/>
        <v>0</v>
      </c>
      <c r="O526" s="71">
        <f t="shared" si="4"/>
        <v>0</v>
      </c>
    </row>
    <row r="527" ht="15.75" customHeight="1">
      <c r="A527" s="17">
        <v>46023.0</v>
      </c>
      <c r="B527" s="44" t="s">
        <v>256</v>
      </c>
      <c r="C527" s="44" t="s">
        <v>300</v>
      </c>
      <c r="D527" s="45" t="s">
        <v>295</v>
      </c>
      <c r="E527" s="19">
        <f>IF($D527&lt;&gt;"Entregado",0,IF($C527="","",VLOOKUP($C527,'DATA DE TARIFA'!$A$4:$C$68,2,FALSE)/1.18))</f>
        <v>10.16949153</v>
      </c>
      <c r="F527" s="19">
        <f>IF($C527="","",IF($D527="",0,VLOOKUP($C527,'DATA DE TARIFA'!$A$4:$C$68,3,FALSE)))</f>
        <v>5.5</v>
      </c>
      <c r="G527" s="66">
        <v>0.0</v>
      </c>
      <c r="H527" s="19">
        <f t="shared" si="1"/>
        <v>10.16949153</v>
      </c>
      <c r="I527" s="19">
        <f t="shared" si="2"/>
        <v>5.5</v>
      </c>
      <c r="J527" s="67"/>
      <c r="K527" s="44" t="str">
        <f>IF($B527="","",IFERROR(VLOOKUP($B527,Tiendas!$A$4:$B$176,2,FALSE),""))</f>
        <v>SEBASTIAN</v>
      </c>
      <c r="L527" s="68" t="s">
        <v>296</v>
      </c>
      <c r="M527" s="44" t="str">
        <f>IF($B527="","",IFERROR(VLOOKUP($B527,Tiendas!$A$4:$I$176,9,FALSE),""))</f>
        <v>No</v>
      </c>
      <c r="N527" s="71">
        <f t="shared" si="3"/>
        <v>0</v>
      </c>
      <c r="O527" s="71">
        <f t="shared" si="4"/>
        <v>0</v>
      </c>
    </row>
    <row r="528" ht="15.75" customHeight="1">
      <c r="A528" s="17">
        <v>46023.0</v>
      </c>
      <c r="B528" s="44" t="s">
        <v>225</v>
      </c>
      <c r="C528" s="44" t="s">
        <v>40</v>
      </c>
      <c r="D528" s="45" t="s">
        <v>295</v>
      </c>
      <c r="E528" s="19">
        <f>IF($D528&lt;&gt;"Entregado",0,IF($C528="","",VLOOKUP($C528,'DATA DE TARIFA'!$A$4:$C$68,2,FALSE)/1.18))</f>
        <v>8.474576271</v>
      </c>
      <c r="F528" s="19">
        <f>IF($C528="","",IF($D528="",0,VLOOKUP($C528,'DATA DE TARIFA'!$A$4:$C$68,3,FALSE)))</f>
        <v>4</v>
      </c>
      <c r="G528" s="66">
        <v>0.0</v>
      </c>
      <c r="H528" s="19">
        <f t="shared" si="1"/>
        <v>8.474576271</v>
      </c>
      <c r="I528" s="19">
        <f t="shared" si="2"/>
        <v>4</v>
      </c>
      <c r="J528" s="67"/>
      <c r="K528" s="44" t="str">
        <f>IF($B528="","",IFERROR(VLOOKUP($B528,Tiendas!$A$4:$B$176,2,FALSE),""))</f>
        <v>SEBASTIAN</v>
      </c>
      <c r="L528" s="68" t="s">
        <v>296</v>
      </c>
      <c r="M528" s="44" t="str">
        <f>IF($B528="","",IFERROR(VLOOKUP($B528,Tiendas!$A$4:$I$176,9,FALSE),""))</f>
        <v>No</v>
      </c>
      <c r="N528" s="71">
        <f t="shared" si="3"/>
        <v>0</v>
      </c>
      <c r="O528" s="71">
        <f t="shared" si="4"/>
        <v>0</v>
      </c>
    </row>
    <row r="529" ht="15.75" customHeight="1">
      <c r="A529" s="17">
        <v>46023.0</v>
      </c>
      <c r="B529" s="58" t="s">
        <v>238</v>
      </c>
      <c r="C529" s="44" t="s">
        <v>47</v>
      </c>
      <c r="D529" s="45" t="s">
        <v>295</v>
      </c>
      <c r="E529" s="19">
        <f>IF($D529&lt;&gt;"Entregado",0,IF($C529="","",VLOOKUP($C529,'DATA DE TARIFA'!$A$4:$C$68,2,FALSE)/1.18))</f>
        <v>10.16949153</v>
      </c>
      <c r="F529" s="19">
        <f>IF($C529="","",IF($D529="",0,VLOOKUP($C529,'DATA DE TARIFA'!$A$4:$C$68,3,FALSE)))</f>
        <v>5.5</v>
      </c>
      <c r="G529" s="66">
        <v>0.0</v>
      </c>
      <c r="H529" s="19">
        <f t="shared" si="1"/>
        <v>10.16949153</v>
      </c>
      <c r="I529" s="19">
        <f t="shared" si="2"/>
        <v>5.5</v>
      </c>
      <c r="J529" s="67"/>
      <c r="K529" s="44" t="str">
        <f>IF($B529="","",IFERROR(VLOOKUP($B529,Tiendas!$A$4:$B$176,2,FALSE),""))</f>
        <v>SEBASTIAN</v>
      </c>
      <c r="L529" s="68" t="s">
        <v>296</v>
      </c>
      <c r="M529" s="44" t="str">
        <f>IF($B529="","",IFERROR(VLOOKUP($B529,Tiendas!$A$4:$I$176,9,FALSE),""))</f>
        <v>No</v>
      </c>
      <c r="N529" s="71">
        <f t="shared" si="3"/>
        <v>0</v>
      </c>
      <c r="O529" s="71">
        <f t="shared" si="4"/>
        <v>0</v>
      </c>
    </row>
    <row r="530" ht="15.75" customHeight="1">
      <c r="A530" s="17">
        <v>46023.0</v>
      </c>
      <c r="B530" s="58" t="s">
        <v>251</v>
      </c>
      <c r="C530" s="44" t="s">
        <v>42</v>
      </c>
      <c r="D530" s="45" t="s">
        <v>295</v>
      </c>
      <c r="E530" s="19">
        <f>IF($D530&lt;&gt;"Entregado",0,IF($C530="","",VLOOKUP($C530,'DATA DE TARIFA'!$A$4:$C$68,2,FALSE)/1.18))</f>
        <v>8.474576271</v>
      </c>
      <c r="F530" s="19">
        <f>IF($C530="","",IF($D530="",0,VLOOKUP($C530,'DATA DE TARIFA'!$A$4:$C$68,3,FALSE)))</f>
        <v>4</v>
      </c>
      <c r="G530" s="66">
        <v>0.0</v>
      </c>
      <c r="H530" s="19">
        <f t="shared" si="1"/>
        <v>8.474576271</v>
      </c>
      <c r="I530" s="19">
        <f t="shared" si="2"/>
        <v>4</v>
      </c>
      <c r="J530" s="67"/>
      <c r="K530" s="44" t="str">
        <f>IF($B530="","",IFERROR(VLOOKUP($B530,Tiendas!$A$4:$B$176,2,FALSE),""))</f>
        <v>SEBASTIAN</v>
      </c>
      <c r="L530" s="68" t="s">
        <v>296</v>
      </c>
      <c r="M530" s="44" t="str">
        <f>IF($B530="","",IFERROR(VLOOKUP($B530,Tiendas!$A$4:$I$176,9,FALSE),""))</f>
        <v>No</v>
      </c>
      <c r="N530" s="71">
        <f t="shared" si="3"/>
        <v>0</v>
      </c>
      <c r="O530" s="71">
        <f t="shared" si="4"/>
        <v>0</v>
      </c>
    </row>
    <row r="531" ht="15.75" customHeight="1">
      <c r="A531" s="17">
        <v>46023.0</v>
      </c>
      <c r="B531" s="58" t="s">
        <v>251</v>
      </c>
      <c r="C531" s="44" t="s">
        <v>60</v>
      </c>
      <c r="D531" s="45" t="s">
        <v>295</v>
      </c>
      <c r="E531" s="19">
        <f>IF($D531&lt;&gt;"Entregado",0,IF($C531="","",VLOOKUP($C531,'DATA DE TARIFA'!$A$4:$C$68,2,FALSE)/1.18))</f>
        <v>8.474576271</v>
      </c>
      <c r="F531" s="19">
        <f>IF($C531="","",IF($D531="",0,VLOOKUP($C531,'DATA DE TARIFA'!$A$4:$C$68,3,FALSE)))</f>
        <v>4</v>
      </c>
      <c r="G531" s="66">
        <v>0.0</v>
      </c>
      <c r="H531" s="19">
        <f t="shared" si="1"/>
        <v>8.474576271</v>
      </c>
      <c r="I531" s="19">
        <f t="shared" si="2"/>
        <v>4</v>
      </c>
      <c r="J531" s="67"/>
      <c r="K531" s="44" t="str">
        <f>IF($B531="","",IFERROR(VLOOKUP($B531,Tiendas!$A$4:$B$176,2,FALSE),""))</f>
        <v>SEBASTIAN</v>
      </c>
      <c r="L531" s="68" t="s">
        <v>296</v>
      </c>
      <c r="M531" s="44" t="str">
        <f>IF($B531="","",IFERROR(VLOOKUP($B531,Tiendas!$A$4:$I$176,9,FALSE),""))</f>
        <v>No</v>
      </c>
      <c r="N531" s="71">
        <f t="shared" si="3"/>
        <v>0</v>
      </c>
      <c r="O531" s="71">
        <f t="shared" si="4"/>
        <v>0</v>
      </c>
    </row>
    <row r="532" ht="15.75" customHeight="1">
      <c r="A532" s="17">
        <v>46023.0</v>
      </c>
      <c r="B532" s="58" t="s">
        <v>251</v>
      </c>
      <c r="C532" s="44" t="s">
        <v>21</v>
      </c>
      <c r="D532" s="45" t="s">
        <v>295</v>
      </c>
      <c r="E532" s="19">
        <f>IF($D532&lt;&gt;"Entregado",0,IF($C532="","",VLOOKUP($C532,'DATA DE TARIFA'!$A$4:$C$68,2,FALSE)/1.18))</f>
        <v>10.16949153</v>
      </c>
      <c r="F532" s="19">
        <f>IF($C532="","",IF($D532="",0,VLOOKUP($C532,'DATA DE TARIFA'!$A$4:$C$68,3,FALSE)))</f>
        <v>4.5</v>
      </c>
      <c r="G532" s="66">
        <v>0.0</v>
      </c>
      <c r="H532" s="19">
        <f t="shared" si="1"/>
        <v>10.16949153</v>
      </c>
      <c r="I532" s="19">
        <f t="shared" si="2"/>
        <v>4.5</v>
      </c>
      <c r="J532" s="67"/>
      <c r="K532" s="44" t="str">
        <f>IF($B532="","",IFERROR(VLOOKUP($B532,Tiendas!$A$4:$B$176,2,FALSE),""))</f>
        <v>SEBASTIAN</v>
      </c>
      <c r="L532" s="68" t="s">
        <v>296</v>
      </c>
      <c r="M532" s="44" t="str">
        <f>IF($B532="","",IFERROR(VLOOKUP($B532,Tiendas!$A$4:$I$176,9,FALSE),""))</f>
        <v>No</v>
      </c>
      <c r="N532" s="71">
        <f t="shared" si="3"/>
        <v>0</v>
      </c>
      <c r="O532" s="71">
        <f t="shared" si="4"/>
        <v>0</v>
      </c>
    </row>
    <row r="533" ht="15.75" customHeight="1">
      <c r="A533" s="17">
        <v>46023.0</v>
      </c>
      <c r="B533" s="58" t="s">
        <v>251</v>
      </c>
      <c r="C533" s="44" t="s">
        <v>34</v>
      </c>
      <c r="D533" s="45" t="s">
        <v>295</v>
      </c>
      <c r="E533" s="19">
        <f>IF($D533&lt;&gt;"Entregado",0,IF($C533="","",VLOOKUP($C533,'DATA DE TARIFA'!$A$4:$C$68,2,FALSE)/1.18))</f>
        <v>10.16949153</v>
      </c>
      <c r="F533" s="19">
        <f>IF($C533="","",IF($D533="",0,VLOOKUP($C533,'DATA DE TARIFA'!$A$4:$C$68,3,FALSE)))</f>
        <v>4.5</v>
      </c>
      <c r="G533" s="66">
        <v>0.0</v>
      </c>
      <c r="H533" s="19">
        <f t="shared" si="1"/>
        <v>10.16949153</v>
      </c>
      <c r="I533" s="19">
        <f t="shared" si="2"/>
        <v>4.5</v>
      </c>
      <c r="J533" s="67"/>
      <c r="K533" s="44" t="str">
        <f>IF($B533="","",IFERROR(VLOOKUP($B533,Tiendas!$A$4:$B$176,2,FALSE),""))</f>
        <v>SEBASTIAN</v>
      </c>
      <c r="L533" s="68" t="s">
        <v>296</v>
      </c>
      <c r="M533" s="44" t="str">
        <f>IF($B533="","",IFERROR(VLOOKUP($B533,Tiendas!$A$4:$I$176,9,FALSE),""))</f>
        <v>No</v>
      </c>
      <c r="N533" s="71">
        <f t="shared" si="3"/>
        <v>0</v>
      </c>
      <c r="O533" s="71">
        <f t="shared" si="4"/>
        <v>0</v>
      </c>
    </row>
    <row r="534" ht="15.75" customHeight="1">
      <c r="A534" s="17">
        <v>46023.0</v>
      </c>
      <c r="B534" s="58" t="s">
        <v>251</v>
      </c>
      <c r="C534" s="44" t="s">
        <v>67</v>
      </c>
      <c r="D534" s="45" t="s">
        <v>295</v>
      </c>
      <c r="E534" s="19">
        <f>IF($D534&lt;&gt;"Entregado",0,IF($C534="","",VLOOKUP($C534,'DATA DE TARIFA'!$A$4:$C$68,2,FALSE)/1.18))</f>
        <v>10.16949153</v>
      </c>
      <c r="F534" s="19">
        <f>IF($C534="","",IF($D534="",0,VLOOKUP($C534,'DATA DE TARIFA'!$A$4:$C$68,3,FALSE)))</f>
        <v>5.5</v>
      </c>
      <c r="G534" s="66">
        <v>0.0</v>
      </c>
      <c r="H534" s="19">
        <f t="shared" si="1"/>
        <v>10.16949153</v>
      </c>
      <c r="I534" s="19">
        <f t="shared" si="2"/>
        <v>5.5</v>
      </c>
      <c r="J534" s="67"/>
      <c r="K534" s="44" t="str">
        <f>IF($B534="","",IFERROR(VLOOKUP($B534,Tiendas!$A$4:$B$176,2,FALSE),""))</f>
        <v>SEBASTIAN</v>
      </c>
      <c r="L534" s="68" t="s">
        <v>296</v>
      </c>
      <c r="M534" s="44" t="str">
        <f>IF($B534="","",IFERROR(VLOOKUP($B534,Tiendas!$A$4:$I$176,9,FALSE),""))</f>
        <v>No</v>
      </c>
      <c r="N534" s="71">
        <f t="shared" si="3"/>
        <v>0</v>
      </c>
      <c r="O534" s="71">
        <f t="shared" si="4"/>
        <v>0</v>
      </c>
    </row>
    <row r="535" ht="15.75" customHeight="1">
      <c r="A535" s="17">
        <v>46023.0</v>
      </c>
      <c r="B535" s="58" t="s">
        <v>219</v>
      </c>
      <c r="C535" s="44" t="s">
        <v>82</v>
      </c>
      <c r="D535" s="45" t="s">
        <v>295</v>
      </c>
      <c r="E535" s="19">
        <f>IF($D535&lt;&gt;"Entregado",0,IF($C535="","",VLOOKUP($C535,'DATA DE TARIFA'!$A$4:$C$68,2,FALSE)/1.18))</f>
        <v>11.86440678</v>
      </c>
      <c r="F535" s="19">
        <f>IF($C535="","",IF($D535="",0,VLOOKUP($C535,'DATA DE TARIFA'!$A$4:$C$68,3,FALSE)))</f>
        <v>8.5</v>
      </c>
      <c r="G535" s="66">
        <v>0.0</v>
      </c>
      <c r="H535" s="19">
        <f t="shared" si="1"/>
        <v>11.86440678</v>
      </c>
      <c r="I535" s="19">
        <f t="shared" si="2"/>
        <v>8.5</v>
      </c>
      <c r="J535" s="67"/>
      <c r="K535" s="44" t="str">
        <f>IF($B535="","",IFERROR(VLOOKUP($B535,Tiendas!$A$4:$B$176,2,FALSE),""))</f>
        <v>SEBASTIAN</v>
      </c>
      <c r="L535" s="68" t="s">
        <v>296</v>
      </c>
      <c r="M535" s="44" t="str">
        <f>IF($B535="","",IFERROR(VLOOKUP($B535,Tiendas!$A$4:$I$176,9,FALSE),""))</f>
        <v>No</v>
      </c>
      <c r="N535" s="71">
        <f t="shared" si="3"/>
        <v>0</v>
      </c>
      <c r="O535" s="71">
        <f t="shared" si="4"/>
        <v>0</v>
      </c>
    </row>
    <row r="536" ht="15.75" customHeight="1">
      <c r="A536" s="17">
        <v>46023.0</v>
      </c>
      <c r="B536" s="58" t="s">
        <v>219</v>
      </c>
      <c r="C536" s="44" t="s">
        <v>67</v>
      </c>
      <c r="D536" s="45" t="s">
        <v>295</v>
      </c>
      <c r="E536" s="19">
        <f>IF($D536&lt;&gt;"Entregado",0,IF($C536="","",VLOOKUP($C536,'DATA DE TARIFA'!$A$4:$C$68,2,FALSE)/1.18))</f>
        <v>10.16949153</v>
      </c>
      <c r="F536" s="19">
        <f>IF($C536="","",IF($D536="",0,VLOOKUP($C536,'DATA DE TARIFA'!$A$4:$C$68,3,FALSE)))</f>
        <v>5.5</v>
      </c>
      <c r="G536" s="66">
        <v>0.0</v>
      </c>
      <c r="H536" s="19">
        <f t="shared" si="1"/>
        <v>10.16949153</v>
      </c>
      <c r="I536" s="19">
        <f t="shared" si="2"/>
        <v>5.5</v>
      </c>
      <c r="J536" s="67"/>
      <c r="K536" s="44" t="str">
        <f>IF($B536="","",IFERROR(VLOOKUP($B536,Tiendas!$A$4:$B$176,2,FALSE),""))</f>
        <v>SEBASTIAN</v>
      </c>
      <c r="L536" s="68" t="s">
        <v>296</v>
      </c>
      <c r="M536" s="44" t="str">
        <f>IF($B536="","",IFERROR(VLOOKUP($B536,Tiendas!$A$4:$I$176,9,FALSE),""))</f>
        <v>No</v>
      </c>
      <c r="N536" s="71">
        <f t="shared" si="3"/>
        <v>0</v>
      </c>
      <c r="O536" s="71">
        <f t="shared" si="4"/>
        <v>0</v>
      </c>
    </row>
    <row r="537" ht="15.75" customHeight="1">
      <c r="A537" s="17">
        <v>46023.0</v>
      </c>
      <c r="B537" s="58" t="s">
        <v>219</v>
      </c>
      <c r="C537" s="44" t="s">
        <v>63</v>
      </c>
      <c r="D537" s="45" t="s">
        <v>295</v>
      </c>
      <c r="E537" s="19">
        <f>IF($D537&lt;&gt;"Entregado",0,IF($C537="","",VLOOKUP($C537,'DATA DE TARIFA'!$A$4:$C$68,2,FALSE)/1.18))</f>
        <v>8.474576271</v>
      </c>
      <c r="F537" s="19">
        <f>IF($C537="","",IF($D537="",0,VLOOKUP($C537,'DATA DE TARIFA'!$A$4:$C$68,3,FALSE)))</f>
        <v>4</v>
      </c>
      <c r="G537" s="66">
        <v>0.0</v>
      </c>
      <c r="H537" s="19">
        <f t="shared" si="1"/>
        <v>8.474576271</v>
      </c>
      <c r="I537" s="19">
        <f t="shared" si="2"/>
        <v>4</v>
      </c>
      <c r="J537" s="67"/>
      <c r="K537" s="44" t="str">
        <f>IF($B537="","",IFERROR(VLOOKUP($B537,Tiendas!$A$4:$B$176,2,FALSE),""))</f>
        <v>SEBASTIAN</v>
      </c>
      <c r="L537" s="68" t="s">
        <v>296</v>
      </c>
      <c r="M537" s="44" t="str">
        <f>IF($B537="","",IFERROR(VLOOKUP($B537,Tiendas!$A$4:$I$176,9,FALSE),""))</f>
        <v>No</v>
      </c>
      <c r="N537" s="71">
        <f t="shared" si="3"/>
        <v>0</v>
      </c>
      <c r="O537" s="71">
        <f t="shared" si="4"/>
        <v>0</v>
      </c>
    </row>
    <row r="538" ht="15.75" customHeight="1">
      <c r="A538" s="17">
        <v>46023.0</v>
      </c>
      <c r="B538" s="58" t="s">
        <v>219</v>
      </c>
      <c r="C538" s="44" t="s">
        <v>42</v>
      </c>
      <c r="D538" s="45" t="s">
        <v>295</v>
      </c>
      <c r="E538" s="19">
        <f>IF($D538&lt;&gt;"Entregado",0,IF($C538="","",VLOOKUP($C538,'DATA DE TARIFA'!$A$4:$C$68,2,FALSE)/1.18))</f>
        <v>8.474576271</v>
      </c>
      <c r="F538" s="19">
        <f>IF($C538="","",IF($D538="",0,VLOOKUP($C538,'DATA DE TARIFA'!$A$4:$C$68,3,FALSE)))</f>
        <v>4</v>
      </c>
      <c r="G538" s="66">
        <v>0.0</v>
      </c>
      <c r="H538" s="19">
        <f t="shared" si="1"/>
        <v>8.474576271</v>
      </c>
      <c r="I538" s="19">
        <f t="shared" si="2"/>
        <v>4</v>
      </c>
      <c r="J538" s="67"/>
      <c r="K538" s="44" t="str">
        <f>IF($B538="","",IFERROR(VLOOKUP($B538,Tiendas!$A$4:$B$176,2,FALSE),""))</f>
        <v>SEBASTIAN</v>
      </c>
      <c r="L538" s="68" t="s">
        <v>296</v>
      </c>
      <c r="M538" s="44" t="str">
        <f>IF($B538="","",IFERROR(VLOOKUP($B538,Tiendas!$A$4:$I$176,9,FALSE),""))</f>
        <v>No</v>
      </c>
      <c r="N538" s="71">
        <f t="shared" si="3"/>
        <v>0</v>
      </c>
      <c r="O538" s="71">
        <f t="shared" si="4"/>
        <v>0</v>
      </c>
    </row>
    <row r="539" ht="15.75" customHeight="1">
      <c r="A539" s="17">
        <v>46023.0</v>
      </c>
      <c r="B539" s="58" t="s">
        <v>219</v>
      </c>
      <c r="C539" s="44" t="s">
        <v>24</v>
      </c>
      <c r="D539" s="45" t="s">
        <v>295</v>
      </c>
      <c r="E539" s="19">
        <f>IF($D539&lt;&gt;"Entregado",0,IF($C539="","",VLOOKUP($C539,'DATA DE TARIFA'!$A$4:$C$68,2,FALSE)/1.18))</f>
        <v>8.474576271</v>
      </c>
      <c r="F539" s="19">
        <f>IF($C539="","",IF($D539="",0,VLOOKUP($C539,'DATA DE TARIFA'!$A$4:$C$68,3,FALSE)))</f>
        <v>4.5</v>
      </c>
      <c r="G539" s="66">
        <v>0.0</v>
      </c>
      <c r="H539" s="19">
        <f t="shared" si="1"/>
        <v>8.474576271</v>
      </c>
      <c r="I539" s="19">
        <f t="shared" si="2"/>
        <v>4.5</v>
      </c>
      <c r="J539" s="67"/>
      <c r="K539" s="44" t="str">
        <f>IF($B539="","",IFERROR(VLOOKUP($B539,Tiendas!$A$4:$B$176,2,FALSE),""))</f>
        <v>SEBASTIAN</v>
      </c>
      <c r="L539" s="68" t="s">
        <v>296</v>
      </c>
      <c r="M539" s="44" t="str">
        <f>IF($B539="","",IFERROR(VLOOKUP($B539,Tiendas!$A$4:$I$176,9,FALSE),""))</f>
        <v>No</v>
      </c>
      <c r="N539" s="71">
        <f t="shared" si="3"/>
        <v>0</v>
      </c>
      <c r="O539" s="71">
        <f t="shared" si="4"/>
        <v>0</v>
      </c>
    </row>
    <row r="540" ht="15.75" customHeight="1">
      <c r="A540" s="17">
        <v>46023.0</v>
      </c>
      <c r="B540" s="58" t="s">
        <v>219</v>
      </c>
      <c r="C540" s="44" t="s">
        <v>57</v>
      </c>
      <c r="D540" s="45" t="s">
        <v>295</v>
      </c>
      <c r="E540" s="19">
        <f>IF($D540&lt;&gt;"Entregado",0,IF($C540="","",VLOOKUP($C540,'DATA DE TARIFA'!$A$4:$C$68,2,FALSE)/1.18))</f>
        <v>8.474576271</v>
      </c>
      <c r="F540" s="19">
        <f>IF($C540="","",IF($D540="",0,VLOOKUP($C540,'DATA DE TARIFA'!$A$4:$C$68,3,FALSE)))</f>
        <v>4.5</v>
      </c>
      <c r="G540" s="66">
        <v>0.0</v>
      </c>
      <c r="H540" s="19">
        <f t="shared" si="1"/>
        <v>8.474576271</v>
      </c>
      <c r="I540" s="19">
        <f t="shared" si="2"/>
        <v>4.5</v>
      </c>
      <c r="J540" s="67"/>
      <c r="K540" s="44" t="str">
        <f>IF($B540="","",IFERROR(VLOOKUP($B540,Tiendas!$A$4:$B$176,2,FALSE),""))</f>
        <v>SEBASTIAN</v>
      </c>
      <c r="L540" s="68" t="s">
        <v>296</v>
      </c>
      <c r="M540" s="44" t="str">
        <f>IF($B540="","",IFERROR(VLOOKUP($B540,Tiendas!$A$4:$I$176,9,FALSE),""))</f>
        <v>No</v>
      </c>
      <c r="N540" s="71">
        <f t="shared" si="3"/>
        <v>0</v>
      </c>
      <c r="O540" s="71">
        <f t="shared" si="4"/>
        <v>0</v>
      </c>
    </row>
    <row r="541" ht="15.75" customHeight="1">
      <c r="A541" s="17">
        <v>46023.0</v>
      </c>
      <c r="B541" s="58" t="s">
        <v>219</v>
      </c>
      <c r="C541" s="44" t="s">
        <v>38</v>
      </c>
      <c r="D541" s="45" t="s">
        <v>295</v>
      </c>
      <c r="E541" s="19">
        <f>IF($D541&lt;&gt;"Entregado",0,IF($C541="","",VLOOKUP($C541,'DATA DE TARIFA'!$A$4:$C$68,2,FALSE)/1.18))</f>
        <v>8.474576271</v>
      </c>
      <c r="F541" s="19">
        <f>IF($C541="","",IF($D541="",0,VLOOKUP($C541,'DATA DE TARIFA'!$A$4:$C$68,3,FALSE)))</f>
        <v>4</v>
      </c>
      <c r="G541" s="66">
        <v>0.0</v>
      </c>
      <c r="H541" s="19">
        <f t="shared" si="1"/>
        <v>8.474576271</v>
      </c>
      <c r="I541" s="19">
        <f t="shared" si="2"/>
        <v>4</v>
      </c>
      <c r="J541" s="67"/>
      <c r="K541" s="44" t="str">
        <f>IF($B541="","",IFERROR(VLOOKUP($B541,Tiendas!$A$4:$B$176,2,FALSE),""))</f>
        <v>SEBASTIAN</v>
      </c>
      <c r="L541" s="68" t="s">
        <v>296</v>
      </c>
      <c r="M541" s="44" t="str">
        <f>IF($B541="","",IFERROR(VLOOKUP($B541,Tiendas!$A$4:$I$176,9,FALSE),""))</f>
        <v>No</v>
      </c>
      <c r="N541" s="71">
        <f t="shared" si="3"/>
        <v>0</v>
      </c>
      <c r="O541" s="71">
        <f t="shared" si="4"/>
        <v>0</v>
      </c>
    </row>
    <row r="542" ht="15.75" customHeight="1">
      <c r="A542" s="17">
        <v>46023.0</v>
      </c>
      <c r="B542" s="58" t="s">
        <v>219</v>
      </c>
      <c r="C542" s="44" t="s">
        <v>82</v>
      </c>
      <c r="D542" s="45" t="s">
        <v>295</v>
      </c>
      <c r="E542" s="19">
        <f>IF($D542&lt;&gt;"Entregado",0,IF($C542="","",VLOOKUP($C542,'DATA DE TARIFA'!$A$4:$C$68,2,FALSE)/1.18))</f>
        <v>11.86440678</v>
      </c>
      <c r="F542" s="19">
        <f>IF($C542="","",IF($D542="",0,VLOOKUP($C542,'DATA DE TARIFA'!$A$4:$C$68,3,FALSE)))</f>
        <v>8.5</v>
      </c>
      <c r="G542" s="66">
        <v>0.0</v>
      </c>
      <c r="H542" s="19">
        <f t="shared" si="1"/>
        <v>11.86440678</v>
      </c>
      <c r="I542" s="19">
        <f t="shared" si="2"/>
        <v>8.5</v>
      </c>
      <c r="J542" s="67"/>
      <c r="K542" s="44" t="str">
        <f>IF($B542="","",IFERROR(VLOOKUP($B542,Tiendas!$A$4:$B$176,2,FALSE),""))</f>
        <v>SEBASTIAN</v>
      </c>
      <c r="L542" s="68" t="s">
        <v>296</v>
      </c>
      <c r="M542" s="44" t="str">
        <f>IF($B542="","",IFERROR(VLOOKUP($B542,Tiendas!$A$4:$I$176,9,FALSE),""))</f>
        <v>No</v>
      </c>
      <c r="N542" s="71">
        <f t="shared" si="3"/>
        <v>0</v>
      </c>
      <c r="O542" s="71">
        <f t="shared" si="4"/>
        <v>0</v>
      </c>
    </row>
    <row r="543" ht="15.75" customHeight="1">
      <c r="A543" s="17">
        <v>46023.0</v>
      </c>
      <c r="B543" s="58" t="s">
        <v>219</v>
      </c>
      <c r="C543" s="44" t="s">
        <v>23</v>
      </c>
      <c r="D543" s="45" t="s">
        <v>295</v>
      </c>
      <c r="E543" s="19">
        <f>IF($D543&lt;&gt;"Entregado",0,IF($C543="","",VLOOKUP($C543,'DATA DE TARIFA'!$A$4:$C$68,2,FALSE)/1.18))</f>
        <v>8.474576271</v>
      </c>
      <c r="F543" s="19">
        <f>IF($C543="","",IF($D543="",0,VLOOKUP($C543,'DATA DE TARIFA'!$A$4:$C$68,3,FALSE)))</f>
        <v>4.5</v>
      </c>
      <c r="G543" s="66">
        <v>0.0</v>
      </c>
      <c r="H543" s="19">
        <f t="shared" si="1"/>
        <v>8.474576271</v>
      </c>
      <c r="I543" s="19">
        <f t="shared" si="2"/>
        <v>4.5</v>
      </c>
      <c r="J543" s="67"/>
      <c r="K543" s="44" t="str">
        <f>IF($B543="","",IFERROR(VLOOKUP($B543,Tiendas!$A$4:$B$176,2,FALSE),""))</f>
        <v>SEBASTIAN</v>
      </c>
      <c r="L543" s="68" t="s">
        <v>296</v>
      </c>
      <c r="M543" s="44" t="str">
        <f>IF($B543="","",IFERROR(VLOOKUP($B543,Tiendas!$A$4:$I$176,9,FALSE),""))</f>
        <v>No</v>
      </c>
      <c r="N543" s="71">
        <f t="shared" si="3"/>
        <v>0</v>
      </c>
      <c r="O543" s="71">
        <f t="shared" si="4"/>
        <v>0</v>
      </c>
    </row>
    <row r="544" ht="15.75" customHeight="1">
      <c r="A544" s="17">
        <v>46023.0</v>
      </c>
      <c r="B544" s="58" t="s">
        <v>219</v>
      </c>
      <c r="C544" s="44" t="s">
        <v>68</v>
      </c>
      <c r="D544" s="45" t="s">
        <v>295</v>
      </c>
      <c r="E544" s="19">
        <f>IF($D544&lt;&gt;"Entregado",0,IF($C544="","",VLOOKUP($C544,'DATA DE TARIFA'!$A$4:$C$68,2,FALSE)/1.18))</f>
        <v>11.86440678</v>
      </c>
      <c r="F544" s="19">
        <f>IF($C544="","",IF($D544="",0,VLOOKUP($C544,'DATA DE TARIFA'!$A$4:$C$68,3,FALSE)))</f>
        <v>7.5</v>
      </c>
      <c r="G544" s="66">
        <v>0.0</v>
      </c>
      <c r="H544" s="19">
        <f t="shared" si="1"/>
        <v>11.86440678</v>
      </c>
      <c r="I544" s="19">
        <f t="shared" si="2"/>
        <v>7.5</v>
      </c>
      <c r="J544" s="67"/>
      <c r="K544" s="44" t="str">
        <f>IF($B544="","",IFERROR(VLOOKUP($B544,Tiendas!$A$4:$B$176,2,FALSE),""))</f>
        <v>SEBASTIAN</v>
      </c>
      <c r="L544" s="68" t="s">
        <v>296</v>
      </c>
      <c r="M544" s="44" t="str">
        <f>IF($B544="","",IFERROR(VLOOKUP($B544,Tiendas!$A$4:$I$176,9,FALSE),""))</f>
        <v>No</v>
      </c>
      <c r="N544" s="71">
        <f t="shared" si="3"/>
        <v>0</v>
      </c>
      <c r="O544" s="71">
        <f t="shared" si="4"/>
        <v>0</v>
      </c>
    </row>
    <row r="545" ht="15.75" customHeight="1">
      <c r="A545" s="17">
        <v>46023.0</v>
      </c>
      <c r="B545" s="58" t="s">
        <v>219</v>
      </c>
      <c r="C545" s="44" t="s">
        <v>47</v>
      </c>
      <c r="D545" s="45" t="s">
        <v>295</v>
      </c>
      <c r="E545" s="19">
        <f>IF($D545&lt;&gt;"Entregado",0,IF($C545="","",VLOOKUP($C545,'DATA DE TARIFA'!$A$4:$C$68,2,FALSE)/1.18))</f>
        <v>10.16949153</v>
      </c>
      <c r="F545" s="19">
        <f>IF($C545="","",IF($D545="",0,VLOOKUP($C545,'DATA DE TARIFA'!$A$4:$C$68,3,FALSE)))</f>
        <v>5.5</v>
      </c>
      <c r="G545" s="66">
        <v>0.0</v>
      </c>
      <c r="H545" s="19">
        <f t="shared" si="1"/>
        <v>10.16949153</v>
      </c>
      <c r="I545" s="19">
        <f t="shared" si="2"/>
        <v>5.5</v>
      </c>
      <c r="J545" s="67"/>
      <c r="K545" s="44" t="str">
        <f>IF($B545="","",IFERROR(VLOOKUP($B545,Tiendas!$A$4:$B$176,2,FALSE),""))</f>
        <v>SEBASTIAN</v>
      </c>
      <c r="L545" s="68" t="s">
        <v>296</v>
      </c>
      <c r="M545" s="44" t="str">
        <f>IF($B545="","",IFERROR(VLOOKUP($B545,Tiendas!$A$4:$I$176,9,FALSE),""))</f>
        <v>No</v>
      </c>
      <c r="N545" s="71">
        <f t="shared" si="3"/>
        <v>0</v>
      </c>
      <c r="O545" s="71">
        <f t="shared" si="4"/>
        <v>0</v>
      </c>
    </row>
    <row r="546" ht="15.75" customHeight="1">
      <c r="A546" s="17">
        <v>46023.0</v>
      </c>
      <c r="B546" s="58" t="s">
        <v>219</v>
      </c>
      <c r="C546" s="44" t="s">
        <v>46</v>
      </c>
      <c r="D546" s="45" t="s">
        <v>295</v>
      </c>
      <c r="E546" s="19">
        <f>IF($D546&lt;&gt;"Entregado",0,IF($C546="","",VLOOKUP($C546,'DATA DE TARIFA'!$A$4:$C$68,2,FALSE)/1.18))</f>
        <v>10.16949153</v>
      </c>
      <c r="F546" s="19">
        <f>IF($C546="","",IF($D546="",0,VLOOKUP($C546,'DATA DE TARIFA'!$A$4:$C$68,3,FALSE)))</f>
        <v>4.5</v>
      </c>
      <c r="G546" s="66">
        <v>0.0</v>
      </c>
      <c r="H546" s="19">
        <f t="shared" si="1"/>
        <v>10.16949153</v>
      </c>
      <c r="I546" s="19">
        <f t="shared" si="2"/>
        <v>4.5</v>
      </c>
      <c r="J546" s="67"/>
      <c r="K546" s="44" t="str">
        <f>IF($B546="","",IFERROR(VLOOKUP($B546,Tiendas!$A$4:$B$176,2,FALSE),""))</f>
        <v>SEBASTIAN</v>
      </c>
      <c r="L546" s="68" t="s">
        <v>296</v>
      </c>
      <c r="M546" s="44" t="str">
        <f>IF($B546="","",IFERROR(VLOOKUP($B546,Tiendas!$A$4:$I$176,9,FALSE),""))</f>
        <v>No</v>
      </c>
      <c r="N546" s="71">
        <f t="shared" si="3"/>
        <v>0</v>
      </c>
      <c r="O546" s="71">
        <f t="shared" si="4"/>
        <v>0</v>
      </c>
    </row>
    <row r="547" ht="15.75" customHeight="1">
      <c r="A547" s="17">
        <v>46023.0</v>
      </c>
      <c r="B547" s="58" t="s">
        <v>219</v>
      </c>
      <c r="C547" s="44" t="s">
        <v>66</v>
      </c>
      <c r="D547" s="45" t="s">
        <v>295</v>
      </c>
      <c r="E547" s="19">
        <f>IF($D547&lt;&gt;"Entregado",0,IF($C547="","",VLOOKUP($C547,'DATA DE TARIFA'!$A$4:$C$68,2,FALSE)/1.18))</f>
        <v>10.16949153</v>
      </c>
      <c r="F547" s="19">
        <f>IF($C547="","",IF($D547="",0,VLOOKUP($C547,'DATA DE TARIFA'!$A$4:$C$68,3,FALSE)))</f>
        <v>4.5</v>
      </c>
      <c r="G547" s="66">
        <v>0.0</v>
      </c>
      <c r="H547" s="19">
        <f t="shared" si="1"/>
        <v>10.16949153</v>
      </c>
      <c r="I547" s="19">
        <f t="shared" si="2"/>
        <v>4.5</v>
      </c>
      <c r="J547" s="67"/>
      <c r="K547" s="44" t="str">
        <f>IF($B547="","",IFERROR(VLOOKUP($B547,Tiendas!$A$4:$B$176,2,FALSE),""))</f>
        <v>SEBASTIAN</v>
      </c>
      <c r="L547" s="68" t="s">
        <v>296</v>
      </c>
      <c r="M547" s="44" t="str">
        <f>IF($B547="","",IFERROR(VLOOKUP($B547,Tiendas!$A$4:$I$176,9,FALSE),""))</f>
        <v>No</v>
      </c>
      <c r="N547" s="71">
        <f t="shared" si="3"/>
        <v>0</v>
      </c>
      <c r="O547" s="71">
        <f t="shared" si="4"/>
        <v>0</v>
      </c>
    </row>
    <row r="548" ht="15.75" customHeight="1">
      <c r="A548" s="17">
        <v>46023.0</v>
      </c>
      <c r="B548" s="58" t="s">
        <v>219</v>
      </c>
      <c r="C548" s="44" t="s">
        <v>57</v>
      </c>
      <c r="D548" s="45" t="s">
        <v>295</v>
      </c>
      <c r="E548" s="19">
        <f>IF($D548&lt;&gt;"Entregado",0,IF($C548="","",VLOOKUP($C548,'DATA DE TARIFA'!$A$4:$C$68,2,FALSE)/1.18))</f>
        <v>8.474576271</v>
      </c>
      <c r="F548" s="19">
        <f>IF($C548="","",IF($D548="",0,VLOOKUP($C548,'DATA DE TARIFA'!$A$4:$C$68,3,FALSE)))</f>
        <v>4.5</v>
      </c>
      <c r="G548" s="66">
        <v>0.0</v>
      </c>
      <c r="H548" s="19">
        <f t="shared" si="1"/>
        <v>8.474576271</v>
      </c>
      <c r="I548" s="19">
        <f t="shared" si="2"/>
        <v>4.5</v>
      </c>
      <c r="J548" s="67"/>
      <c r="K548" s="44" t="str">
        <f>IF($B548="","",IFERROR(VLOOKUP($B548,Tiendas!$A$4:$B$176,2,FALSE),""))</f>
        <v>SEBASTIAN</v>
      </c>
      <c r="L548" s="68" t="s">
        <v>296</v>
      </c>
      <c r="M548" s="44" t="str">
        <f>IF($B548="","",IFERROR(VLOOKUP($B548,Tiendas!$A$4:$I$176,9,FALSE),""))</f>
        <v>No</v>
      </c>
      <c r="N548" s="71">
        <f t="shared" si="3"/>
        <v>0</v>
      </c>
      <c r="O548" s="71">
        <f t="shared" si="4"/>
        <v>0</v>
      </c>
    </row>
    <row r="549" ht="15.75" customHeight="1">
      <c r="A549" s="17">
        <v>46023.0</v>
      </c>
      <c r="B549" s="58" t="s">
        <v>219</v>
      </c>
      <c r="C549" s="44" t="s">
        <v>51</v>
      </c>
      <c r="D549" s="45" t="s">
        <v>295</v>
      </c>
      <c r="E549" s="19">
        <f>IF($D549&lt;&gt;"Entregado",0,IF($C549="","",VLOOKUP($C549,'DATA DE TARIFA'!$A$4:$C$68,2,FALSE)/1.18))</f>
        <v>10.16949153</v>
      </c>
      <c r="F549" s="19">
        <f>IF($C549="","",IF($D549="",0,VLOOKUP($C549,'DATA DE TARIFA'!$A$4:$C$68,3,FALSE)))</f>
        <v>5.5</v>
      </c>
      <c r="G549" s="66">
        <v>0.0</v>
      </c>
      <c r="H549" s="19">
        <f t="shared" si="1"/>
        <v>10.16949153</v>
      </c>
      <c r="I549" s="19">
        <f t="shared" si="2"/>
        <v>5.5</v>
      </c>
      <c r="J549" s="67"/>
      <c r="K549" s="44" t="str">
        <f>IF($B549="","",IFERROR(VLOOKUP($B549,Tiendas!$A$4:$B$176,2,FALSE),""))</f>
        <v>SEBASTIAN</v>
      </c>
      <c r="L549" s="68" t="s">
        <v>296</v>
      </c>
      <c r="M549" s="44" t="str">
        <f>IF($B549="","",IFERROR(VLOOKUP($B549,Tiendas!$A$4:$I$176,9,FALSE),""))</f>
        <v>No</v>
      </c>
      <c r="N549" s="71">
        <f t="shared" si="3"/>
        <v>0</v>
      </c>
      <c r="O549" s="71">
        <f t="shared" si="4"/>
        <v>0</v>
      </c>
    </row>
    <row r="550" ht="15.75" customHeight="1">
      <c r="A550" s="17">
        <v>46023.0</v>
      </c>
      <c r="B550" s="58" t="s">
        <v>219</v>
      </c>
      <c r="C550" s="44" t="s">
        <v>24</v>
      </c>
      <c r="D550" s="45" t="s">
        <v>295</v>
      </c>
      <c r="E550" s="19">
        <f>IF($D550&lt;&gt;"Entregado",0,IF($C550="","",VLOOKUP($C550,'DATA DE TARIFA'!$A$4:$C$68,2,FALSE)/1.18))</f>
        <v>8.474576271</v>
      </c>
      <c r="F550" s="19">
        <f>IF($C550="","",IF($D550="",0,VLOOKUP($C550,'DATA DE TARIFA'!$A$4:$C$68,3,FALSE)))</f>
        <v>4.5</v>
      </c>
      <c r="G550" s="66">
        <v>0.0</v>
      </c>
      <c r="H550" s="19">
        <f t="shared" si="1"/>
        <v>8.474576271</v>
      </c>
      <c r="I550" s="19">
        <f t="shared" si="2"/>
        <v>4.5</v>
      </c>
      <c r="J550" s="67"/>
      <c r="K550" s="44" t="str">
        <f>IF($B550="","",IFERROR(VLOOKUP($B550,Tiendas!$A$4:$B$176,2,FALSE),""))</f>
        <v>SEBASTIAN</v>
      </c>
      <c r="L550" s="68" t="s">
        <v>296</v>
      </c>
      <c r="M550" s="44" t="str">
        <f>IF($B550="","",IFERROR(VLOOKUP($B550,Tiendas!$A$4:$I$176,9,FALSE),""))</f>
        <v>No</v>
      </c>
      <c r="N550" s="71">
        <f t="shared" si="3"/>
        <v>0</v>
      </c>
      <c r="O550" s="71">
        <f t="shared" si="4"/>
        <v>0</v>
      </c>
    </row>
    <row r="551" ht="15.75" customHeight="1">
      <c r="A551" s="17">
        <v>46023.0</v>
      </c>
      <c r="B551" s="58" t="s">
        <v>219</v>
      </c>
      <c r="C551" s="44" t="s">
        <v>24</v>
      </c>
      <c r="D551" s="45" t="s">
        <v>295</v>
      </c>
      <c r="E551" s="19">
        <f>IF($D551&lt;&gt;"Entregado",0,IF($C551="","",VLOOKUP($C551,'DATA DE TARIFA'!$A$4:$C$68,2,FALSE)/1.18))</f>
        <v>8.474576271</v>
      </c>
      <c r="F551" s="19">
        <f>IF($C551="","",IF($D551="",0,VLOOKUP($C551,'DATA DE TARIFA'!$A$4:$C$68,3,FALSE)))</f>
        <v>4.5</v>
      </c>
      <c r="G551" s="66">
        <v>0.0</v>
      </c>
      <c r="H551" s="19">
        <f t="shared" si="1"/>
        <v>8.474576271</v>
      </c>
      <c r="I551" s="19">
        <f t="shared" si="2"/>
        <v>4.5</v>
      </c>
      <c r="J551" s="67"/>
      <c r="K551" s="44" t="str">
        <f>IF($B551="","",IFERROR(VLOOKUP($B551,Tiendas!$A$4:$B$176,2,FALSE),""))</f>
        <v>SEBASTIAN</v>
      </c>
      <c r="L551" s="68" t="s">
        <v>296</v>
      </c>
      <c r="M551" s="44" t="str">
        <f>IF($B551="","",IFERROR(VLOOKUP($B551,Tiendas!$A$4:$I$176,9,FALSE),""))</f>
        <v>No</v>
      </c>
      <c r="N551" s="71">
        <f t="shared" si="3"/>
        <v>0</v>
      </c>
      <c r="O551" s="71">
        <f t="shared" si="4"/>
        <v>0</v>
      </c>
    </row>
    <row r="552" ht="15.75" customHeight="1">
      <c r="A552" s="17">
        <v>46023.0</v>
      </c>
      <c r="B552" s="58" t="s">
        <v>219</v>
      </c>
      <c r="C552" s="44" t="s">
        <v>21</v>
      </c>
      <c r="D552" s="45" t="s">
        <v>295</v>
      </c>
      <c r="E552" s="19">
        <f>IF($D552&lt;&gt;"Entregado",0,IF($C552="","",VLOOKUP($C552,'DATA DE TARIFA'!$A$4:$C$68,2,FALSE)/1.18))</f>
        <v>10.16949153</v>
      </c>
      <c r="F552" s="19">
        <f>IF($C552="","",IF($D552="",0,VLOOKUP($C552,'DATA DE TARIFA'!$A$4:$C$68,3,FALSE)))</f>
        <v>4.5</v>
      </c>
      <c r="G552" s="66">
        <v>0.0</v>
      </c>
      <c r="H552" s="19">
        <f t="shared" si="1"/>
        <v>10.16949153</v>
      </c>
      <c r="I552" s="19">
        <f t="shared" si="2"/>
        <v>4.5</v>
      </c>
      <c r="J552" s="67"/>
      <c r="K552" s="44" t="str">
        <f>IF($B552="","",IFERROR(VLOOKUP($B552,Tiendas!$A$4:$B$176,2,FALSE),""))</f>
        <v>SEBASTIAN</v>
      </c>
      <c r="L552" s="68" t="s">
        <v>296</v>
      </c>
      <c r="M552" s="44" t="str">
        <f>IF($B552="","",IFERROR(VLOOKUP($B552,Tiendas!$A$4:$I$176,9,FALSE),""))</f>
        <v>No</v>
      </c>
      <c r="N552" s="71">
        <f t="shared" si="3"/>
        <v>0</v>
      </c>
      <c r="O552" s="71">
        <f t="shared" si="4"/>
        <v>0</v>
      </c>
    </row>
    <row r="553" ht="15.75" customHeight="1">
      <c r="A553" s="17">
        <v>46023.0</v>
      </c>
      <c r="B553" s="58" t="s">
        <v>219</v>
      </c>
      <c r="C553" s="44" t="s">
        <v>15</v>
      </c>
      <c r="D553" s="45" t="s">
        <v>295</v>
      </c>
      <c r="E553" s="19">
        <f>IF($D553&lt;&gt;"Entregado",0,IF($C553="","",VLOOKUP($C553,'DATA DE TARIFA'!$A$4:$C$68,2,FALSE)/1.18))</f>
        <v>8.474576271</v>
      </c>
      <c r="F553" s="19">
        <f>IF($C553="","",IF($D553="",0,VLOOKUP($C553,'DATA DE TARIFA'!$A$4:$C$68,3,FALSE)))</f>
        <v>4.5</v>
      </c>
      <c r="G553" s="66">
        <v>0.0</v>
      </c>
      <c r="H553" s="19">
        <f t="shared" si="1"/>
        <v>8.474576271</v>
      </c>
      <c r="I553" s="19">
        <f t="shared" si="2"/>
        <v>4.5</v>
      </c>
      <c r="J553" s="67"/>
      <c r="K553" s="44" t="str">
        <f>IF($B553="","",IFERROR(VLOOKUP($B553,Tiendas!$A$4:$B$176,2,FALSE),""))</f>
        <v>SEBASTIAN</v>
      </c>
      <c r="L553" s="68" t="s">
        <v>296</v>
      </c>
      <c r="M553" s="44" t="str">
        <f>IF($B553="","",IFERROR(VLOOKUP($B553,Tiendas!$A$4:$I$176,9,FALSE),""))</f>
        <v>No</v>
      </c>
      <c r="N553" s="71">
        <f t="shared" si="3"/>
        <v>0</v>
      </c>
      <c r="O553" s="71">
        <f t="shared" si="4"/>
        <v>0</v>
      </c>
    </row>
    <row r="554" ht="15.75" customHeight="1">
      <c r="A554" s="17">
        <v>46023.0</v>
      </c>
      <c r="B554" s="58" t="s">
        <v>219</v>
      </c>
      <c r="C554" s="44" t="s">
        <v>15</v>
      </c>
      <c r="D554" s="45" t="s">
        <v>295</v>
      </c>
      <c r="E554" s="19">
        <f>IF($D554&lt;&gt;"Entregado",0,IF($C554="","",VLOOKUP($C554,'DATA DE TARIFA'!$A$4:$C$68,2,FALSE)/1.18))</f>
        <v>8.474576271</v>
      </c>
      <c r="F554" s="19">
        <f>IF($C554="","",IF($D554="",0,VLOOKUP($C554,'DATA DE TARIFA'!$A$4:$C$68,3,FALSE)))</f>
        <v>4.5</v>
      </c>
      <c r="G554" s="66">
        <v>0.0</v>
      </c>
      <c r="H554" s="19">
        <f t="shared" si="1"/>
        <v>8.474576271</v>
      </c>
      <c r="I554" s="19">
        <f t="shared" si="2"/>
        <v>4.5</v>
      </c>
      <c r="J554" s="67"/>
      <c r="K554" s="44" t="str">
        <f>IF($B554="","",IFERROR(VLOOKUP($B554,Tiendas!$A$4:$B$176,2,FALSE),""))</f>
        <v>SEBASTIAN</v>
      </c>
      <c r="L554" s="68" t="s">
        <v>296</v>
      </c>
      <c r="M554" s="44" t="str">
        <f>IF($B554="","",IFERROR(VLOOKUP($B554,Tiendas!$A$4:$I$176,9,FALSE),""))</f>
        <v>No</v>
      </c>
      <c r="N554" s="71">
        <f t="shared" si="3"/>
        <v>0</v>
      </c>
      <c r="O554" s="71">
        <f t="shared" si="4"/>
        <v>0</v>
      </c>
    </row>
    <row r="555" ht="15.75" customHeight="1">
      <c r="A555" s="17">
        <v>46023.0</v>
      </c>
      <c r="B555" s="58" t="s">
        <v>219</v>
      </c>
      <c r="C555" s="44" t="s">
        <v>76</v>
      </c>
      <c r="D555" s="45" t="s">
        <v>295</v>
      </c>
      <c r="E555" s="19">
        <f>IF($D555&lt;&gt;"Entregado",0,IF($C555="","",VLOOKUP($C555,'DATA DE TARIFA'!$A$4:$C$68,2,FALSE)/1.18))</f>
        <v>10.16949153</v>
      </c>
      <c r="F555" s="19">
        <f>IF($C555="","",IF($D555="",0,VLOOKUP($C555,'DATA DE TARIFA'!$A$4:$C$68,3,FALSE)))</f>
        <v>4.5</v>
      </c>
      <c r="G555" s="66">
        <v>0.0</v>
      </c>
      <c r="H555" s="19">
        <f t="shared" si="1"/>
        <v>10.16949153</v>
      </c>
      <c r="I555" s="19">
        <f t="shared" si="2"/>
        <v>4.5</v>
      </c>
      <c r="J555" s="67"/>
      <c r="K555" s="44" t="str">
        <f>IF($B555="","",IFERROR(VLOOKUP($B555,Tiendas!$A$4:$B$176,2,FALSE),""))</f>
        <v>SEBASTIAN</v>
      </c>
      <c r="L555" s="68" t="s">
        <v>296</v>
      </c>
      <c r="M555" s="44" t="str">
        <f>IF($B555="","",IFERROR(VLOOKUP($B555,Tiendas!$A$4:$I$176,9,FALSE),""))</f>
        <v>No</v>
      </c>
      <c r="N555" s="71">
        <f t="shared" si="3"/>
        <v>0</v>
      </c>
      <c r="O555" s="71">
        <f t="shared" si="4"/>
        <v>0</v>
      </c>
    </row>
    <row r="556" ht="15.75" customHeight="1">
      <c r="A556" s="17">
        <v>46023.0</v>
      </c>
      <c r="B556" s="58" t="s">
        <v>219</v>
      </c>
      <c r="C556" s="44" t="s">
        <v>67</v>
      </c>
      <c r="D556" s="45" t="s">
        <v>295</v>
      </c>
      <c r="E556" s="19">
        <f>IF($D556&lt;&gt;"Entregado",0,IF($C556="","",VLOOKUP($C556,'DATA DE TARIFA'!$A$4:$C$68,2,FALSE)/1.18))</f>
        <v>10.16949153</v>
      </c>
      <c r="F556" s="19">
        <f>IF($C556="","",IF($D556="",0,VLOOKUP($C556,'DATA DE TARIFA'!$A$4:$C$68,3,FALSE)))</f>
        <v>5.5</v>
      </c>
      <c r="G556" s="66">
        <v>0.0</v>
      </c>
      <c r="H556" s="19">
        <f t="shared" si="1"/>
        <v>10.16949153</v>
      </c>
      <c r="I556" s="19">
        <f t="shared" si="2"/>
        <v>5.5</v>
      </c>
      <c r="J556" s="67"/>
      <c r="K556" s="44" t="str">
        <f>IF($B556="","",IFERROR(VLOOKUP($B556,Tiendas!$A$4:$B$176,2,FALSE),""))</f>
        <v>SEBASTIAN</v>
      </c>
      <c r="L556" s="68" t="s">
        <v>296</v>
      </c>
      <c r="M556" s="44" t="str">
        <f>IF($B556="","",IFERROR(VLOOKUP($B556,Tiendas!$A$4:$I$176,9,FALSE),""))</f>
        <v>No</v>
      </c>
      <c r="N556" s="71">
        <f t="shared" si="3"/>
        <v>0</v>
      </c>
      <c r="O556" s="71">
        <f t="shared" si="4"/>
        <v>0</v>
      </c>
    </row>
    <row r="557" ht="15.75" customHeight="1">
      <c r="A557" s="17">
        <v>46023.0</v>
      </c>
      <c r="B557" s="58" t="s">
        <v>219</v>
      </c>
      <c r="C557" s="44" t="s">
        <v>15</v>
      </c>
      <c r="D557" s="45" t="s">
        <v>295</v>
      </c>
      <c r="E557" s="19">
        <f>IF($D557&lt;&gt;"Entregado",0,IF($C557="","",VLOOKUP($C557,'DATA DE TARIFA'!$A$4:$C$68,2,FALSE)/1.18))</f>
        <v>8.474576271</v>
      </c>
      <c r="F557" s="19">
        <f>IF($C557="","",IF($D557="",0,VLOOKUP($C557,'DATA DE TARIFA'!$A$4:$C$68,3,FALSE)))</f>
        <v>4.5</v>
      </c>
      <c r="G557" s="66">
        <v>0.0</v>
      </c>
      <c r="H557" s="19">
        <f t="shared" si="1"/>
        <v>8.474576271</v>
      </c>
      <c r="I557" s="19">
        <f t="shared" si="2"/>
        <v>4.5</v>
      </c>
      <c r="J557" s="67"/>
      <c r="K557" s="44" t="str">
        <f>IF($B557="","",IFERROR(VLOOKUP($B557,Tiendas!$A$4:$B$176,2,FALSE),""))</f>
        <v>SEBASTIAN</v>
      </c>
      <c r="L557" s="68" t="s">
        <v>296</v>
      </c>
      <c r="M557" s="44" t="str">
        <f>IF($B557="","",IFERROR(VLOOKUP($B557,Tiendas!$A$4:$I$176,9,FALSE),""))</f>
        <v>No</v>
      </c>
      <c r="N557" s="71">
        <f t="shared" si="3"/>
        <v>0</v>
      </c>
      <c r="O557" s="71">
        <f t="shared" si="4"/>
        <v>0</v>
      </c>
    </row>
    <row r="558" ht="15.75" customHeight="1">
      <c r="A558" s="17">
        <v>46023.0</v>
      </c>
      <c r="B558" s="58" t="s">
        <v>218</v>
      </c>
      <c r="C558" s="44" t="s">
        <v>21</v>
      </c>
      <c r="D558" s="45" t="s">
        <v>295</v>
      </c>
      <c r="E558" s="19">
        <f>IF($D558&lt;&gt;"Entregado",0,IF($C558="","",VLOOKUP($C558,'DATA DE TARIFA'!$A$4:$C$68,2,FALSE)/1.18))</f>
        <v>10.16949153</v>
      </c>
      <c r="F558" s="19">
        <f>IF($C558="","",IF($D558="",0,VLOOKUP($C558,'DATA DE TARIFA'!$A$4:$C$68,3,FALSE)))</f>
        <v>4.5</v>
      </c>
      <c r="G558" s="66">
        <v>0.0</v>
      </c>
      <c r="H558" s="19">
        <f t="shared" si="1"/>
        <v>10.16949153</v>
      </c>
      <c r="I558" s="19">
        <f t="shared" si="2"/>
        <v>4.5</v>
      </c>
      <c r="J558" s="67"/>
      <c r="K558" s="44" t="str">
        <f>IF($B558="","",IFERROR(VLOOKUP($B558,Tiendas!$A$4:$B$176,2,FALSE),""))</f>
        <v>SEBASTIAN</v>
      </c>
      <c r="L558" s="68" t="s">
        <v>296</v>
      </c>
      <c r="M558" s="44" t="str">
        <f>IF($B558="","",IFERROR(VLOOKUP($B558,Tiendas!$A$4:$I$176,9,FALSE),""))</f>
        <v>No</v>
      </c>
      <c r="N558" s="71">
        <f t="shared" si="3"/>
        <v>0</v>
      </c>
      <c r="O558" s="71">
        <f t="shared" si="4"/>
        <v>0</v>
      </c>
    </row>
    <row r="559" ht="15.75" customHeight="1">
      <c r="A559" s="17">
        <v>46023.0</v>
      </c>
      <c r="B559" s="58" t="s">
        <v>218</v>
      </c>
      <c r="C559" s="44" t="s">
        <v>36</v>
      </c>
      <c r="D559" s="45" t="s">
        <v>295</v>
      </c>
      <c r="E559" s="19">
        <f>IF($D559&lt;&gt;"Entregado",0,IF($C559="","",VLOOKUP($C559,'DATA DE TARIFA'!$A$4:$C$68,2,FALSE)/1.18))</f>
        <v>10.16949153</v>
      </c>
      <c r="F559" s="19">
        <f>IF($C559="","",IF($D559="",0,VLOOKUP($C559,'DATA DE TARIFA'!$A$4:$C$68,3,FALSE)))</f>
        <v>4.5</v>
      </c>
      <c r="G559" s="66">
        <v>0.0</v>
      </c>
      <c r="H559" s="19">
        <f t="shared" si="1"/>
        <v>10.16949153</v>
      </c>
      <c r="I559" s="19">
        <f t="shared" si="2"/>
        <v>4.5</v>
      </c>
      <c r="J559" s="67"/>
      <c r="K559" s="44" t="str">
        <f>IF($B559="","",IFERROR(VLOOKUP($B559,Tiendas!$A$4:$B$176,2,FALSE),""))</f>
        <v>SEBASTIAN</v>
      </c>
      <c r="L559" s="68" t="s">
        <v>296</v>
      </c>
      <c r="M559" s="44" t="str">
        <f>IF($B559="","",IFERROR(VLOOKUP($B559,Tiendas!$A$4:$I$176,9,FALSE),""))</f>
        <v>No</v>
      </c>
      <c r="N559" s="71">
        <f t="shared" si="3"/>
        <v>0</v>
      </c>
      <c r="O559" s="71">
        <f t="shared" si="4"/>
        <v>0</v>
      </c>
    </row>
    <row r="560" ht="15.75" customHeight="1">
      <c r="A560" s="17">
        <v>46023.0</v>
      </c>
      <c r="B560" s="58" t="s">
        <v>218</v>
      </c>
      <c r="C560" s="44" t="s">
        <v>26</v>
      </c>
      <c r="D560" s="45" t="s">
        <v>295</v>
      </c>
      <c r="E560" s="19">
        <f>IF($D560&lt;&gt;"Entregado",0,IF($C560="","",VLOOKUP($C560,'DATA DE TARIFA'!$A$4:$C$68,2,FALSE)/1.18))</f>
        <v>10.16949153</v>
      </c>
      <c r="F560" s="19">
        <f>IF($C560="","",IF($D560="",0,VLOOKUP($C560,'DATA DE TARIFA'!$A$4:$C$68,3,FALSE)))</f>
        <v>5</v>
      </c>
      <c r="G560" s="66">
        <v>0.0</v>
      </c>
      <c r="H560" s="19">
        <f t="shared" si="1"/>
        <v>10.16949153</v>
      </c>
      <c r="I560" s="19">
        <f t="shared" si="2"/>
        <v>5</v>
      </c>
      <c r="J560" s="67"/>
      <c r="K560" s="44" t="str">
        <f>IF($B560="","",IFERROR(VLOOKUP($B560,Tiendas!$A$4:$B$176,2,FALSE),""))</f>
        <v>SEBASTIAN</v>
      </c>
      <c r="L560" s="68" t="s">
        <v>296</v>
      </c>
      <c r="M560" s="44" t="str">
        <f>IF($B560="","",IFERROR(VLOOKUP($B560,Tiendas!$A$4:$I$176,9,FALSE),""))</f>
        <v>No</v>
      </c>
      <c r="N560" s="71">
        <f t="shared" si="3"/>
        <v>0</v>
      </c>
      <c r="O560" s="71">
        <f t="shared" si="4"/>
        <v>0</v>
      </c>
    </row>
    <row r="561" ht="15.75" customHeight="1">
      <c r="A561" s="17">
        <v>46023.0</v>
      </c>
      <c r="B561" s="58" t="s">
        <v>218</v>
      </c>
      <c r="C561" s="44" t="s">
        <v>67</v>
      </c>
      <c r="D561" s="45" t="s">
        <v>295</v>
      </c>
      <c r="E561" s="19">
        <f>IF($D561&lt;&gt;"Entregado",0,IF($C561="","",VLOOKUP($C561,'DATA DE TARIFA'!$A$4:$C$68,2,FALSE)/1.18))</f>
        <v>10.16949153</v>
      </c>
      <c r="F561" s="19">
        <f>IF($C561="","",IF($D561="",0,VLOOKUP($C561,'DATA DE TARIFA'!$A$4:$C$68,3,FALSE)))</f>
        <v>5.5</v>
      </c>
      <c r="G561" s="66">
        <v>0.0</v>
      </c>
      <c r="H561" s="19">
        <f t="shared" si="1"/>
        <v>10.16949153</v>
      </c>
      <c r="I561" s="19">
        <f t="shared" si="2"/>
        <v>5.5</v>
      </c>
      <c r="J561" s="67"/>
      <c r="K561" s="44" t="str">
        <f>IF($B561="","",IFERROR(VLOOKUP($B561,Tiendas!$A$4:$B$176,2,FALSE),""))</f>
        <v>SEBASTIAN</v>
      </c>
      <c r="L561" s="68" t="s">
        <v>296</v>
      </c>
      <c r="M561" s="44" t="str">
        <f>IF($B561="","",IFERROR(VLOOKUP($B561,Tiendas!$A$4:$I$176,9,FALSE),""))</f>
        <v>No</v>
      </c>
      <c r="N561" s="71">
        <f t="shared" si="3"/>
        <v>0</v>
      </c>
      <c r="O561" s="71">
        <f t="shared" si="4"/>
        <v>0</v>
      </c>
    </row>
    <row r="562" ht="15.75" customHeight="1">
      <c r="A562" s="17">
        <v>46023.0</v>
      </c>
      <c r="B562" s="58" t="s">
        <v>218</v>
      </c>
      <c r="C562" s="44" t="s">
        <v>211</v>
      </c>
      <c r="D562" s="45" t="s">
        <v>295</v>
      </c>
      <c r="E562" s="19">
        <f>IF($D562&lt;&gt;"Entregado",0,IF($C562="","",VLOOKUP($C562,'DATA DE TARIFA'!$A$4:$C$68,2,FALSE)/1.18))</f>
        <v>6.779661017</v>
      </c>
      <c r="F562" s="19">
        <f>IF($C562="","",IF($D562="",0,VLOOKUP($C562,'DATA DE TARIFA'!$A$4:$C$68,3,FALSE)))</f>
        <v>4</v>
      </c>
      <c r="G562" s="66">
        <v>0.0</v>
      </c>
      <c r="H562" s="19">
        <f t="shared" si="1"/>
        <v>6.779661017</v>
      </c>
      <c r="I562" s="19">
        <f t="shared" si="2"/>
        <v>4</v>
      </c>
      <c r="J562" s="67"/>
      <c r="K562" s="44" t="str">
        <f>IF($B562="","",IFERROR(VLOOKUP($B562,Tiendas!$A$4:$B$176,2,FALSE),""))</f>
        <v>SEBASTIAN</v>
      </c>
      <c r="L562" s="68" t="s">
        <v>296</v>
      </c>
      <c r="M562" s="44" t="str">
        <f>IF($B562="","",IFERROR(VLOOKUP($B562,Tiendas!$A$4:$I$176,9,FALSE),""))</f>
        <v>No</v>
      </c>
      <c r="N562" s="71">
        <f t="shared" si="3"/>
        <v>0</v>
      </c>
      <c r="O562" s="71">
        <f t="shared" si="4"/>
        <v>0</v>
      </c>
    </row>
    <row r="563" ht="15.75" customHeight="1">
      <c r="A563" s="17">
        <v>46023.0</v>
      </c>
      <c r="B563" s="58" t="s">
        <v>218</v>
      </c>
      <c r="C563" s="44" t="s">
        <v>63</v>
      </c>
      <c r="D563" s="45" t="s">
        <v>295</v>
      </c>
      <c r="E563" s="19">
        <f>IF($D563&lt;&gt;"Entregado",0,IF($C563="","",VLOOKUP($C563,'DATA DE TARIFA'!$A$4:$C$68,2,FALSE)/1.18))</f>
        <v>8.474576271</v>
      </c>
      <c r="F563" s="19">
        <f>IF($C563="","",IF($D563="",0,VLOOKUP($C563,'DATA DE TARIFA'!$A$4:$C$68,3,FALSE)))</f>
        <v>4</v>
      </c>
      <c r="G563" s="66">
        <v>0.0</v>
      </c>
      <c r="H563" s="19">
        <f t="shared" si="1"/>
        <v>8.474576271</v>
      </c>
      <c r="I563" s="19">
        <f t="shared" si="2"/>
        <v>4</v>
      </c>
      <c r="J563" s="67"/>
      <c r="K563" s="44" t="str">
        <f>IF($B563="","",IFERROR(VLOOKUP($B563,Tiendas!$A$4:$B$176,2,FALSE),""))</f>
        <v>SEBASTIAN</v>
      </c>
      <c r="L563" s="68" t="s">
        <v>296</v>
      </c>
      <c r="M563" s="44" t="str">
        <f>IF($B563="","",IFERROR(VLOOKUP($B563,Tiendas!$A$4:$I$176,9,FALSE),""))</f>
        <v>No</v>
      </c>
      <c r="N563" s="71">
        <f t="shared" si="3"/>
        <v>0</v>
      </c>
      <c r="O563" s="71">
        <f t="shared" si="4"/>
        <v>0</v>
      </c>
    </row>
    <row r="564" ht="15.75" customHeight="1">
      <c r="A564" s="17">
        <v>46023.0</v>
      </c>
      <c r="B564" s="58" t="s">
        <v>218</v>
      </c>
      <c r="C564" s="44" t="s">
        <v>44</v>
      </c>
      <c r="D564" s="45" t="s">
        <v>295</v>
      </c>
      <c r="E564" s="19">
        <f>IF($D564&lt;&gt;"Entregado",0,IF($C564="","",VLOOKUP($C564,'DATA DE TARIFA'!$A$4:$C$68,2,FALSE)/1.18))</f>
        <v>10.16949153</v>
      </c>
      <c r="F564" s="19">
        <f>IF($C564="","",IF($D564="",0,VLOOKUP($C564,'DATA DE TARIFA'!$A$4:$C$68,3,FALSE)))</f>
        <v>5.5</v>
      </c>
      <c r="G564" s="66">
        <v>0.0</v>
      </c>
      <c r="H564" s="19">
        <f t="shared" si="1"/>
        <v>10.16949153</v>
      </c>
      <c r="I564" s="19">
        <f t="shared" si="2"/>
        <v>5.5</v>
      </c>
      <c r="J564" s="67"/>
      <c r="K564" s="44" t="str">
        <f>IF($B564="","",IFERROR(VLOOKUP($B564,Tiendas!$A$4:$B$176,2,FALSE),""))</f>
        <v>SEBASTIAN</v>
      </c>
      <c r="L564" s="68" t="s">
        <v>296</v>
      </c>
      <c r="M564" s="44" t="str">
        <f>IF($B564="","",IFERROR(VLOOKUP($B564,Tiendas!$A$4:$I$176,9,FALSE),""))</f>
        <v>No</v>
      </c>
      <c r="N564" s="71">
        <f t="shared" si="3"/>
        <v>0</v>
      </c>
      <c r="O564" s="71">
        <f t="shared" si="4"/>
        <v>0</v>
      </c>
    </row>
    <row r="565" ht="15.75" customHeight="1">
      <c r="A565" s="17">
        <v>46023.0</v>
      </c>
      <c r="B565" s="58" t="s">
        <v>218</v>
      </c>
      <c r="C565" s="44" t="s">
        <v>63</v>
      </c>
      <c r="D565" s="45" t="s">
        <v>295</v>
      </c>
      <c r="E565" s="19">
        <f>IF($D565&lt;&gt;"Entregado",0,IF($C565="","",VLOOKUP($C565,'DATA DE TARIFA'!$A$4:$C$68,2,FALSE)/1.18))</f>
        <v>8.474576271</v>
      </c>
      <c r="F565" s="19">
        <f>IF($C565="","",IF($D565="",0,VLOOKUP($C565,'DATA DE TARIFA'!$A$4:$C$68,3,FALSE)))</f>
        <v>4</v>
      </c>
      <c r="G565" s="66">
        <v>0.0</v>
      </c>
      <c r="H565" s="19">
        <f t="shared" si="1"/>
        <v>8.474576271</v>
      </c>
      <c r="I565" s="19">
        <f t="shared" si="2"/>
        <v>4</v>
      </c>
      <c r="J565" s="67"/>
      <c r="K565" s="44" t="str">
        <f>IF($B565="","",IFERROR(VLOOKUP($B565,Tiendas!$A$4:$B$176,2,FALSE),""))</f>
        <v>SEBASTIAN</v>
      </c>
      <c r="L565" s="68" t="s">
        <v>296</v>
      </c>
      <c r="M565" s="44" t="str">
        <f>IF($B565="","",IFERROR(VLOOKUP($B565,Tiendas!$A$4:$I$176,9,FALSE),""))</f>
        <v>No</v>
      </c>
      <c r="N565" s="71">
        <f t="shared" si="3"/>
        <v>0</v>
      </c>
      <c r="O565" s="71">
        <f t="shared" si="4"/>
        <v>0</v>
      </c>
    </row>
    <row r="566" ht="15.75" customHeight="1">
      <c r="A566" s="17">
        <v>46023.0</v>
      </c>
      <c r="B566" s="58" t="s">
        <v>218</v>
      </c>
      <c r="C566" s="44" t="s">
        <v>67</v>
      </c>
      <c r="D566" s="45" t="s">
        <v>295</v>
      </c>
      <c r="E566" s="19">
        <f>IF($D566&lt;&gt;"Entregado",0,IF($C566="","",VLOOKUP($C566,'DATA DE TARIFA'!$A$4:$C$68,2,FALSE)/1.18))</f>
        <v>10.16949153</v>
      </c>
      <c r="F566" s="19">
        <f>IF($C566="","",IF($D566="",0,VLOOKUP($C566,'DATA DE TARIFA'!$A$4:$C$68,3,FALSE)))</f>
        <v>5.5</v>
      </c>
      <c r="G566" s="66">
        <v>0.0</v>
      </c>
      <c r="H566" s="19">
        <f t="shared" si="1"/>
        <v>10.16949153</v>
      </c>
      <c r="I566" s="19">
        <f t="shared" si="2"/>
        <v>5.5</v>
      </c>
      <c r="J566" s="67"/>
      <c r="K566" s="44" t="str">
        <f>IF($B566="","",IFERROR(VLOOKUP($B566,Tiendas!$A$4:$B$176,2,FALSE),""))</f>
        <v>SEBASTIAN</v>
      </c>
      <c r="L566" s="68" t="s">
        <v>296</v>
      </c>
      <c r="M566" s="44" t="str">
        <f>IF($B566="","",IFERROR(VLOOKUP($B566,Tiendas!$A$4:$I$176,9,FALSE),""))</f>
        <v>No</v>
      </c>
      <c r="N566" s="71">
        <f t="shared" si="3"/>
        <v>0</v>
      </c>
      <c r="O566" s="71">
        <f t="shared" si="4"/>
        <v>0</v>
      </c>
    </row>
    <row r="567" ht="15.75" customHeight="1">
      <c r="A567" s="17">
        <v>46023.0</v>
      </c>
      <c r="B567" s="58" t="s">
        <v>218</v>
      </c>
      <c r="C567" s="44" t="s">
        <v>15</v>
      </c>
      <c r="D567" s="45" t="s">
        <v>295</v>
      </c>
      <c r="E567" s="19">
        <f>IF($D567&lt;&gt;"Entregado",0,IF($C567="","",VLOOKUP($C567,'DATA DE TARIFA'!$A$4:$C$68,2,FALSE)/1.18))</f>
        <v>8.474576271</v>
      </c>
      <c r="F567" s="19">
        <f>IF($C567="","",IF($D567="",0,VLOOKUP($C567,'DATA DE TARIFA'!$A$4:$C$68,3,FALSE)))</f>
        <v>4.5</v>
      </c>
      <c r="G567" s="66">
        <v>0.0</v>
      </c>
      <c r="H567" s="19">
        <f t="shared" si="1"/>
        <v>8.474576271</v>
      </c>
      <c r="I567" s="19">
        <f t="shared" si="2"/>
        <v>4.5</v>
      </c>
      <c r="J567" s="67"/>
      <c r="K567" s="44" t="str">
        <f>IF($B567="","",IFERROR(VLOOKUP($B567,Tiendas!$A$4:$B$176,2,FALSE),""))</f>
        <v>SEBASTIAN</v>
      </c>
      <c r="L567" s="68" t="s">
        <v>296</v>
      </c>
      <c r="M567" s="44" t="str">
        <f>IF($B567="","",IFERROR(VLOOKUP($B567,Tiendas!$A$4:$I$176,9,FALSE),""))</f>
        <v>No</v>
      </c>
      <c r="N567" s="71">
        <f t="shared" si="3"/>
        <v>0</v>
      </c>
      <c r="O567" s="71">
        <f t="shared" si="4"/>
        <v>0</v>
      </c>
    </row>
    <row r="568" ht="15.75" customHeight="1">
      <c r="A568" s="17">
        <v>46023.0</v>
      </c>
      <c r="B568" s="58" t="s">
        <v>218</v>
      </c>
      <c r="C568" s="44" t="s">
        <v>60</v>
      </c>
      <c r="D568" s="45" t="s">
        <v>295</v>
      </c>
      <c r="E568" s="19">
        <f>IF($D568&lt;&gt;"Entregado",0,IF($C568="","",VLOOKUP($C568,'DATA DE TARIFA'!$A$4:$C$68,2,FALSE)/1.18))</f>
        <v>8.474576271</v>
      </c>
      <c r="F568" s="19">
        <f>IF($C568="","",IF($D568="",0,VLOOKUP($C568,'DATA DE TARIFA'!$A$4:$C$68,3,FALSE)))</f>
        <v>4</v>
      </c>
      <c r="G568" s="66">
        <v>0.0</v>
      </c>
      <c r="H568" s="19">
        <f t="shared" si="1"/>
        <v>8.474576271</v>
      </c>
      <c r="I568" s="19">
        <f t="shared" si="2"/>
        <v>4</v>
      </c>
      <c r="J568" s="67"/>
      <c r="K568" s="44" t="str">
        <f>IF($B568="","",IFERROR(VLOOKUP($B568,Tiendas!$A$4:$B$176,2,FALSE),""))</f>
        <v>SEBASTIAN</v>
      </c>
      <c r="L568" s="68" t="s">
        <v>296</v>
      </c>
      <c r="M568" s="44" t="str">
        <f>IF($B568="","",IFERROR(VLOOKUP($B568,Tiendas!$A$4:$I$176,9,FALSE),""))</f>
        <v>No</v>
      </c>
      <c r="N568" s="71">
        <f t="shared" si="3"/>
        <v>0</v>
      </c>
      <c r="O568" s="71">
        <f t="shared" si="4"/>
        <v>0</v>
      </c>
    </row>
    <row r="569" ht="15.75" customHeight="1">
      <c r="A569" s="17">
        <v>46023.0</v>
      </c>
      <c r="B569" s="58" t="s">
        <v>218</v>
      </c>
      <c r="C569" s="44" t="s">
        <v>75</v>
      </c>
      <c r="D569" s="45" t="s">
        <v>295</v>
      </c>
      <c r="E569" s="19">
        <f>IF($D569&lt;&gt;"Entregado",0,IF($C569="","",VLOOKUP($C569,'DATA DE TARIFA'!$A$4:$C$68,2,FALSE)/1.18))</f>
        <v>10.16949153</v>
      </c>
      <c r="F569" s="19">
        <f>IF($C569="","",IF($D569="",0,VLOOKUP($C569,'DATA DE TARIFA'!$A$4:$C$68,3,FALSE)))</f>
        <v>4.5</v>
      </c>
      <c r="G569" s="66">
        <v>0.0</v>
      </c>
      <c r="H569" s="19">
        <f t="shared" si="1"/>
        <v>10.16949153</v>
      </c>
      <c r="I569" s="19">
        <f t="shared" si="2"/>
        <v>4.5</v>
      </c>
      <c r="J569" s="67"/>
      <c r="K569" s="44" t="str">
        <f>IF($B569="","",IFERROR(VLOOKUP($B569,Tiendas!$A$4:$B$176,2,FALSE),""))</f>
        <v>SEBASTIAN</v>
      </c>
      <c r="L569" s="68" t="s">
        <v>296</v>
      </c>
      <c r="M569" s="44" t="str">
        <f>IF($B569="","",IFERROR(VLOOKUP($B569,Tiendas!$A$4:$I$176,9,FALSE),""))</f>
        <v>No</v>
      </c>
      <c r="N569" s="71">
        <f t="shared" si="3"/>
        <v>0</v>
      </c>
      <c r="O569" s="71">
        <f t="shared" si="4"/>
        <v>0</v>
      </c>
    </row>
    <row r="570" ht="15.75" customHeight="1">
      <c r="A570" s="17">
        <v>46023.0</v>
      </c>
      <c r="B570" s="58" t="s">
        <v>217</v>
      </c>
      <c r="C570" s="44" t="s">
        <v>57</v>
      </c>
      <c r="D570" s="45" t="s">
        <v>295</v>
      </c>
      <c r="E570" s="19">
        <f>IF($D570&lt;&gt;"Entregado",0,IF($C570="","",VLOOKUP($C570,'DATA DE TARIFA'!$A$4:$C$68,2,FALSE)/1.18))</f>
        <v>8.474576271</v>
      </c>
      <c r="F570" s="19">
        <f>IF($C570="","",IF($D570="",0,VLOOKUP($C570,'DATA DE TARIFA'!$A$4:$C$68,3,FALSE)))</f>
        <v>4.5</v>
      </c>
      <c r="G570" s="66">
        <v>0.0</v>
      </c>
      <c r="H570" s="19">
        <f t="shared" si="1"/>
        <v>8.474576271</v>
      </c>
      <c r="I570" s="19">
        <f t="shared" si="2"/>
        <v>4.5</v>
      </c>
      <c r="J570" s="67"/>
      <c r="K570" s="44" t="str">
        <f>IF($B570="","",IFERROR(VLOOKUP($B570,Tiendas!$A$4:$B$176,2,FALSE),""))</f>
        <v>SEBASTIAN</v>
      </c>
      <c r="L570" s="68" t="s">
        <v>296</v>
      </c>
      <c r="M570" s="44" t="str">
        <f>IF($B570="","",IFERROR(VLOOKUP($B570,Tiendas!$A$4:$I$176,9,FALSE),""))</f>
        <v>No</v>
      </c>
      <c r="N570" s="71">
        <f t="shared" si="3"/>
        <v>0</v>
      </c>
      <c r="O570" s="71">
        <f t="shared" si="4"/>
        <v>0</v>
      </c>
    </row>
    <row r="571" ht="15.75" customHeight="1">
      <c r="A571" s="17">
        <v>46023.0</v>
      </c>
      <c r="B571" s="58" t="s">
        <v>217</v>
      </c>
      <c r="C571" s="44" t="s">
        <v>26</v>
      </c>
      <c r="D571" s="45" t="s">
        <v>295</v>
      </c>
      <c r="E571" s="19">
        <f>IF($D571&lt;&gt;"Entregado",0,IF($C571="","",VLOOKUP($C571,'DATA DE TARIFA'!$A$4:$C$68,2,FALSE)/1.18))</f>
        <v>10.16949153</v>
      </c>
      <c r="F571" s="19">
        <f>IF($C571="","",IF($D571="",0,VLOOKUP($C571,'DATA DE TARIFA'!$A$4:$C$68,3,FALSE)))</f>
        <v>5</v>
      </c>
      <c r="G571" s="66">
        <v>0.0</v>
      </c>
      <c r="H571" s="19">
        <f t="shared" si="1"/>
        <v>10.16949153</v>
      </c>
      <c r="I571" s="19">
        <f t="shared" si="2"/>
        <v>5</v>
      </c>
      <c r="J571" s="67"/>
      <c r="K571" s="44" t="str">
        <f>IF($B571="","",IFERROR(VLOOKUP($B571,Tiendas!$A$4:$B$176,2,FALSE),""))</f>
        <v>SEBASTIAN</v>
      </c>
      <c r="L571" s="68" t="s">
        <v>296</v>
      </c>
      <c r="M571" s="44" t="str">
        <f>IF($B571="","",IFERROR(VLOOKUP($B571,Tiendas!$A$4:$I$176,9,FALSE),""))</f>
        <v>No</v>
      </c>
      <c r="N571" s="71">
        <f t="shared" si="3"/>
        <v>0</v>
      </c>
      <c r="O571" s="71">
        <f t="shared" si="4"/>
        <v>0</v>
      </c>
    </row>
    <row r="572" ht="15.75" customHeight="1">
      <c r="A572" s="17">
        <v>46023.0</v>
      </c>
      <c r="B572" s="58" t="s">
        <v>217</v>
      </c>
      <c r="C572" s="44" t="s">
        <v>32</v>
      </c>
      <c r="D572" s="45" t="s">
        <v>295</v>
      </c>
      <c r="E572" s="19">
        <f>IF($D572&lt;&gt;"Entregado",0,IF($C572="","",VLOOKUP($C572,'DATA DE TARIFA'!$A$4:$C$68,2,FALSE)/1.18))</f>
        <v>8.474576271</v>
      </c>
      <c r="F572" s="19">
        <f>IF($C572="","",IF($D572="",0,VLOOKUP($C572,'DATA DE TARIFA'!$A$4:$C$68,3,FALSE)))</f>
        <v>4.5</v>
      </c>
      <c r="G572" s="66">
        <v>0.0</v>
      </c>
      <c r="H572" s="19">
        <f t="shared" si="1"/>
        <v>8.474576271</v>
      </c>
      <c r="I572" s="19">
        <f t="shared" si="2"/>
        <v>4.5</v>
      </c>
      <c r="J572" s="67"/>
      <c r="K572" s="44" t="str">
        <f>IF($B572="","",IFERROR(VLOOKUP($B572,Tiendas!$A$4:$B$176,2,FALSE),""))</f>
        <v>SEBASTIAN</v>
      </c>
      <c r="L572" s="68" t="s">
        <v>296</v>
      </c>
      <c r="M572" s="44" t="str">
        <f>IF($B572="","",IFERROR(VLOOKUP($B572,Tiendas!$A$4:$I$176,9,FALSE),""))</f>
        <v>No</v>
      </c>
      <c r="N572" s="71">
        <f t="shared" si="3"/>
        <v>0</v>
      </c>
      <c r="O572" s="71">
        <f t="shared" si="4"/>
        <v>0</v>
      </c>
    </row>
    <row r="573" ht="15.75" customHeight="1">
      <c r="A573" s="17">
        <v>46023.0</v>
      </c>
      <c r="B573" s="58" t="s">
        <v>217</v>
      </c>
      <c r="C573" s="44" t="s">
        <v>46</v>
      </c>
      <c r="D573" s="45" t="s">
        <v>295</v>
      </c>
      <c r="E573" s="19">
        <f>IF($D573&lt;&gt;"Entregado",0,IF($C573="","",VLOOKUP($C573,'DATA DE TARIFA'!$A$4:$C$68,2,FALSE)/1.18))</f>
        <v>10.16949153</v>
      </c>
      <c r="F573" s="19">
        <f>IF($C573="","",IF($D573="",0,VLOOKUP($C573,'DATA DE TARIFA'!$A$4:$C$68,3,FALSE)))</f>
        <v>4.5</v>
      </c>
      <c r="G573" s="66">
        <v>0.0</v>
      </c>
      <c r="H573" s="19">
        <f t="shared" si="1"/>
        <v>10.16949153</v>
      </c>
      <c r="I573" s="19">
        <f t="shared" si="2"/>
        <v>4.5</v>
      </c>
      <c r="J573" s="67"/>
      <c r="K573" s="44" t="str">
        <f>IF($B573="","",IFERROR(VLOOKUP($B573,Tiendas!$A$4:$B$176,2,FALSE),""))</f>
        <v>SEBASTIAN</v>
      </c>
      <c r="L573" s="68" t="s">
        <v>296</v>
      </c>
      <c r="M573" s="44" t="str">
        <f>IF($B573="","",IFERROR(VLOOKUP($B573,Tiendas!$A$4:$I$176,9,FALSE),""))</f>
        <v>No</v>
      </c>
      <c r="N573" s="71">
        <f t="shared" si="3"/>
        <v>0</v>
      </c>
      <c r="O573" s="71">
        <f t="shared" si="4"/>
        <v>0</v>
      </c>
    </row>
    <row r="574" ht="15.75" customHeight="1">
      <c r="A574" s="17">
        <v>46023.0</v>
      </c>
      <c r="B574" s="58" t="s">
        <v>217</v>
      </c>
      <c r="C574" s="44" t="s">
        <v>51</v>
      </c>
      <c r="D574" s="45" t="s">
        <v>295</v>
      </c>
      <c r="E574" s="19">
        <f>IF($D574&lt;&gt;"Entregado",0,IF($C574="","",VLOOKUP($C574,'DATA DE TARIFA'!$A$4:$C$68,2,FALSE)/1.18))</f>
        <v>10.16949153</v>
      </c>
      <c r="F574" s="19">
        <f>IF($C574="","",IF($D574="",0,VLOOKUP($C574,'DATA DE TARIFA'!$A$4:$C$68,3,FALSE)))</f>
        <v>5.5</v>
      </c>
      <c r="G574" s="66">
        <v>0.0</v>
      </c>
      <c r="H574" s="19">
        <f t="shared" si="1"/>
        <v>10.16949153</v>
      </c>
      <c r="I574" s="19">
        <f t="shared" si="2"/>
        <v>5.5</v>
      </c>
      <c r="J574" s="67"/>
      <c r="K574" s="44" t="str">
        <f>IF($B574="","",IFERROR(VLOOKUP($B574,Tiendas!$A$4:$B$176,2,FALSE),""))</f>
        <v>SEBASTIAN</v>
      </c>
      <c r="L574" s="68" t="s">
        <v>296</v>
      </c>
      <c r="M574" s="44" t="str">
        <f>IF($B574="","",IFERROR(VLOOKUP($B574,Tiendas!$A$4:$I$176,9,FALSE),""))</f>
        <v>No</v>
      </c>
      <c r="N574" s="71">
        <f t="shared" si="3"/>
        <v>0</v>
      </c>
      <c r="O574" s="71">
        <f t="shared" si="4"/>
        <v>0</v>
      </c>
    </row>
    <row r="575" ht="15.75" customHeight="1">
      <c r="A575" s="17">
        <v>46023.0</v>
      </c>
      <c r="B575" s="58" t="s">
        <v>217</v>
      </c>
      <c r="C575" s="44" t="s">
        <v>30</v>
      </c>
      <c r="D575" s="45" t="s">
        <v>295</v>
      </c>
      <c r="E575" s="19">
        <f>IF($D575&lt;&gt;"Entregado",0,IF($C575="","",VLOOKUP($C575,'DATA DE TARIFA'!$A$4:$C$68,2,FALSE)/1.18))</f>
        <v>8.474576271</v>
      </c>
      <c r="F575" s="19">
        <f>IF($C575="","",IF($D575="",0,VLOOKUP($C575,'DATA DE TARIFA'!$A$4:$C$68,3,FALSE)))</f>
        <v>4.5</v>
      </c>
      <c r="G575" s="66">
        <v>0.0</v>
      </c>
      <c r="H575" s="19">
        <f t="shared" si="1"/>
        <v>8.474576271</v>
      </c>
      <c r="I575" s="19">
        <f t="shared" si="2"/>
        <v>4.5</v>
      </c>
      <c r="J575" s="67"/>
      <c r="K575" s="44" t="str">
        <f>IF($B575="","",IFERROR(VLOOKUP($B575,Tiendas!$A$4:$B$176,2,FALSE),""))</f>
        <v>SEBASTIAN</v>
      </c>
      <c r="L575" s="68" t="s">
        <v>296</v>
      </c>
      <c r="M575" s="44" t="str">
        <f>IF($B575="","",IFERROR(VLOOKUP($B575,Tiendas!$A$4:$I$176,9,FALSE),""))</f>
        <v>No</v>
      </c>
      <c r="N575" s="71">
        <f t="shared" si="3"/>
        <v>0</v>
      </c>
      <c r="O575" s="71">
        <f t="shared" si="4"/>
        <v>0</v>
      </c>
    </row>
    <row r="576" ht="15.75" customHeight="1">
      <c r="A576" s="17">
        <v>46023.0</v>
      </c>
      <c r="B576" s="44" t="s">
        <v>214</v>
      </c>
      <c r="C576" s="44" t="s">
        <v>87</v>
      </c>
      <c r="D576" s="45" t="s">
        <v>295</v>
      </c>
      <c r="E576" s="19">
        <f>IF($D576&lt;&gt;"Entregado",0,IF($C576="","",VLOOKUP($C576,'DATA DE TARIFA'!$A$4:$C$68,2,FALSE)/1.18))</f>
        <v>14.40677966</v>
      </c>
      <c r="F576" s="19">
        <f>IF($C576="","",IF($D576="",0,VLOOKUP($C576,'DATA DE TARIFA'!$A$4:$C$68,3,FALSE)))</f>
        <v>8.5</v>
      </c>
      <c r="G576" s="66">
        <v>0.0</v>
      </c>
      <c r="H576" s="19">
        <f t="shared" si="1"/>
        <v>14.40677966</v>
      </c>
      <c r="I576" s="19">
        <f t="shared" si="2"/>
        <v>8.5</v>
      </c>
      <c r="J576" s="67"/>
      <c r="K576" s="44" t="str">
        <f>IF($B576="","",IFERROR(VLOOKUP($B576,Tiendas!$A$4:$B$176,2,FALSE),""))</f>
        <v>SEBASTIAN</v>
      </c>
      <c r="L576" s="68" t="s">
        <v>296</v>
      </c>
      <c r="M576" s="44" t="str">
        <f>IF($B576="","",IFERROR(VLOOKUP($B576,Tiendas!$A$4:$I$176,9,FALSE),""))</f>
        <v>No</v>
      </c>
      <c r="N576" s="71">
        <f t="shared" si="3"/>
        <v>0</v>
      </c>
      <c r="O576" s="71">
        <f t="shared" si="4"/>
        <v>0</v>
      </c>
    </row>
    <row r="577" ht="15.75" customHeight="1">
      <c r="A577" s="17">
        <v>46023.0</v>
      </c>
      <c r="B577" s="44" t="s">
        <v>240</v>
      </c>
      <c r="C577" s="44" t="s">
        <v>70</v>
      </c>
      <c r="D577" s="45" t="s">
        <v>295</v>
      </c>
      <c r="E577" s="19">
        <f>IF($D577&lt;&gt;"Entregado",0,IF($C577="","",VLOOKUP($C577,'DATA DE TARIFA'!$A$4:$C$68,2,FALSE)/1.18))</f>
        <v>8.474576271</v>
      </c>
      <c r="F577" s="19">
        <f>IF($C577="","",IF($D577="",0,VLOOKUP($C577,'DATA DE TARIFA'!$A$4:$C$68,3,FALSE)))</f>
        <v>4</v>
      </c>
      <c r="G577" s="66">
        <v>0.0</v>
      </c>
      <c r="H577" s="19">
        <f t="shared" si="1"/>
        <v>8.474576271</v>
      </c>
      <c r="I577" s="19">
        <f t="shared" si="2"/>
        <v>4</v>
      </c>
      <c r="J577" s="67"/>
      <c r="K577" s="44" t="str">
        <f>IF($B577="","",IFERROR(VLOOKUP($B577,Tiendas!$A$4:$B$176,2,FALSE),""))</f>
        <v>SANDRA</v>
      </c>
      <c r="L577" s="68" t="s">
        <v>296</v>
      </c>
      <c r="M577" s="44" t="str">
        <f>IF($B577="","",IFERROR(VLOOKUP($B577,Tiendas!$A$4:$I$176,9,FALSE),""))</f>
        <v>No</v>
      </c>
      <c r="N577" s="71">
        <f t="shared" si="3"/>
        <v>0</v>
      </c>
      <c r="O577" s="71">
        <f t="shared" si="4"/>
        <v>0</v>
      </c>
    </row>
    <row r="578" ht="15.75" customHeight="1">
      <c r="A578" s="17">
        <v>46023.0</v>
      </c>
      <c r="B578" s="44" t="s">
        <v>233</v>
      </c>
      <c r="C578" s="44" t="s">
        <v>57</v>
      </c>
      <c r="D578" s="45" t="s">
        <v>295</v>
      </c>
      <c r="E578" s="19">
        <f>IF($D578&lt;&gt;"Entregado",0,IF($C578="","",VLOOKUP($C578,'DATA DE TARIFA'!$A$4:$C$68,2,FALSE)/1.18))</f>
        <v>8.474576271</v>
      </c>
      <c r="F578" s="19">
        <f>IF($C578="","",IF($D578="",0,VLOOKUP($C578,'DATA DE TARIFA'!$A$4:$C$68,3,FALSE)))</f>
        <v>4.5</v>
      </c>
      <c r="G578" s="66">
        <v>0.0</v>
      </c>
      <c r="H578" s="19">
        <f t="shared" si="1"/>
        <v>8.474576271</v>
      </c>
      <c r="I578" s="19">
        <f t="shared" si="2"/>
        <v>4.5</v>
      </c>
      <c r="J578" s="67"/>
      <c r="K578" s="44" t="str">
        <f>IF($B578="","",IFERROR(VLOOKUP($B578,Tiendas!$A$4:$B$176,2,FALSE),""))</f>
        <v>SANDRA</v>
      </c>
      <c r="L578" s="68" t="s">
        <v>296</v>
      </c>
      <c r="M578" s="44" t="str">
        <f>IF($B578="","",IFERROR(VLOOKUP($B578,Tiendas!$A$4:$I$176,9,FALSE),""))</f>
        <v>No</v>
      </c>
      <c r="N578" s="71">
        <f t="shared" si="3"/>
        <v>0</v>
      </c>
      <c r="O578" s="71">
        <f t="shared" si="4"/>
        <v>0</v>
      </c>
    </row>
    <row r="579" ht="15.75" customHeight="1">
      <c r="A579" s="17">
        <v>46023.0</v>
      </c>
      <c r="B579" s="44" t="s">
        <v>233</v>
      </c>
      <c r="C579" s="44" t="s">
        <v>18</v>
      </c>
      <c r="D579" s="45" t="s">
        <v>295</v>
      </c>
      <c r="E579" s="19">
        <f>IF($D579&lt;&gt;"Entregado",0,IF($C579="","",VLOOKUP($C579,'DATA DE TARIFA'!$A$4:$C$68,2,FALSE)/1.18))</f>
        <v>10.16949153</v>
      </c>
      <c r="F579" s="19">
        <f>IF($C579="","",IF($D579="",0,VLOOKUP($C579,'DATA DE TARIFA'!$A$4:$C$68,3,FALSE)))</f>
        <v>4.5</v>
      </c>
      <c r="G579" s="66">
        <v>0.0</v>
      </c>
      <c r="H579" s="19">
        <f t="shared" si="1"/>
        <v>10.16949153</v>
      </c>
      <c r="I579" s="19">
        <f t="shared" si="2"/>
        <v>4.5</v>
      </c>
      <c r="J579" s="67"/>
      <c r="K579" s="44" t="str">
        <f>IF($B579="","",IFERROR(VLOOKUP($B579,Tiendas!$A$4:$B$176,2,FALSE),""))</f>
        <v>SANDRA</v>
      </c>
      <c r="L579" s="68" t="s">
        <v>296</v>
      </c>
      <c r="M579" s="44" t="str">
        <f>IF($B579="","",IFERROR(VLOOKUP($B579,Tiendas!$A$4:$I$176,9,FALSE),""))</f>
        <v>No</v>
      </c>
      <c r="N579" s="71">
        <f t="shared" si="3"/>
        <v>0</v>
      </c>
      <c r="O579" s="71">
        <f t="shared" si="4"/>
        <v>0</v>
      </c>
    </row>
    <row r="580" ht="15.75" customHeight="1">
      <c r="A580" s="17">
        <v>46023.0</v>
      </c>
      <c r="B580" s="44" t="s">
        <v>233</v>
      </c>
      <c r="C580" s="44" t="s">
        <v>44</v>
      </c>
      <c r="D580" s="45" t="s">
        <v>295</v>
      </c>
      <c r="E580" s="19">
        <f>IF($D580&lt;&gt;"Entregado",0,IF($C580="","",VLOOKUP($C580,'DATA DE TARIFA'!$A$4:$C$68,2,FALSE)/1.18))</f>
        <v>10.16949153</v>
      </c>
      <c r="F580" s="19">
        <f>IF($C580="","",IF($D580="",0,VLOOKUP($C580,'DATA DE TARIFA'!$A$4:$C$68,3,FALSE)))</f>
        <v>5.5</v>
      </c>
      <c r="G580" s="66">
        <v>0.0</v>
      </c>
      <c r="H580" s="19">
        <f t="shared" si="1"/>
        <v>10.16949153</v>
      </c>
      <c r="I580" s="19">
        <f t="shared" si="2"/>
        <v>5.5</v>
      </c>
      <c r="J580" s="67"/>
      <c r="K580" s="44" t="str">
        <f>IF($B580="","",IFERROR(VLOOKUP($B580,Tiendas!$A$4:$B$176,2,FALSE),""))</f>
        <v>SANDRA</v>
      </c>
      <c r="L580" s="68" t="s">
        <v>296</v>
      </c>
      <c r="M580" s="44" t="str">
        <f>IF($B580="","",IFERROR(VLOOKUP($B580,Tiendas!$A$4:$I$176,9,FALSE),""))</f>
        <v>No</v>
      </c>
      <c r="N580" s="71">
        <f t="shared" si="3"/>
        <v>0</v>
      </c>
      <c r="O580" s="71">
        <f t="shared" si="4"/>
        <v>0</v>
      </c>
    </row>
    <row r="581" ht="15.75" customHeight="1">
      <c r="A581" s="17">
        <v>46023.0</v>
      </c>
      <c r="B581" s="44" t="s">
        <v>233</v>
      </c>
      <c r="C581" s="44" t="s">
        <v>15</v>
      </c>
      <c r="D581" s="45" t="s">
        <v>295</v>
      </c>
      <c r="E581" s="19">
        <f>IF($D581&lt;&gt;"Entregado",0,IF($C581="","",VLOOKUP($C581,'DATA DE TARIFA'!$A$4:$C$68,2,FALSE)/1.18))</f>
        <v>8.474576271</v>
      </c>
      <c r="F581" s="19">
        <f>IF($C581="","",IF($D581="",0,VLOOKUP($C581,'DATA DE TARIFA'!$A$4:$C$68,3,FALSE)))</f>
        <v>4.5</v>
      </c>
      <c r="G581" s="66">
        <v>0.0</v>
      </c>
      <c r="H581" s="19">
        <f t="shared" si="1"/>
        <v>8.474576271</v>
      </c>
      <c r="I581" s="19">
        <f t="shared" si="2"/>
        <v>4.5</v>
      </c>
      <c r="J581" s="67"/>
      <c r="K581" s="44" t="str">
        <f>IF($B581="","",IFERROR(VLOOKUP($B581,Tiendas!$A$4:$B$176,2,FALSE),""))</f>
        <v>SANDRA</v>
      </c>
      <c r="L581" s="68" t="s">
        <v>296</v>
      </c>
      <c r="M581" s="44" t="str">
        <f>IF($B581="","",IFERROR(VLOOKUP($B581,Tiendas!$A$4:$I$176,9,FALSE),""))</f>
        <v>No</v>
      </c>
      <c r="N581" s="71">
        <f t="shared" si="3"/>
        <v>0</v>
      </c>
      <c r="O581" s="71">
        <f t="shared" si="4"/>
        <v>0</v>
      </c>
    </row>
    <row r="582" ht="15.75" customHeight="1">
      <c r="A582" s="17">
        <v>46023.0</v>
      </c>
      <c r="B582" s="44" t="s">
        <v>233</v>
      </c>
      <c r="C582" s="44" t="s">
        <v>40</v>
      </c>
      <c r="D582" s="45" t="s">
        <v>295</v>
      </c>
      <c r="E582" s="19">
        <f>IF($D582&lt;&gt;"Entregado",0,IF($C582="","",VLOOKUP($C582,'DATA DE TARIFA'!$A$4:$C$68,2,FALSE)/1.18))</f>
        <v>8.474576271</v>
      </c>
      <c r="F582" s="19">
        <f>IF($C582="","",IF($D582="",0,VLOOKUP($C582,'DATA DE TARIFA'!$A$4:$C$68,3,FALSE)))</f>
        <v>4</v>
      </c>
      <c r="G582" s="66">
        <v>0.0</v>
      </c>
      <c r="H582" s="19">
        <f t="shared" si="1"/>
        <v>8.474576271</v>
      </c>
      <c r="I582" s="19">
        <f t="shared" si="2"/>
        <v>4</v>
      </c>
      <c r="J582" s="67"/>
      <c r="K582" s="44" t="str">
        <f>IF($B582="","",IFERROR(VLOOKUP($B582,Tiendas!$A$4:$B$176,2,FALSE),""))</f>
        <v>SANDRA</v>
      </c>
      <c r="L582" s="68" t="s">
        <v>296</v>
      </c>
      <c r="M582" s="44" t="str">
        <f>IF($B582="","",IFERROR(VLOOKUP($B582,Tiendas!$A$4:$I$176,9,FALSE),""))</f>
        <v>No</v>
      </c>
      <c r="N582" s="71">
        <f t="shared" si="3"/>
        <v>0</v>
      </c>
      <c r="O582" s="71">
        <f t="shared" si="4"/>
        <v>0</v>
      </c>
    </row>
    <row r="583" ht="15.75" customHeight="1">
      <c r="A583" s="17">
        <v>46023.0</v>
      </c>
      <c r="B583" s="44" t="s">
        <v>233</v>
      </c>
      <c r="C583" s="44" t="s">
        <v>15</v>
      </c>
      <c r="D583" s="45" t="s">
        <v>295</v>
      </c>
      <c r="E583" s="19">
        <f>IF($D583&lt;&gt;"Entregado",0,IF($C583="","",VLOOKUP($C583,'DATA DE TARIFA'!$A$4:$C$68,2,FALSE)/1.18))</f>
        <v>8.474576271</v>
      </c>
      <c r="F583" s="19">
        <f>IF($C583="","",IF($D583="",0,VLOOKUP($C583,'DATA DE TARIFA'!$A$4:$C$68,3,FALSE)))</f>
        <v>4.5</v>
      </c>
      <c r="G583" s="66">
        <v>0.0</v>
      </c>
      <c r="H583" s="19">
        <f t="shared" si="1"/>
        <v>8.474576271</v>
      </c>
      <c r="I583" s="19">
        <f t="shared" si="2"/>
        <v>4.5</v>
      </c>
      <c r="J583" s="67"/>
      <c r="K583" s="44" t="str">
        <f>IF($B583="","",IFERROR(VLOOKUP($B583,Tiendas!$A$4:$B$176,2,FALSE),""))</f>
        <v>SANDRA</v>
      </c>
      <c r="L583" s="68" t="s">
        <v>296</v>
      </c>
      <c r="M583" s="44" t="str">
        <f>IF($B583="","",IFERROR(VLOOKUP($B583,Tiendas!$A$4:$I$176,9,FALSE),""))</f>
        <v>No</v>
      </c>
      <c r="N583" s="71">
        <f t="shared" si="3"/>
        <v>0</v>
      </c>
      <c r="O583" s="71">
        <f t="shared" si="4"/>
        <v>0</v>
      </c>
    </row>
    <row r="584" ht="15.75" customHeight="1">
      <c r="A584" s="17">
        <v>46023.0</v>
      </c>
      <c r="B584" s="44" t="s">
        <v>233</v>
      </c>
      <c r="C584" s="44" t="s">
        <v>32</v>
      </c>
      <c r="D584" s="45" t="s">
        <v>295</v>
      </c>
      <c r="E584" s="19">
        <f>IF($D584&lt;&gt;"Entregado",0,IF($C584="","",VLOOKUP($C584,'DATA DE TARIFA'!$A$4:$C$68,2,FALSE)/1.18))</f>
        <v>8.474576271</v>
      </c>
      <c r="F584" s="19">
        <f>IF($C584="","",IF($D584="",0,VLOOKUP($C584,'DATA DE TARIFA'!$A$4:$C$68,3,FALSE)))</f>
        <v>4.5</v>
      </c>
      <c r="G584" s="66">
        <v>0.0</v>
      </c>
      <c r="H584" s="19">
        <f t="shared" si="1"/>
        <v>8.474576271</v>
      </c>
      <c r="I584" s="19">
        <f t="shared" si="2"/>
        <v>4.5</v>
      </c>
      <c r="J584" s="67"/>
      <c r="K584" s="44" t="str">
        <f>IF($B584="","",IFERROR(VLOOKUP($B584,Tiendas!$A$4:$B$176,2,FALSE),""))</f>
        <v>SANDRA</v>
      </c>
      <c r="L584" s="68" t="s">
        <v>296</v>
      </c>
      <c r="M584" s="44" t="str">
        <f>IF($B584="","",IFERROR(VLOOKUP($B584,Tiendas!$A$4:$I$176,9,FALSE),""))</f>
        <v>No</v>
      </c>
      <c r="N584" s="71">
        <f t="shared" si="3"/>
        <v>0</v>
      </c>
      <c r="O584" s="71">
        <f t="shared" si="4"/>
        <v>0</v>
      </c>
    </row>
    <row r="585" ht="15.75" customHeight="1">
      <c r="A585" s="17">
        <v>46023.0</v>
      </c>
      <c r="B585" s="44" t="s">
        <v>233</v>
      </c>
      <c r="C585" s="44" t="s">
        <v>30</v>
      </c>
      <c r="D585" s="45" t="s">
        <v>295</v>
      </c>
      <c r="E585" s="19">
        <f>IF($D585&lt;&gt;"Entregado",0,IF($C585="","",VLOOKUP($C585,'DATA DE TARIFA'!$A$4:$C$68,2,FALSE)/1.18))</f>
        <v>8.474576271</v>
      </c>
      <c r="F585" s="19">
        <f>IF($C585="","",IF($D585="",0,VLOOKUP($C585,'DATA DE TARIFA'!$A$4:$C$68,3,FALSE)))</f>
        <v>4.5</v>
      </c>
      <c r="G585" s="66">
        <v>0.0</v>
      </c>
      <c r="H585" s="19">
        <f t="shared" si="1"/>
        <v>8.474576271</v>
      </c>
      <c r="I585" s="19">
        <f t="shared" si="2"/>
        <v>4.5</v>
      </c>
      <c r="J585" s="67"/>
      <c r="K585" s="44" t="str">
        <f>IF($B585="","",IFERROR(VLOOKUP($B585,Tiendas!$A$4:$B$176,2,FALSE),""))</f>
        <v>SANDRA</v>
      </c>
      <c r="L585" s="68" t="s">
        <v>296</v>
      </c>
      <c r="M585" s="44" t="str">
        <f>IF($B585="","",IFERROR(VLOOKUP($B585,Tiendas!$A$4:$I$176,9,FALSE),""))</f>
        <v>No</v>
      </c>
      <c r="N585" s="71">
        <f t="shared" si="3"/>
        <v>0</v>
      </c>
      <c r="O585" s="71">
        <f t="shared" si="4"/>
        <v>0</v>
      </c>
    </row>
    <row r="586" ht="15.75" customHeight="1">
      <c r="A586" s="17">
        <v>46023.0</v>
      </c>
      <c r="B586" s="44" t="s">
        <v>233</v>
      </c>
      <c r="C586" s="44" t="s">
        <v>42</v>
      </c>
      <c r="D586" s="45" t="s">
        <v>295</v>
      </c>
      <c r="E586" s="19">
        <f>IF($D586&lt;&gt;"Entregado",0,IF($C586="","",VLOOKUP($C586,'DATA DE TARIFA'!$A$4:$C$68,2,FALSE)/1.18))</f>
        <v>8.474576271</v>
      </c>
      <c r="F586" s="19">
        <f>IF($C586="","",IF($D586="",0,VLOOKUP($C586,'DATA DE TARIFA'!$A$4:$C$68,3,FALSE)))</f>
        <v>4</v>
      </c>
      <c r="G586" s="66">
        <v>0.0</v>
      </c>
      <c r="H586" s="19">
        <f t="shared" si="1"/>
        <v>8.474576271</v>
      </c>
      <c r="I586" s="19">
        <f t="shared" si="2"/>
        <v>4</v>
      </c>
      <c r="J586" s="67"/>
      <c r="K586" s="44" t="str">
        <f>IF($B586="","",IFERROR(VLOOKUP($B586,Tiendas!$A$4:$B$176,2,FALSE),""))</f>
        <v>SANDRA</v>
      </c>
      <c r="L586" s="68" t="s">
        <v>296</v>
      </c>
      <c r="M586" s="44" t="str">
        <f>IF($B586="","",IFERROR(VLOOKUP($B586,Tiendas!$A$4:$I$176,9,FALSE),""))</f>
        <v>No</v>
      </c>
      <c r="N586" s="71">
        <f t="shared" si="3"/>
        <v>0</v>
      </c>
      <c r="O586" s="71">
        <f t="shared" si="4"/>
        <v>0</v>
      </c>
    </row>
    <row r="587" ht="15.75" customHeight="1">
      <c r="A587" s="17">
        <v>46023.0</v>
      </c>
      <c r="B587" s="44" t="s">
        <v>233</v>
      </c>
      <c r="C587" s="44" t="s">
        <v>70</v>
      </c>
      <c r="D587" s="45" t="s">
        <v>295</v>
      </c>
      <c r="E587" s="19">
        <f>IF($D587&lt;&gt;"Entregado",0,IF($C587="","",VLOOKUP($C587,'DATA DE TARIFA'!$A$4:$C$68,2,FALSE)/1.18))</f>
        <v>8.474576271</v>
      </c>
      <c r="F587" s="19">
        <f>IF($C587="","",IF($D587="",0,VLOOKUP($C587,'DATA DE TARIFA'!$A$4:$C$68,3,FALSE)))</f>
        <v>4</v>
      </c>
      <c r="G587" s="66">
        <v>0.0</v>
      </c>
      <c r="H587" s="19">
        <f t="shared" si="1"/>
        <v>8.474576271</v>
      </c>
      <c r="I587" s="19">
        <f t="shared" si="2"/>
        <v>4</v>
      </c>
      <c r="J587" s="67"/>
      <c r="K587" s="44" t="str">
        <f>IF($B587="","",IFERROR(VLOOKUP($B587,Tiendas!$A$4:$B$176,2,FALSE),""))</f>
        <v>SANDRA</v>
      </c>
      <c r="L587" s="68" t="s">
        <v>296</v>
      </c>
      <c r="M587" s="44" t="str">
        <f>IF($B587="","",IFERROR(VLOOKUP($B587,Tiendas!$A$4:$I$176,9,FALSE),""))</f>
        <v>No</v>
      </c>
      <c r="N587" s="71">
        <f t="shared" si="3"/>
        <v>0</v>
      </c>
      <c r="O587" s="71">
        <f t="shared" si="4"/>
        <v>0</v>
      </c>
    </row>
    <row r="588" ht="15.75" customHeight="1">
      <c r="A588" s="17">
        <v>46023.0</v>
      </c>
      <c r="B588" s="44" t="s">
        <v>233</v>
      </c>
      <c r="C588" s="44" t="s">
        <v>63</v>
      </c>
      <c r="D588" s="45" t="s">
        <v>295</v>
      </c>
      <c r="E588" s="19">
        <f>IF($D588&lt;&gt;"Entregado",0,IF($C588="","",VLOOKUP($C588,'DATA DE TARIFA'!$A$4:$C$68,2,FALSE)/1.18))</f>
        <v>8.474576271</v>
      </c>
      <c r="F588" s="19">
        <f>IF($C588="","",IF($D588="",0,VLOOKUP($C588,'DATA DE TARIFA'!$A$4:$C$68,3,FALSE)))</f>
        <v>4</v>
      </c>
      <c r="G588" s="66">
        <v>0.0</v>
      </c>
      <c r="H588" s="19">
        <f t="shared" si="1"/>
        <v>8.474576271</v>
      </c>
      <c r="I588" s="19">
        <f t="shared" si="2"/>
        <v>4</v>
      </c>
      <c r="J588" s="67"/>
      <c r="K588" s="44" t="str">
        <f>IF($B588="","",IFERROR(VLOOKUP($B588,Tiendas!$A$4:$B$176,2,FALSE),""))</f>
        <v>SANDRA</v>
      </c>
      <c r="L588" s="68" t="s">
        <v>296</v>
      </c>
      <c r="M588" s="44" t="str">
        <f>IF($B588="","",IFERROR(VLOOKUP($B588,Tiendas!$A$4:$I$176,9,FALSE),""))</f>
        <v>No</v>
      </c>
      <c r="N588" s="71">
        <f t="shared" si="3"/>
        <v>0</v>
      </c>
      <c r="O588" s="71">
        <f t="shared" si="4"/>
        <v>0</v>
      </c>
    </row>
    <row r="589" ht="15.75" customHeight="1">
      <c r="A589" s="17">
        <v>46023.0</v>
      </c>
      <c r="B589" s="44" t="s">
        <v>233</v>
      </c>
      <c r="C589" s="44" t="s">
        <v>49</v>
      </c>
      <c r="D589" s="45" t="s">
        <v>295</v>
      </c>
      <c r="E589" s="19">
        <f>IF($D589&lt;&gt;"Entregado",0,IF($C589="","",VLOOKUP($C589,'DATA DE TARIFA'!$A$4:$C$68,2,FALSE)/1.18))</f>
        <v>10.16949153</v>
      </c>
      <c r="F589" s="19">
        <f>IF($C589="","",IF($D589="",0,VLOOKUP($C589,'DATA DE TARIFA'!$A$4:$C$68,3,FALSE)))</f>
        <v>5.5</v>
      </c>
      <c r="G589" s="66">
        <v>0.0</v>
      </c>
      <c r="H589" s="19">
        <f t="shared" si="1"/>
        <v>10.16949153</v>
      </c>
      <c r="I589" s="19">
        <f t="shared" si="2"/>
        <v>5.5</v>
      </c>
      <c r="J589" s="67"/>
      <c r="K589" s="44" t="str">
        <f>IF($B589="","",IFERROR(VLOOKUP($B589,Tiendas!$A$4:$B$176,2,FALSE),""))</f>
        <v>SANDRA</v>
      </c>
      <c r="L589" s="68" t="s">
        <v>296</v>
      </c>
      <c r="M589" s="44" t="str">
        <f>IF($B589="","",IFERROR(VLOOKUP($B589,Tiendas!$A$4:$I$176,9,FALSE),""))</f>
        <v>No</v>
      </c>
      <c r="N589" s="71">
        <f t="shared" si="3"/>
        <v>0</v>
      </c>
      <c r="O589" s="71">
        <f t="shared" si="4"/>
        <v>0</v>
      </c>
    </row>
    <row r="590" ht="15.75" customHeight="1">
      <c r="A590" s="17">
        <v>46023.0</v>
      </c>
      <c r="B590" s="44" t="s">
        <v>233</v>
      </c>
      <c r="C590" s="44" t="s">
        <v>51</v>
      </c>
      <c r="D590" s="45" t="s">
        <v>295</v>
      </c>
      <c r="E590" s="19">
        <f>IF($D590&lt;&gt;"Entregado",0,IF($C590="","",VLOOKUP($C590,'DATA DE TARIFA'!$A$4:$C$68,2,FALSE)/1.18))</f>
        <v>10.16949153</v>
      </c>
      <c r="F590" s="19">
        <f>IF($C590="","",IF($D590="",0,VLOOKUP($C590,'DATA DE TARIFA'!$A$4:$C$68,3,FALSE)))</f>
        <v>5.5</v>
      </c>
      <c r="G590" s="66">
        <v>0.0</v>
      </c>
      <c r="H590" s="19">
        <f t="shared" si="1"/>
        <v>10.16949153</v>
      </c>
      <c r="I590" s="19">
        <f t="shared" si="2"/>
        <v>5.5</v>
      </c>
      <c r="J590" s="67"/>
      <c r="K590" s="44" t="str">
        <f>IF($B590="","",IFERROR(VLOOKUP($B590,Tiendas!$A$4:$B$176,2,FALSE),""))</f>
        <v>SANDRA</v>
      </c>
      <c r="L590" s="68" t="s">
        <v>296</v>
      </c>
      <c r="M590" s="44" t="str">
        <f>IF($B590="","",IFERROR(VLOOKUP($B590,Tiendas!$A$4:$I$176,9,FALSE),""))</f>
        <v>No</v>
      </c>
      <c r="N590" s="71">
        <f t="shared" si="3"/>
        <v>0</v>
      </c>
      <c r="O590" s="71">
        <f t="shared" si="4"/>
        <v>0</v>
      </c>
    </row>
    <row r="591" ht="15.75" customHeight="1">
      <c r="A591" s="17">
        <v>46023.0</v>
      </c>
      <c r="B591" s="44" t="s">
        <v>233</v>
      </c>
      <c r="C591" s="44" t="s">
        <v>40</v>
      </c>
      <c r="D591" s="45" t="s">
        <v>295</v>
      </c>
      <c r="E591" s="19">
        <f>IF($D591&lt;&gt;"Entregado",0,IF($C591="","",VLOOKUP($C591,'DATA DE TARIFA'!$A$4:$C$68,2,FALSE)/1.18))</f>
        <v>8.474576271</v>
      </c>
      <c r="F591" s="19">
        <f>IF($C591="","",IF($D591="",0,VLOOKUP($C591,'DATA DE TARIFA'!$A$4:$C$68,3,FALSE)))</f>
        <v>4</v>
      </c>
      <c r="G591" s="66">
        <v>0.0</v>
      </c>
      <c r="H591" s="19">
        <f t="shared" si="1"/>
        <v>8.474576271</v>
      </c>
      <c r="I591" s="19">
        <f t="shared" si="2"/>
        <v>4</v>
      </c>
      <c r="J591" s="67"/>
      <c r="K591" s="44" t="str">
        <f>IF($B591="","",IFERROR(VLOOKUP($B591,Tiendas!$A$4:$B$176,2,FALSE),""))</f>
        <v>SANDRA</v>
      </c>
      <c r="L591" s="68" t="s">
        <v>296</v>
      </c>
      <c r="M591" s="44" t="str">
        <f>IF($B591="","",IFERROR(VLOOKUP($B591,Tiendas!$A$4:$I$176,9,FALSE),""))</f>
        <v>No</v>
      </c>
      <c r="N591" s="71">
        <f t="shared" si="3"/>
        <v>0</v>
      </c>
      <c r="O591" s="71">
        <f t="shared" si="4"/>
        <v>0</v>
      </c>
    </row>
    <row r="592" ht="15.75" customHeight="1">
      <c r="A592" s="17">
        <v>46023.0</v>
      </c>
      <c r="B592" s="44" t="s">
        <v>233</v>
      </c>
      <c r="C592" s="44" t="s">
        <v>21</v>
      </c>
      <c r="D592" s="45" t="s">
        <v>295</v>
      </c>
      <c r="E592" s="19">
        <f>IF($D592&lt;&gt;"Entregado",0,IF($C592="","",VLOOKUP($C592,'DATA DE TARIFA'!$A$4:$C$68,2,FALSE)/1.18))</f>
        <v>10.16949153</v>
      </c>
      <c r="F592" s="19">
        <f>IF($C592="","",IF($D592="",0,VLOOKUP($C592,'DATA DE TARIFA'!$A$4:$C$68,3,FALSE)))</f>
        <v>4.5</v>
      </c>
      <c r="G592" s="66">
        <v>0.0</v>
      </c>
      <c r="H592" s="19">
        <f t="shared" si="1"/>
        <v>10.16949153</v>
      </c>
      <c r="I592" s="19">
        <f t="shared" si="2"/>
        <v>4.5</v>
      </c>
      <c r="J592" s="67"/>
      <c r="K592" s="44" t="str">
        <f>IF($B592="","",IFERROR(VLOOKUP($B592,Tiendas!$A$4:$B$176,2,FALSE),""))</f>
        <v>SANDRA</v>
      </c>
      <c r="L592" s="68" t="s">
        <v>296</v>
      </c>
      <c r="M592" s="44" t="str">
        <f>IF($B592="","",IFERROR(VLOOKUP($B592,Tiendas!$A$4:$I$176,9,FALSE),""))</f>
        <v>No</v>
      </c>
      <c r="N592" s="71">
        <f t="shared" si="3"/>
        <v>0</v>
      </c>
      <c r="O592" s="71">
        <f t="shared" si="4"/>
        <v>0</v>
      </c>
    </row>
    <row r="593" ht="15.75" customHeight="1">
      <c r="A593" s="17">
        <v>46023.0</v>
      </c>
      <c r="B593" s="44" t="s">
        <v>233</v>
      </c>
      <c r="C593" s="44" t="s">
        <v>67</v>
      </c>
      <c r="D593" s="45" t="s">
        <v>295</v>
      </c>
      <c r="E593" s="19">
        <f>IF($D593&lt;&gt;"Entregado",0,IF($C593="","",VLOOKUP($C593,'DATA DE TARIFA'!$A$4:$C$68,2,FALSE)/1.18))</f>
        <v>10.16949153</v>
      </c>
      <c r="F593" s="19">
        <f>IF($C593="","",IF($D593="",0,VLOOKUP($C593,'DATA DE TARIFA'!$A$4:$C$68,3,FALSE)))</f>
        <v>5.5</v>
      </c>
      <c r="G593" s="66">
        <v>0.0</v>
      </c>
      <c r="H593" s="19">
        <f t="shared" si="1"/>
        <v>10.16949153</v>
      </c>
      <c r="I593" s="19">
        <f t="shared" si="2"/>
        <v>5.5</v>
      </c>
      <c r="J593" s="67"/>
      <c r="K593" s="44" t="str">
        <f>IF($B593="","",IFERROR(VLOOKUP($B593,Tiendas!$A$4:$B$176,2,FALSE),""))</f>
        <v>SANDRA</v>
      </c>
      <c r="L593" s="68" t="s">
        <v>296</v>
      </c>
      <c r="M593" s="44" t="str">
        <f>IF($B593="","",IFERROR(VLOOKUP($B593,Tiendas!$A$4:$I$176,9,FALSE),""))</f>
        <v>No</v>
      </c>
      <c r="N593" s="71">
        <f t="shared" si="3"/>
        <v>0</v>
      </c>
      <c r="O593" s="71">
        <f t="shared" si="4"/>
        <v>0</v>
      </c>
    </row>
    <row r="594" ht="15.75" customHeight="1">
      <c r="A594" s="17">
        <v>46023.0</v>
      </c>
      <c r="B594" s="44" t="s">
        <v>233</v>
      </c>
      <c r="C594" s="44" t="s">
        <v>30</v>
      </c>
      <c r="D594" s="45" t="s">
        <v>295</v>
      </c>
      <c r="E594" s="19">
        <f>IF($D594&lt;&gt;"Entregado",0,IF($C594="","",VLOOKUP($C594,'DATA DE TARIFA'!$A$4:$C$68,2,FALSE)/1.18))</f>
        <v>8.474576271</v>
      </c>
      <c r="F594" s="19">
        <f>IF($C594="","",IF($D594="",0,VLOOKUP($C594,'DATA DE TARIFA'!$A$4:$C$68,3,FALSE)))</f>
        <v>4.5</v>
      </c>
      <c r="G594" s="66">
        <v>0.0</v>
      </c>
      <c r="H594" s="19">
        <f t="shared" si="1"/>
        <v>8.474576271</v>
      </c>
      <c r="I594" s="19">
        <f t="shared" si="2"/>
        <v>4.5</v>
      </c>
      <c r="J594" s="67"/>
      <c r="K594" s="44" t="str">
        <f>IF($B594="","",IFERROR(VLOOKUP($B594,Tiendas!$A$4:$B$176,2,FALSE),""))</f>
        <v>SANDRA</v>
      </c>
      <c r="L594" s="68" t="s">
        <v>296</v>
      </c>
      <c r="M594" s="44" t="str">
        <f>IF($B594="","",IFERROR(VLOOKUP($B594,Tiendas!$A$4:$I$176,9,FALSE),""))</f>
        <v>No</v>
      </c>
      <c r="N594" s="71">
        <f t="shared" si="3"/>
        <v>0</v>
      </c>
      <c r="O594" s="71">
        <f t="shared" si="4"/>
        <v>0</v>
      </c>
    </row>
    <row r="595" ht="15.75" customHeight="1">
      <c r="A595" s="17">
        <v>46023.0</v>
      </c>
      <c r="B595" s="44" t="s">
        <v>233</v>
      </c>
      <c r="C595" s="44" t="s">
        <v>36</v>
      </c>
      <c r="D595" s="45" t="s">
        <v>295</v>
      </c>
      <c r="E595" s="19">
        <f>IF($D595&lt;&gt;"Entregado",0,IF($C595="","",VLOOKUP($C595,'DATA DE TARIFA'!$A$4:$C$68,2,FALSE)/1.18))</f>
        <v>10.16949153</v>
      </c>
      <c r="F595" s="19">
        <f>IF($C595="","",IF($D595="",0,VLOOKUP($C595,'DATA DE TARIFA'!$A$4:$C$68,3,FALSE)))</f>
        <v>4.5</v>
      </c>
      <c r="G595" s="66">
        <v>0.0</v>
      </c>
      <c r="H595" s="19">
        <f t="shared" si="1"/>
        <v>10.16949153</v>
      </c>
      <c r="I595" s="19">
        <f t="shared" si="2"/>
        <v>4.5</v>
      </c>
      <c r="J595" s="67"/>
      <c r="K595" s="44" t="str">
        <f>IF($B595="","",IFERROR(VLOOKUP($B595,Tiendas!$A$4:$B$176,2,FALSE),""))</f>
        <v>SANDRA</v>
      </c>
      <c r="L595" s="68" t="s">
        <v>296</v>
      </c>
      <c r="M595" s="44" t="str">
        <f>IF($B595="","",IFERROR(VLOOKUP($B595,Tiendas!$A$4:$I$176,9,FALSE),""))</f>
        <v>No</v>
      </c>
      <c r="N595" s="71">
        <f t="shared" si="3"/>
        <v>0</v>
      </c>
      <c r="O595" s="71">
        <f t="shared" si="4"/>
        <v>0</v>
      </c>
    </row>
    <row r="596" ht="15.75" customHeight="1">
      <c r="A596" s="17">
        <v>46023.0</v>
      </c>
      <c r="B596" s="44" t="s">
        <v>233</v>
      </c>
      <c r="C596" s="44" t="s">
        <v>18</v>
      </c>
      <c r="D596" s="45" t="s">
        <v>295</v>
      </c>
      <c r="E596" s="19">
        <f>IF($D596&lt;&gt;"Entregado",0,IF($C596="","",VLOOKUP($C596,'DATA DE TARIFA'!$A$4:$C$68,2,FALSE)/1.18))</f>
        <v>10.16949153</v>
      </c>
      <c r="F596" s="19">
        <f>IF($C596="","",IF($D596="",0,VLOOKUP($C596,'DATA DE TARIFA'!$A$4:$C$68,3,FALSE)))</f>
        <v>4.5</v>
      </c>
      <c r="G596" s="66">
        <v>0.0</v>
      </c>
      <c r="H596" s="19">
        <f t="shared" si="1"/>
        <v>10.16949153</v>
      </c>
      <c r="I596" s="19">
        <f t="shared" si="2"/>
        <v>4.5</v>
      </c>
      <c r="J596" s="67"/>
      <c r="K596" s="44" t="str">
        <f>IF($B596="","",IFERROR(VLOOKUP($B596,Tiendas!$A$4:$B$176,2,FALSE),""))</f>
        <v>SANDRA</v>
      </c>
      <c r="L596" s="68" t="s">
        <v>296</v>
      </c>
      <c r="M596" s="44" t="str">
        <f>IF($B596="","",IFERROR(VLOOKUP($B596,Tiendas!$A$4:$I$176,9,FALSE),""))</f>
        <v>No</v>
      </c>
      <c r="N596" s="71">
        <f t="shared" si="3"/>
        <v>0</v>
      </c>
      <c r="O596" s="71">
        <f t="shared" si="4"/>
        <v>0</v>
      </c>
    </row>
    <row r="597" ht="15.75" customHeight="1">
      <c r="A597" s="17">
        <v>46023.0</v>
      </c>
      <c r="B597" s="44" t="s">
        <v>233</v>
      </c>
      <c r="C597" s="44" t="s">
        <v>58</v>
      </c>
      <c r="D597" s="45" t="s">
        <v>295</v>
      </c>
      <c r="E597" s="19">
        <f>IF($D597&lt;&gt;"Entregado",0,IF($C597="","",VLOOKUP($C597,'DATA DE TARIFA'!$A$4:$C$68,2,FALSE)/1.18))</f>
        <v>8.474576271</v>
      </c>
      <c r="F597" s="19">
        <f>IF($C597="","",IF($D597="",0,VLOOKUP($C597,'DATA DE TARIFA'!$A$4:$C$68,3,FALSE)))</f>
        <v>4</v>
      </c>
      <c r="G597" s="66">
        <v>0.0</v>
      </c>
      <c r="H597" s="19">
        <f t="shared" si="1"/>
        <v>8.474576271</v>
      </c>
      <c r="I597" s="19">
        <f t="shared" si="2"/>
        <v>4</v>
      </c>
      <c r="J597" s="67"/>
      <c r="K597" s="44" t="str">
        <f>IF($B597="","",IFERROR(VLOOKUP($B597,Tiendas!$A$4:$B$176,2,FALSE),""))</f>
        <v>SANDRA</v>
      </c>
      <c r="L597" s="68" t="s">
        <v>296</v>
      </c>
      <c r="M597" s="44" t="str">
        <f>IF($B597="","",IFERROR(VLOOKUP($B597,Tiendas!$A$4:$I$176,9,FALSE),""))</f>
        <v>No</v>
      </c>
      <c r="N597" s="71">
        <f t="shared" si="3"/>
        <v>0</v>
      </c>
      <c r="O597" s="71">
        <f t="shared" si="4"/>
        <v>0</v>
      </c>
    </row>
    <row r="598" ht="15.75" customHeight="1">
      <c r="A598" s="17">
        <v>46023.0</v>
      </c>
      <c r="B598" s="44" t="s">
        <v>233</v>
      </c>
      <c r="C598" s="44" t="s">
        <v>64</v>
      </c>
      <c r="D598" s="45" t="s">
        <v>295</v>
      </c>
      <c r="E598" s="19">
        <f>IF($D598&lt;&gt;"Entregado",0,IF($C598="","",VLOOKUP($C598,'DATA DE TARIFA'!$A$4:$C$68,2,FALSE)/1.18))</f>
        <v>8.474576271</v>
      </c>
      <c r="F598" s="19">
        <f>IF($C598="","",IF($D598="",0,VLOOKUP($C598,'DATA DE TARIFA'!$A$4:$C$68,3,FALSE)))</f>
        <v>4.5</v>
      </c>
      <c r="G598" s="66">
        <v>0.0</v>
      </c>
      <c r="H598" s="19">
        <f t="shared" si="1"/>
        <v>8.474576271</v>
      </c>
      <c r="I598" s="19">
        <f t="shared" si="2"/>
        <v>4.5</v>
      </c>
      <c r="J598" s="67"/>
      <c r="K598" s="44" t="str">
        <f>IF($B598="","",IFERROR(VLOOKUP($B598,Tiendas!$A$4:$B$176,2,FALSE),""))</f>
        <v>SANDRA</v>
      </c>
      <c r="L598" s="68" t="s">
        <v>296</v>
      </c>
      <c r="M598" s="44" t="str">
        <f>IF($B598="","",IFERROR(VLOOKUP($B598,Tiendas!$A$4:$I$176,9,FALSE),""))</f>
        <v>No</v>
      </c>
      <c r="N598" s="71">
        <f t="shared" si="3"/>
        <v>0</v>
      </c>
      <c r="O598" s="71">
        <f t="shared" si="4"/>
        <v>0</v>
      </c>
    </row>
    <row r="599" ht="15.75" customHeight="1">
      <c r="A599" s="17">
        <v>46023.0</v>
      </c>
      <c r="B599" s="44" t="s">
        <v>233</v>
      </c>
      <c r="C599" s="44" t="s">
        <v>21</v>
      </c>
      <c r="D599" s="45" t="s">
        <v>295</v>
      </c>
      <c r="E599" s="19">
        <f>IF($D599&lt;&gt;"Entregado",0,IF($C599="","",VLOOKUP($C599,'DATA DE TARIFA'!$A$4:$C$68,2,FALSE)/1.18))</f>
        <v>10.16949153</v>
      </c>
      <c r="F599" s="19">
        <f>IF($C599="","",IF($D599="",0,VLOOKUP($C599,'DATA DE TARIFA'!$A$4:$C$68,3,FALSE)))</f>
        <v>4.5</v>
      </c>
      <c r="G599" s="66">
        <v>0.0</v>
      </c>
      <c r="H599" s="19">
        <f t="shared" si="1"/>
        <v>10.16949153</v>
      </c>
      <c r="I599" s="19">
        <f t="shared" si="2"/>
        <v>4.5</v>
      </c>
      <c r="J599" s="67"/>
      <c r="K599" s="44" t="str">
        <f>IF($B599="","",IFERROR(VLOOKUP($B599,Tiendas!$A$4:$B$176,2,FALSE),""))</f>
        <v>SANDRA</v>
      </c>
      <c r="L599" s="68" t="s">
        <v>296</v>
      </c>
      <c r="M599" s="44" t="str">
        <f>IF($B599="","",IFERROR(VLOOKUP($B599,Tiendas!$A$4:$I$176,9,FALSE),""))</f>
        <v>No</v>
      </c>
      <c r="N599" s="71">
        <f t="shared" si="3"/>
        <v>0</v>
      </c>
      <c r="O599" s="71">
        <f t="shared" si="4"/>
        <v>0</v>
      </c>
    </row>
    <row r="600" ht="15.75" customHeight="1">
      <c r="A600" s="17">
        <v>46023.0</v>
      </c>
      <c r="B600" s="44" t="s">
        <v>233</v>
      </c>
      <c r="C600" s="44" t="s">
        <v>34</v>
      </c>
      <c r="D600" s="45" t="s">
        <v>295</v>
      </c>
      <c r="E600" s="19">
        <f>IF($D600&lt;&gt;"Entregado",0,IF($C600="","",VLOOKUP($C600,'DATA DE TARIFA'!$A$4:$C$68,2,FALSE)/1.18))</f>
        <v>10.16949153</v>
      </c>
      <c r="F600" s="19">
        <f>IF($C600="","",IF($D600="",0,VLOOKUP($C600,'DATA DE TARIFA'!$A$4:$C$68,3,FALSE)))</f>
        <v>4.5</v>
      </c>
      <c r="G600" s="66">
        <v>0.0</v>
      </c>
      <c r="H600" s="19">
        <f t="shared" si="1"/>
        <v>10.16949153</v>
      </c>
      <c r="I600" s="19">
        <f t="shared" si="2"/>
        <v>4.5</v>
      </c>
      <c r="J600" s="67"/>
      <c r="K600" s="44" t="str">
        <f>IF($B600="","",IFERROR(VLOOKUP($B600,Tiendas!$A$4:$B$176,2,FALSE),""))</f>
        <v>SANDRA</v>
      </c>
      <c r="L600" s="68" t="s">
        <v>296</v>
      </c>
      <c r="M600" s="44" t="str">
        <f>IF($B600="","",IFERROR(VLOOKUP($B600,Tiendas!$A$4:$I$176,9,FALSE),""))</f>
        <v>No</v>
      </c>
      <c r="N600" s="71">
        <f t="shared" si="3"/>
        <v>0</v>
      </c>
      <c r="O600" s="71">
        <f t="shared" si="4"/>
        <v>0</v>
      </c>
    </row>
    <row r="601" ht="15.75" customHeight="1">
      <c r="A601" s="17">
        <v>46023.0</v>
      </c>
      <c r="B601" s="58" t="s">
        <v>237</v>
      </c>
      <c r="C601" s="44" t="s">
        <v>34</v>
      </c>
      <c r="D601" s="45" t="s">
        <v>295</v>
      </c>
      <c r="E601" s="19">
        <f>IF($D601&lt;&gt;"Entregado",0,IF($C601="","",VLOOKUP($C601,'DATA DE TARIFA'!$A$4:$C$68,2,FALSE)/1.18))</f>
        <v>10.16949153</v>
      </c>
      <c r="F601" s="19">
        <f>IF($C601="","",IF($D601="",0,VLOOKUP($C601,'DATA DE TARIFA'!$A$4:$C$68,3,FALSE)))</f>
        <v>4.5</v>
      </c>
      <c r="G601" s="66">
        <v>0.0</v>
      </c>
      <c r="H601" s="19">
        <f t="shared" si="1"/>
        <v>10.16949153</v>
      </c>
      <c r="I601" s="19">
        <f t="shared" si="2"/>
        <v>4.5</v>
      </c>
      <c r="J601" s="67"/>
      <c r="K601" s="44" t="str">
        <f>IF($B601="","",IFERROR(VLOOKUP($B601,Tiendas!$A$4:$B$176,2,FALSE),""))</f>
        <v>SANDRA</v>
      </c>
      <c r="L601" s="68" t="s">
        <v>296</v>
      </c>
      <c r="M601" s="44" t="str">
        <f>IF($B601="","",IFERROR(VLOOKUP($B601,Tiendas!$A$4:$I$176,9,FALSE),""))</f>
        <v>No</v>
      </c>
      <c r="N601" s="71">
        <f t="shared" si="3"/>
        <v>0</v>
      </c>
      <c r="O601" s="71">
        <f t="shared" si="4"/>
        <v>0</v>
      </c>
    </row>
    <row r="602" ht="15.75" customHeight="1">
      <c r="A602" s="17">
        <v>46023.0</v>
      </c>
      <c r="B602" s="58" t="s">
        <v>237</v>
      </c>
      <c r="C602" s="44" t="s">
        <v>64</v>
      </c>
      <c r="D602" s="45" t="s">
        <v>295</v>
      </c>
      <c r="E602" s="19">
        <f>IF($D602&lt;&gt;"Entregado",0,IF($C602="","",VLOOKUP($C602,'DATA DE TARIFA'!$A$4:$C$68,2,FALSE)/1.18))</f>
        <v>8.474576271</v>
      </c>
      <c r="F602" s="19">
        <f>IF($C602="","",IF($D602="",0,VLOOKUP($C602,'DATA DE TARIFA'!$A$4:$C$68,3,FALSE)))</f>
        <v>4.5</v>
      </c>
      <c r="G602" s="66">
        <v>0.0</v>
      </c>
      <c r="H602" s="19">
        <f t="shared" si="1"/>
        <v>8.474576271</v>
      </c>
      <c r="I602" s="19">
        <f t="shared" si="2"/>
        <v>4.5</v>
      </c>
      <c r="J602" s="67"/>
      <c r="K602" s="44" t="str">
        <f>IF($B602="","",IFERROR(VLOOKUP($B602,Tiendas!$A$4:$B$176,2,FALSE),""))</f>
        <v>SANDRA</v>
      </c>
      <c r="L602" s="68" t="s">
        <v>296</v>
      </c>
      <c r="M602" s="44" t="str">
        <f>IF($B602="","",IFERROR(VLOOKUP($B602,Tiendas!$A$4:$I$176,9,FALSE),""))</f>
        <v>No</v>
      </c>
      <c r="N602" s="71">
        <f t="shared" si="3"/>
        <v>0</v>
      </c>
      <c r="O602" s="71">
        <f t="shared" si="4"/>
        <v>0</v>
      </c>
    </row>
    <row r="603" ht="15.75" customHeight="1">
      <c r="A603" s="17">
        <v>46023.0</v>
      </c>
      <c r="B603" s="58" t="s">
        <v>237</v>
      </c>
      <c r="C603" s="44" t="s">
        <v>57</v>
      </c>
      <c r="D603" s="45" t="s">
        <v>295</v>
      </c>
      <c r="E603" s="19">
        <f>IF($D603&lt;&gt;"Entregado",0,IF($C603="","",VLOOKUP($C603,'DATA DE TARIFA'!$A$4:$C$68,2,FALSE)/1.18))</f>
        <v>8.474576271</v>
      </c>
      <c r="F603" s="19">
        <f>IF($C603="","",IF($D603="",0,VLOOKUP($C603,'DATA DE TARIFA'!$A$4:$C$68,3,FALSE)))</f>
        <v>4.5</v>
      </c>
      <c r="G603" s="66">
        <v>0.0</v>
      </c>
      <c r="H603" s="19">
        <f t="shared" si="1"/>
        <v>8.474576271</v>
      </c>
      <c r="I603" s="19">
        <f t="shared" si="2"/>
        <v>4.5</v>
      </c>
      <c r="J603" s="67"/>
      <c r="K603" s="44" t="str">
        <f>IF($B603="","",IFERROR(VLOOKUP($B603,Tiendas!$A$4:$B$176,2,FALSE),""))</f>
        <v>SANDRA</v>
      </c>
      <c r="L603" s="68" t="s">
        <v>296</v>
      </c>
      <c r="M603" s="44" t="str">
        <f>IF($B603="","",IFERROR(VLOOKUP($B603,Tiendas!$A$4:$I$176,9,FALSE),""))</f>
        <v>No</v>
      </c>
      <c r="N603" s="71">
        <f t="shared" si="3"/>
        <v>0</v>
      </c>
      <c r="O603" s="71">
        <f t="shared" si="4"/>
        <v>0</v>
      </c>
    </row>
    <row r="604" ht="15.75" customHeight="1">
      <c r="A604" s="17">
        <v>46023.0</v>
      </c>
      <c r="B604" s="58" t="s">
        <v>237</v>
      </c>
      <c r="C604" s="44" t="s">
        <v>38</v>
      </c>
      <c r="D604" s="45" t="s">
        <v>295</v>
      </c>
      <c r="E604" s="19">
        <f>IF($D604&lt;&gt;"Entregado",0,IF($C604="","",VLOOKUP($C604,'DATA DE TARIFA'!$A$4:$C$68,2,FALSE)/1.18))</f>
        <v>8.474576271</v>
      </c>
      <c r="F604" s="19">
        <f>IF($C604="","",IF($D604="",0,VLOOKUP($C604,'DATA DE TARIFA'!$A$4:$C$68,3,FALSE)))</f>
        <v>4</v>
      </c>
      <c r="G604" s="66">
        <v>0.0</v>
      </c>
      <c r="H604" s="19">
        <f t="shared" si="1"/>
        <v>8.474576271</v>
      </c>
      <c r="I604" s="19">
        <f t="shared" si="2"/>
        <v>4</v>
      </c>
      <c r="J604" s="67"/>
      <c r="K604" s="44" t="str">
        <f>IF($B604="","",IFERROR(VLOOKUP($B604,Tiendas!$A$4:$B$176,2,FALSE),""))</f>
        <v>SANDRA</v>
      </c>
      <c r="L604" s="68" t="s">
        <v>296</v>
      </c>
      <c r="M604" s="44" t="str">
        <f>IF($B604="","",IFERROR(VLOOKUP($B604,Tiendas!$A$4:$I$176,9,FALSE),""))</f>
        <v>No</v>
      </c>
      <c r="N604" s="71">
        <f t="shared" si="3"/>
        <v>0</v>
      </c>
      <c r="O604" s="71">
        <f t="shared" si="4"/>
        <v>0</v>
      </c>
    </row>
    <row r="605" ht="15.75" customHeight="1">
      <c r="A605" s="17">
        <v>46023.0</v>
      </c>
      <c r="B605" s="58" t="s">
        <v>237</v>
      </c>
      <c r="C605" s="44" t="s">
        <v>15</v>
      </c>
      <c r="D605" s="45" t="s">
        <v>295</v>
      </c>
      <c r="E605" s="19">
        <f>IF($D605&lt;&gt;"Entregado",0,IF($C605="","",VLOOKUP($C605,'DATA DE TARIFA'!$A$4:$C$68,2,FALSE)/1.18))</f>
        <v>8.474576271</v>
      </c>
      <c r="F605" s="19">
        <f>IF($C605="","",IF($D605="",0,VLOOKUP($C605,'DATA DE TARIFA'!$A$4:$C$68,3,FALSE)))</f>
        <v>4.5</v>
      </c>
      <c r="G605" s="66">
        <v>0.0</v>
      </c>
      <c r="H605" s="19">
        <f t="shared" si="1"/>
        <v>8.474576271</v>
      </c>
      <c r="I605" s="19">
        <f t="shared" si="2"/>
        <v>4.5</v>
      </c>
      <c r="J605" s="67"/>
      <c r="K605" s="44" t="str">
        <f>IF($B605="","",IFERROR(VLOOKUP($B605,Tiendas!$A$4:$B$176,2,FALSE),""))</f>
        <v>SANDRA</v>
      </c>
      <c r="L605" s="68" t="s">
        <v>296</v>
      </c>
      <c r="M605" s="44" t="str">
        <f>IF($B605="","",IFERROR(VLOOKUP($B605,Tiendas!$A$4:$I$176,9,FALSE),""))</f>
        <v>No</v>
      </c>
      <c r="N605" s="71">
        <f t="shared" si="3"/>
        <v>0</v>
      </c>
      <c r="O605" s="71">
        <f t="shared" si="4"/>
        <v>0</v>
      </c>
    </row>
    <row r="606" ht="15.75" customHeight="1">
      <c r="A606" s="17">
        <v>46023.0</v>
      </c>
      <c r="B606" s="58" t="s">
        <v>237</v>
      </c>
      <c r="C606" s="44" t="s">
        <v>75</v>
      </c>
      <c r="D606" s="45" t="s">
        <v>295</v>
      </c>
      <c r="E606" s="19">
        <f>IF($D606&lt;&gt;"Entregado",0,IF($C606="","",VLOOKUP($C606,'DATA DE TARIFA'!$A$4:$C$68,2,FALSE)/1.18))</f>
        <v>10.16949153</v>
      </c>
      <c r="F606" s="19">
        <f>IF($C606="","",IF($D606="",0,VLOOKUP($C606,'DATA DE TARIFA'!$A$4:$C$68,3,FALSE)))</f>
        <v>4.5</v>
      </c>
      <c r="G606" s="66">
        <v>0.0</v>
      </c>
      <c r="H606" s="19">
        <f t="shared" si="1"/>
        <v>10.16949153</v>
      </c>
      <c r="I606" s="19">
        <f t="shared" si="2"/>
        <v>4.5</v>
      </c>
      <c r="J606" s="67"/>
      <c r="K606" s="44" t="str">
        <f>IF($B606="","",IFERROR(VLOOKUP($B606,Tiendas!$A$4:$B$176,2,FALSE),""))</f>
        <v>SANDRA</v>
      </c>
      <c r="L606" s="68" t="s">
        <v>296</v>
      </c>
      <c r="M606" s="44" t="str">
        <f>IF($B606="","",IFERROR(VLOOKUP($B606,Tiendas!$A$4:$I$176,9,FALSE),""))</f>
        <v>No</v>
      </c>
      <c r="N606" s="71">
        <f t="shared" si="3"/>
        <v>0</v>
      </c>
      <c r="O606" s="71">
        <f t="shared" si="4"/>
        <v>0</v>
      </c>
    </row>
    <row r="607" ht="15.75" customHeight="1">
      <c r="A607" s="17">
        <v>46023.0</v>
      </c>
      <c r="B607" s="58" t="s">
        <v>237</v>
      </c>
      <c r="C607" s="44" t="s">
        <v>26</v>
      </c>
      <c r="D607" s="45" t="s">
        <v>295</v>
      </c>
      <c r="E607" s="19">
        <f>IF($D607&lt;&gt;"Entregado",0,IF($C607="","",VLOOKUP($C607,'DATA DE TARIFA'!$A$4:$C$68,2,FALSE)/1.18))</f>
        <v>10.16949153</v>
      </c>
      <c r="F607" s="19">
        <f>IF($C607="","",IF($D607="",0,VLOOKUP($C607,'DATA DE TARIFA'!$A$4:$C$68,3,FALSE)))</f>
        <v>5</v>
      </c>
      <c r="G607" s="66">
        <v>0.0</v>
      </c>
      <c r="H607" s="19">
        <f t="shared" si="1"/>
        <v>10.16949153</v>
      </c>
      <c r="I607" s="19">
        <f t="shared" si="2"/>
        <v>5</v>
      </c>
      <c r="J607" s="67"/>
      <c r="K607" s="44" t="str">
        <f>IF($B607="","",IFERROR(VLOOKUP($B607,Tiendas!$A$4:$B$176,2,FALSE),""))</f>
        <v>SANDRA</v>
      </c>
      <c r="L607" s="68" t="s">
        <v>296</v>
      </c>
      <c r="M607" s="44" t="str">
        <f>IF($B607="","",IFERROR(VLOOKUP($B607,Tiendas!$A$4:$I$176,9,FALSE),""))</f>
        <v>No</v>
      </c>
      <c r="N607" s="71">
        <f t="shared" si="3"/>
        <v>0</v>
      </c>
      <c r="O607" s="71">
        <f t="shared" si="4"/>
        <v>0</v>
      </c>
    </row>
    <row r="608" ht="15.75" customHeight="1">
      <c r="A608" s="17">
        <v>46023.0</v>
      </c>
      <c r="B608" s="44" t="s">
        <v>248</v>
      </c>
      <c r="C608" s="44" t="s">
        <v>86</v>
      </c>
      <c r="D608" s="45" t="s">
        <v>295</v>
      </c>
      <c r="E608" s="19">
        <f>IF($D608&lt;&gt;"Entregado",0,IF($C608="","",VLOOKUP($C608,'DATA DE TARIFA'!$A$4:$C$68,2,FALSE)/1.18))</f>
        <v>14.40677966</v>
      </c>
      <c r="F608" s="19">
        <f>IF($C608="","",IF($D608="",0,VLOOKUP($C608,'DATA DE TARIFA'!$A$4:$C$68,3,FALSE)))</f>
        <v>7.5</v>
      </c>
      <c r="G608" s="66">
        <v>0.0</v>
      </c>
      <c r="H608" s="19">
        <f t="shared" si="1"/>
        <v>14.40677966</v>
      </c>
      <c r="I608" s="19">
        <f t="shared" si="2"/>
        <v>7.5</v>
      </c>
      <c r="J608" s="67"/>
      <c r="K608" s="44" t="str">
        <f>IF($B608="","",IFERROR(VLOOKUP($B608,Tiendas!$A$4:$B$176,2,FALSE),""))</f>
        <v>SANDRA</v>
      </c>
      <c r="L608" s="68" t="s">
        <v>296</v>
      </c>
      <c r="M608" s="44" t="str">
        <f>IF($B608="","",IFERROR(VLOOKUP($B608,Tiendas!$A$4:$I$176,9,FALSE),""))</f>
        <v>No</v>
      </c>
      <c r="N608" s="71">
        <f t="shared" si="3"/>
        <v>0</v>
      </c>
      <c r="O608" s="71">
        <f t="shared" si="4"/>
        <v>0</v>
      </c>
    </row>
    <row r="609" ht="15.75" customHeight="1">
      <c r="A609" s="17">
        <v>46023.0</v>
      </c>
      <c r="B609" s="58" t="s">
        <v>210</v>
      </c>
      <c r="C609" s="44" t="s">
        <v>15</v>
      </c>
      <c r="D609" s="45" t="s">
        <v>295</v>
      </c>
      <c r="E609" s="19">
        <f>IF($D609&lt;&gt;"Entregado",0,IF($C609="","",VLOOKUP($C609,'DATA DE TARIFA'!$A$4:$C$68,2,FALSE)/1.18))</f>
        <v>8.474576271</v>
      </c>
      <c r="F609" s="19">
        <f>IF($C609="","",IF($D609="",0,VLOOKUP($C609,'DATA DE TARIFA'!$A$4:$C$68,3,FALSE)))</f>
        <v>4.5</v>
      </c>
      <c r="G609" s="66">
        <v>7.0</v>
      </c>
      <c r="H609" s="19">
        <f t="shared" si="1"/>
        <v>8.474576271</v>
      </c>
      <c r="I609" s="19">
        <f t="shared" si="2"/>
        <v>11.5</v>
      </c>
      <c r="J609" s="67"/>
      <c r="K609" s="44" t="str">
        <f>IF($B609="","",IFERROR(VLOOKUP($B609,Tiendas!$A$4:$B$176,2,FALSE),""))</f>
        <v>SANDRA</v>
      </c>
      <c r="L609" s="68" t="s">
        <v>296</v>
      </c>
      <c r="M609" s="44" t="str">
        <f>IF($B609="","",IFERROR(VLOOKUP($B609,Tiendas!$A$4:$I$176,9,FALSE),""))</f>
        <v>No</v>
      </c>
      <c r="N609" s="71">
        <f t="shared" si="3"/>
        <v>0</v>
      </c>
      <c r="O609" s="71">
        <f t="shared" si="4"/>
        <v>0</v>
      </c>
    </row>
    <row r="610" ht="15.75" customHeight="1">
      <c r="A610" s="17">
        <v>46023.0</v>
      </c>
      <c r="B610" s="58" t="s">
        <v>210</v>
      </c>
      <c r="C610" s="44" t="s">
        <v>301</v>
      </c>
      <c r="D610" s="45" t="s">
        <v>295</v>
      </c>
      <c r="E610" s="19">
        <f>IF($D610&lt;&gt;"Entregado",0,IF($C610="","",VLOOKUP($C610,'DATA DE TARIFA'!$A$4:$C$68,2,FALSE)/1.18))</f>
        <v>10.16949153</v>
      </c>
      <c r="F610" s="19">
        <f>IF($C610="","",IF($D610="",0,VLOOKUP($C610,'DATA DE TARIFA'!$A$4:$C$68,3,FALSE)))</f>
        <v>5.5</v>
      </c>
      <c r="G610" s="66">
        <v>6.0</v>
      </c>
      <c r="H610" s="19">
        <f t="shared" si="1"/>
        <v>10.16949153</v>
      </c>
      <c r="I610" s="19">
        <f t="shared" si="2"/>
        <v>11.5</v>
      </c>
      <c r="J610" s="67"/>
      <c r="K610" s="44" t="str">
        <f>IF($B610="","",IFERROR(VLOOKUP($B610,Tiendas!$A$4:$B$176,2,FALSE),""))</f>
        <v>SANDRA</v>
      </c>
      <c r="L610" s="68" t="s">
        <v>296</v>
      </c>
      <c r="M610" s="44" t="str">
        <f>IF($B610="","",IFERROR(VLOOKUP($B610,Tiendas!$A$4:$I$176,9,FALSE),""))</f>
        <v>No</v>
      </c>
      <c r="N610" s="71">
        <f t="shared" si="3"/>
        <v>0</v>
      </c>
      <c r="O610" s="71">
        <f t="shared" si="4"/>
        <v>0</v>
      </c>
    </row>
    <row r="611" ht="15.75" customHeight="1">
      <c r="A611" s="17">
        <v>46023.0</v>
      </c>
      <c r="B611" s="44" t="s">
        <v>255</v>
      </c>
      <c r="C611" s="44" t="s">
        <v>24</v>
      </c>
      <c r="D611" s="45" t="s">
        <v>295</v>
      </c>
      <c r="E611" s="19">
        <f>IF($D611&lt;&gt;"Entregado",0,IF($C611="","",VLOOKUP($C611,'DATA DE TARIFA'!$A$4:$C$68,2,FALSE)/1.18))</f>
        <v>8.474576271</v>
      </c>
      <c r="F611" s="19">
        <f>IF($C611="","",IF($D611="",0,VLOOKUP($C611,'DATA DE TARIFA'!$A$4:$C$68,3,FALSE)))</f>
        <v>4.5</v>
      </c>
      <c r="G611" s="66">
        <v>0.0</v>
      </c>
      <c r="H611" s="19">
        <f t="shared" si="1"/>
        <v>8.474576271</v>
      </c>
      <c r="I611" s="19">
        <f t="shared" si="2"/>
        <v>4.5</v>
      </c>
      <c r="J611" s="67"/>
      <c r="K611" s="44" t="str">
        <f>IF($B611="","",IFERROR(VLOOKUP($B611,Tiendas!$A$4:$B$176,2,FALSE),""))</f>
        <v>SANDRA</v>
      </c>
      <c r="L611" s="68" t="s">
        <v>296</v>
      </c>
      <c r="M611" s="44" t="str">
        <f>IF($B611="","",IFERROR(VLOOKUP($B611,Tiendas!$A$4:$I$176,9,FALSE),""))</f>
        <v>No</v>
      </c>
      <c r="N611" s="71">
        <f t="shared" si="3"/>
        <v>0</v>
      </c>
      <c r="O611" s="71">
        <f t="shared" si="4"/>
        <v>0</v>
      </c>
    </row>
    <row r="612" ht="15.75" customHeight="1">
      <c r="A612" s="17">
        <v>46023.0</v>
      </c>
      <c r="B612" s="44" t="s">
        <v>255</v>
      </c>
      <c r="C612" s="44" t="s">
        <v>63</v>
      </c>
      <c r="D612" s="45" t="s">
        <v>295</v>
      </c>
      <c r="E612" s="19">
        <f>IF($D612&lt;&gt;"Entregado",0,IF($C612="","",VLOOKUP($C612,'DATA DE TARIFA'!$A$4:$C$68,2,FALSE)/1.18))</f>
        <v>8.474576271</v>
      </c>
      <c r="F612" s="19">
        <f>IF($C612="","",IF($D612="",0,VLOOKUP($C612,'DATA DE TARIFA'!$A$4:$C$68,3,FALSE)))</f>
        <v>4</v>
      </c>
      <c r="G612" s="66">
        <v>0.0</v>
      </c>
      <c r="H612" s="19">
        <f t="shared" si="1"/>
        <v>8.474576271</v>
      </c>
      <c r="I612" s="19">
        <f t="shared" si="2"/>
        <v>4</v>
      </c>
      <c r="J612" s="67"/>
      <c r="K612" s="44" t="str">
        <f>IF($B612="","",IFERROR(VLOOKUP($B612,Tiendas!$A$4:$B$176,2,FALSE),""))</f>
        <v>SANDRA</v>
      </c>
      <c r="L612" s="68" t="s">
        <v>296</v>
      </c>
      <c r="M612" s="44" t="str">
        <f>IF($B612="","",IFERROR(VLOOKUP($B612,Tiendas!$A$4:$I$176,9,FALSE),""))</f>
        <v>No</v>
      </c>
      <c r="N612" s="71">
        <f t="shared" si="3"/>
        <v>0</v>
      </c>
      <c r="O612" s="71">
        <f t="shared" si="4"/>
        <v>0</v>
      </c>
    </row>
    <row r="613" ht="15.75" customHeight="1">
      <c r="A613" s="17">
        <v>46023.0</v>
      </c>
      <c r="B613" s="44" t="s">
        <v>255</v>
      </c>
      <c r="C613" s="44" t="s">
        <v>26</v>
      </c>
      <c r="D613" s="45" t="s">
        <v>295</v>
      </c>
      <c r="E613" s="19">
        <f>IF($D613&lt;&gt;"Entregado",0,IF($C613="","",VLOOKUP($C613,'DATA DE TARIFA'!$A$4:$C$68,2,FALSE)/1.18))</f>
        <v>10.16949153</v>
      </c>
      <c r="F613" s="19">
        <f>IF($C613="","",IF($D613="",0,VLOOKUP($C613,'DATA DE TARIFA'!$A$4:$C$68,3,FALSE)))</f>
        <v>5</v>
      </c>
      <c r="G613" s="66">
        <v>0.0</v>
      </c>
      <c r="H613" s="19">
        <f t="shared" si="1"/>
        <v>10.16949153</v>
      </c>
      <c r="I613" s="19">
        <f t="shared" si="2"/>
        <v>5</v>
      </c>
      <c r="J613" s="67"/>
      <c r="K613" s="44" t="str">
        <f>IF($B613="","",IFERROR(VLOOKUP($B613,Tiendas!$A$4:$B$176,2,FALSE),""))</f>
        <v>SANDRA</v>
      </c>
      <c r="L613" s="68" t="s">
        <v>296</v>
      </c>
      <c r="M613" s="44" t="str">
        <f>IF($B613="","",IFERROR(VLOOKUP($B613,Tiendas!$A$4:$I$176,9,FALSE),""))</f>
        <v>No</v>
      </c>
      <c r="N613" s="71">
        <f t="shared" si="3"/>
        <v>0</v>
      </c>
      <c r="O613" s="71">
        <f t="shared" si="4"/>
        <v>0</v>
      </c>
    </row>
    <row r="614" ht="15.75" customHeight="1">
      <c r="A614" s="17">
        <v>46023.0</v>
      </c>
      <c r="B614" s="44" t="s">
        <v>255</v>
      </c>
      <c r="C614" s="44" t="s">
        <v>61</v>
      </c>
      <c r="D614" s="45" t="s">
        <v>295</v>
      </c>
      <c r="E614" s="19">
        <f>IF($D614&lt;&gt;"Entregado",0,IF($C614="","",VLOOKUP($C614,'DATA DE TARIFA'!$A$4:$C$68,2,FALSE)/1.18))</f>
        <v>8.474576271</v>
      </c>
      <c r="F614" s="19">
        <f>IF($C614="","",IF($D614="",0,VLOOKUP($C614,'DATA DE TARIFA'!$A$4:$C$68,3,FALSE)))</f>
        <v>4.5</v>
      </c>
      <c r="G614" s="66">
        <v>0.0</v>
      </c>
      <c r="H614" s="19">
        <f t="shared" si="1"/>
        <v>8.474576271</v>
      </c>
      <c r="I614" s="19">
        <f t="shared" si="2"/>
        <v>4.5</v>
      </c>
      <c r="J614" s="67"/>
      <c r="K614" s="44" t="str">
        <f>IF($B614="","",IFERROR(VLOOKUP($B614,Tiendas!$A$4:$B$176,2,FALSE),""))</f>
        <v>SANDRA</v>
      </c>
      <c r="L614" s="68" t="s">
        <v>296</v>
      </c>
      <c r="M614" s="44" t="str">
        <f>IF($B614="","",IFERROR(VLOOKUP($B614,Tiendas!$A$4:$I$176,9,FALSE),""))</f>
        <v>No</v>
      </c>
      <c r="N614" s="71">
        <f t="shared" si="3"/>
        <v>0</v>
      </c>
      <c r="O614" s="71">
        <f t="shared" si="4"/>
        <v>0</v>
      </c>
    </row>
    <row r="615" ht="15.75" customHeight="1">
      <c r="A615" s="17">
        <v>46023.0</v>
      </c>
      <c r="B615" s="44" t="s">
        <v>255</v>
      </c>
      <c r="C615" s="44" t="s">
        <v>65</v>
      </c>
      <c r="D615" s="45" t="s">
        <v>295</v>
      </c>
      <c r="E615" s="19">
        <f>IF($D615&lt;&gt;"Entregado",0,IF($C615="","",VLOOKUP($C615,'DATA DE TARIFA'!$A$4:$C$68,2,FALSE)/1.18))</f>
        <v>10.16949153</v>
      </c>
      <c r="F615" s="19">
        <f>IF($C615="","",IF($D615="",0,VLOOKUP($C615,'DATA DE TARIFA'!$A$4:$C$68,3,FALSE)))</f>
        <v>4.5</v>
      </c>
      <c r="G615" s="66">
        <v>0.0</v>
      </c>
      <c r="H615" s="19">
        <f t="shared" si="1"/>
        <v>10.16949153</v>
      </c>
      <c r="I615" s="19">
        <f t="shared" si="2"/>
        <v>4.5</v>
      </c>
      <c r="J615" s="67"/>
      <c r="K615" s="44" t="str">
        <f>IF($B615="","",IFERROR(VLOOKUP($B615,Tiendas!$A$4:$B$176,2,FALSE),""))</f>
        <v>SANDRA</v>
      </c>
      <c r="L615" s="68" t="s">
        <v>296</v>
      </c>
      <c r="M615" s="44" t="str">
        <f>IF($B615="","",IFERROR(VLOOKUP($B615,Tiendas!$A$4:$I$176,9,FALSE),""))</f>
        <v>No</v>
      </c>
      <c r="N615" s="71">
        <f t="shared" si="3"/>
        <v>0</v>
      </c>
      <c r="O615" s="71">
        <f t="shared" si="4"/>
        <v>0</v>
      </c>
    </row>
    <row r="616" ht="15.75" customHeight="1">
      <c r="A616" s="17">
        <v>46023.0</v>
      </c>
      <c r="B616" s="44" t="s">
        <v>255</v>
      </c>
      <c r="C616" s="44" t="s">
        <v>32</v>
      </c>
      <c r="D616" s="45" t="s">
        <v>295</v>
      </c>
      <c r="E616" s="19">
        <f>IF($D616&lt;&gt;"Entregado",0,IF($C616="","",VLOOKUP($C616,'DATA DE TARIFA'!$A$4:$C$68,2,FALSE)/1.18))</f>
        <v>8.474576271</v>
      </c>
      <c r="F616" s="19">
        <f>IF($C616="","",IF($D616="",0,VLOOKUP($C616,'DATA DE TARIFA'!$A$4:$C$68,3,FALSE)))</f>
        <v>4.5</v>
      </c>
      <c r="G616" s="66">
        <v>0.0</v>
      </c>
      <c r="H616" s="19">
        <f t="shared" si="1"/>
        <v>8.474576271</v>
      </c>
      <c r="I616" s="19">
        <f t="shared" si="2"/>
        <v>4.5</v>
      </c>
      <c r="J616" s="67"/>
      <c r="K616" s="44" t="str">
        <f>IF($B616="","",IFERROR(VLOOKUP($B616,Tiendas!$A$4:$B$176,2,FALSE),""))</f>
        <v>SANDRA</v>
      </c>
      <c r="L616" s="68" t="s">
        <v>296</v>
      </c>
      <c r="M616" s="44" t="str">
        <f>IF($B616="","",IFERROR(VLOOKUP($B616,Tiendas!$A$4:$I$176,9,FALSE),""))</f>
        <v>No</v>
      </c>
      <c r="N616" s="71">
        <f t="shared" si="3"/>
        <v>0</v>
      </c>
      <c r="O616" s="71">
        <f t="shared" si="4"/>
        <v>0</v>
      </c>
    </row>
    <row r="617" ht="15.75" customHeight="1">
      <c r="A617" s="17">
        <v>46023.0</v>
      </c>
      <c r="B617" s="44" t="s">
        <v>255</v>
      </c>
      <c r="C617" s="44" t="s">
        <v>32</v>
      </c>
      <c r="D617" s="45" t="s">
        <v>295</v>
      </c>
      <c r="E617" s="19">
        <f>IF($D617&lt;&gt;"Entregado",0,IF($C617="","",VLOOKUP($C617,'DATA DE TARIFA'!$A$4:$C$68,2,FALSE)/1.18))</f>
        <v>8.474576271</v>
      </c>
      <c r="F617" s="19">
        <f>IF($C617="","",IF($D617="",0,VLOOKUP($C617,'DATA DE TARIFA'!$A$4:$C$68,3,FALSE)))</f>
        <v>4.5</v>
      </c>
      <c r="G617" s="66">
        <v>0.0</v>
      </c>
      <c r="H617" s="19">
        <f t="shared" si="1"/>
        <v>8.474576271</v>
      </c>
      <c r="I617" s="19">
        <f t="shared" si="2"/>
        <v>4.5</v>
      </c>
      <c r="J617" s="67"/>
      <c r="K617" s="44" t="str">
        <f>IF($B617="","",IFERROR(VLOOKUP($B617,Tiendas!$A$4:$B$176,2,FALSE),""))</f>
        <v>SANDRA</v>
      </c>
      <c r="L617" s="68" t="s">
        <v>296</v>
      </c>
      <c r="M617" s="44" t="str">
        <f>IF($B617="","",IFERROR(VLOOKUP($B617,Tiendas!$A$4:$I$176,9,FALSE),""))</f>
        <v>No</v>
      </c>
      <c r="N617" s="71">
        <f t="shared" si="3"/>
        <v>0</v>
      </c>
      <c r="O617" s="71">
        <f t="shared" si="4"/>
        <v>0</v>
      </c>
    </row>
    <row r="618" ht="15.75" customHeight="1">
      <c r="A618" s="17">
        <v>46023.0</v>
      </c>
      <c r="B618" s="44" t="s">
        <v>241</v>
      </c>
      <c r="C618" s="44" t="s">
        <v>47</v>
      </c>
      <c r="D618" s="45" t="s">
        <v>295</v>
      </c>
      <c r="E618" s="19">
        <f>IF($D618&lt;&gt;"Entregado",0,IF($C618="","",VLOOKUP($C618,'DATA DE TARIFA'!$A$4:$C$68,2,FALSE)/1.18))</f>
        <v>10.16949153</v>
      </c>
      <c r="F618" s="19">
        <f>IF($C618="","",IF($D618="",0,VLOOKUP($C618,'DATA DE TARIFA'!$A$4:$C$68,3,FALSE)))</f>
        <v>5.5</v>
      </c>
      <c r="G618" s="66">
        <v>0.0</v>
      </c>
      <c r="H618" s="19">
        <f t="shared" si="1"/>
        <v>10.16949153</v>
      </c>
      <c r="I618" s="19">
        <f t="shared" si="2"/>
        <v>5.5</v>
      </c>
      <c r="J618" s="67"/>
      <c r="K618" s="44" t="str">
        <f>IF($B618="","",IFERROR(VLOOKUP($B618,Tiendas!$A$4:$B$176,2,FALSE),""))</f>
        <v>SANDRA</v>
      </c>
      <c r="L618" s="68" t="s">
        <v>296</v>
      </c>
      <c r="M618" s="44" t="str">
        <f>IF($B618="","",IFERROR(VLOOKUP($B618,Tiendas!$A$4:$I$176,9,FALSE),""))</f>
        <v>Si</v>
      </c>
      <c r="N618" s="71">
        <f t="shared" si="3"/>
        <v>0</v>
      </c>
      <c r="O618" s="71">
        <f t="shared" si="4"/>
        <v>0</v>
      </c>
    </row>
    <row r="619" ht="15.75" customHeight="1">
      <c r="A619" s="17">
        <v>46023.0</v>
      </c>
      <c r="B619" s="44" t="s">
        <v>241</v>
      </c>
      <c r="C619" s="44" t="s">
        <v>63</v>
      </c>
      <c r="D619" s="45" t="s">
        <v>295</v>
      </c>
      <c r="E619" s="19">
        <f>IF($D619&lt;&gt;"Entregado",0,IF($C619="","",VLOOKUP($C619,'DATA DE TARIFA'!$A$4:$C$68,2,FALSE)/1.18))</f>
        <v>8.474576271</v>
      </c>
      <c r="F619" s="19">
        <f>IF($C619="","",IF($D619="",0,VLOOKUP($C619,'DATA DE TARIFA'!$A$4:$C$68,3,FALSE)))</f>
        <v>4</v>
      </c>
      <c r="G619" s="66">
        <v>0.0</v>
      </c>
      <c r="H619" s="19">
        <f t="shared" si="1"/>
        <v>8.474576271</v>
      </c>
      <c r="I619" s="19">
        <f t="shared" si="2"/>
        <v>4</v>
      </c>
      <c r="J619" s="67"/>
      <c r="K619" s="44" t="str">
        <f>IF($B619="","",IFERROR(VLOOKUP($B619,Tiendas!$A$4:$B$176,2,FALSE),""))</f>
        <v>SANDRA</v>
      </c>
      <c r="L619" s="68" t="s">
        <v>296</v>
      </c>
      <c r="M619" s="44" t="str">
        <f>IF($B619="","",IFERROR(VLOOKUP($B619,Tiendas!$A$4:$I$176,9,FALSE),""))</f>
        <v>Si</v>
      </c>
      <c r="N619" s="71">
        <f t="shared" si="3"/>
        <v>0</v>
      </c>
      <c r="O619" s="71">
        <f t="shared" si="4"/>
        <v>0</v>
      </c>
    </row>
    <row r="620" ht="15.75" customHeight="1">
      <c r="A620" s="17">
        <v>46023.0</v>
      </c>
      <c r="B620" s="44" t="s">
        <v>241</v>
      </c>
      <c r="C620" s="44" t="s">
        <v>18</v>
      </c>
      <c r="D620" s="45" t="s">
        <v>295</v>
      </c>
      <c r="E620" s="19">
        <f>IF($D620&lt;&gt;"Entregado",0,IF($C620="","",VLOOKUP($C620,'DATA DE TARIFA'!$A$4:$C$68,2,FALSE)/1.18))</f>
        <v>10.16949153</v>
      </c>
      <c r="F620" s="19">
        <f>IF($C620="","",IF($D620="",0,VLOOKUP($C620,'DATA DE TARIFA'!$A$4:$C$68,3,FALSE)))</f>
        <v>4.5</v>
      </c>
      <c r="G620" s="66">
        <v>0.0</v>
      </c>
      <c r="H620" s="19">
        <f t="shared" si="1"/>
        <v>10.16949153</v>
      </c>
      <c r="I620" s="19">
        <f t="shared" si="2"/>
        <v>4.5</v>
      </c>
      <c r="J620" s="67"/>
      <c r="K620" s="44" t="str">
        <f>IF($B620="","",IFERROR(VLOOKUP($B620,Tiendas!$A$4:$B$176,2,FALSE),""))</f>
        <v>SANDRA</v>
      </c>
      <c r="L620" s="68" t="s">
        <v>296</v>
      </c>
      <c r="M620" s="44" t="str">
        <f>IF($B620="","",IFERROR(VLOOKUP($B620,Tiendas!$A$4:$I$176,9,FALSE),""))</f>
        <v>Si</v>
      </c>
      <c r="N620" s="71">
        <f t="shared" si="3"/>
        <v>0</v>
      </c>
      <c r="O620" s="71">
        <f t="shared" si="4"/>
        <v>0</v>
      </c>
    </row>
    <row r="621" ht="15.75" customHeight="1">
      <c r="A621" s="17">
        <v>46023.0</v>
      </c>
      <c r="B621" s="44" t="s">
        <v>241</v>
      </c>
      <c r="C621" s="44" t="s">
        <v>51</v>
      </c>
      <c r="D621" s="45" t="s">
        <v>295</v>
      </c>
      <c r="E621" s="19">
        <f>IF($D621&lt;&gt;"Entregado",0,IF($C621="","",VLOOKUP($C621,'DATA DE TARIFA'!$A$4:$C$68,2,FALSE)/1.18))</f>
        <v>10.16949153</v>
      </c>
      <c r="F621" s="19">
        <f>IF($C621="","",IF($D621="",0,VLOOKUP($C621,'DATA DE TARIFA'!$A$4:$C$68,3,FALSE)))</f>
        <v>5.5</v>
      </c>
      <c r="G621" s="66">
        <v>0.0</v>
      </c>
      <c r="H621" s="19">
        <f t="shared" si="1"/>
        <v>10.16949153</v>
      </c>
      <c r="I621" s="19">
        <f t="shared" si="2"/>
        <v>5.5</v>
      </c>
      <c r="J621" s="67"/>
      <c r="K621" s="44" t="str">
        <f>IF($B621="","",IFERROR(VLOOKUP($B621,Tiendas!$A$4:$B$176,2,FALSE),""))</f>
        <v>SANDRA</v>
      </c>
      <c r="L621" s="68" t="s">
        <v>296</v>
      </c>
      <c r="M621" s="44" t="str">
        <f>IF($B621="","",IFERROR(VLOOKUP($B621,Tiendas!$A$4:$I$176,9,FALSE),""))</f>
        <v>Si</v>
      </c>
      <c r="N621" s="71">
        <f t="shared" si="3"/>
        <v>0</v>
      </c>
      <c r="O621" s="71">
        <f t="shared" si="4"/>
        <v>0</v>
      </c>
    </row>
    <row r="622" ht="15.75" customHeight="1">
      <c r="A622" s="17">
        <v>46023.0</v>
      </c>
      <c r="B622" s="44" t="s">
        <v>241</v>
      </c>
      <c r="C622" s="44" t="s">
        <v>44</v>
      </c>
      <c r="D622" s="45" t="s">
        <v>295</v>
      </c>
      <c r="E622" s="19">
        <f>IF($D622&lt;&gt;"Entregado",0,IF($C622="","",VLOOKUP($C622,'DATA DE TARIFA'!$A$4:$C$68,2,FALSE)/1.18))</f>
        <v>10.16949153</v>
      </c>
      <c r="F622" s="19">
        <f>IF($C622="","",IF($D622="",0,VLOOKUP($C622,'DATA DE TARIFA'!$A$4:$C$68,3,FALSE)))</f>
        <v>5.5</v>
      </c>
      <c r="G622" s="66">
        <v>0.0</v>
      </c>
      <c r="H622" s="19">
        <f t="shared" si="1"/>
        <v>10.16949153</v>
      </c>
      <c r="I622" s="19">
        <f t="shared" si="2"/>
        <v>5.5</v>
      </c>
      <c r="J622" s="67"/>
      <c r="K622" s="44" t="str">
        <f>IF($B622="","",IFERROR(VLOOKUP($B622,Tiendas!$A$4:$B$176,2,FALSE),""))</f>
        <v>SANDRA</v>
      </c>
      <c r="L622" s="68" t="s">
        <v>296</v>
      </c>
      <c r="M622" s="44" t="str">
        <f>IF($B622="","",IFERROR(VLOOKUP($B622,Tiendas!$A$4:$I$176,9,FALSE),""))</f>
        <v>Si</v>
      </c>
      <c r="N622" s="71">
        <f t="shared" si="3"/>
        <v>0</v>
      </c>
      <c r="O622" s="71">
        <f t="shared" si="4"/>
        <v>0</v>
      </c>
    </row>
    <row r="623" ht="15.75" customHeight="1">
      <c r="A623" s="17">
        <v>46023.0</v>
      </c>
      <c r="B623" s="44" t="s">
        <v>241</v>
      </c>
      <c r="C623" s="44" t="s">
        <v>69</v>
      </c>
      <c r="D623" s="45" t="s">
        <v>295</v>
      </c>
      <c r="E623" s="19">
        <f>IF($D623&lt;&gt;"Entregado",0,IF($C623="","",VLOOKUP($C623,'DATA DE TARIFA'!$A$4:$C$68,2,FALSE)/1.18))</f>
        <v>8.474576271</v>
      </c>
      <c r="F623" s="19">
        <f>IF($C623="","",IF($D623="",0,VLOOKUP($C623,'DATA DE TARIFA'!$A$4:$C$68,3,FALSE)))</f>
        <v>4</v>
      </c>
      <c r="G623" s="66">
        <v>0.0</v>
      </c>
      <c r="H623" s="19">
        <f t="shared" si="1"/>
        <v>8.474576271</v>
      </c>
      <c r="I623" s="19">
        <f t="shared" si="2"/>
        <v>4</v>
      </c>
      <c r="J623" s="67"/>
      <c r="K623" s="44" t="str">
        <f>IF($B623="","",IFERROR(VLOOKUP($B623,Tiendas!$A$4:$B$176,2,FALSE),""))</f>
        <v>SANDRA</v>
      </c>
      <c r="L623" s="68" t="s">
        <v>296</v>
      </c>
      <c r="M623" s="44" t="str">
        <f>IF($B623="","",IFERROR(VLOOKUP($B623,Tiendas!$A$4:$I$176,9,FALSE),""))</f>
        <v>Si</v>
      </c>
      <c r="N623" s="71">
        <f t="shared" si="3"/>
        <v>0</v>
      </c>
      <c r="O623" s="71">
        <f t="shared" si="4"/>
        <v>0</v>
      </c>
    </row>
    <row r="624" ht="15.75" customHeight="1">
      <c r="A624" s="17">
        <v>46023.0</v>
      </c>
      <c r="B624" s="44" t="s">
        <v>241</v>
      </c>
      <c r="C624" s="44" t="s">
        <v>57</v>
      </c>
      <c r="D624" s="45" t="s">
        <v>295</v>
      </c>
      <c r="E624" s="19">
        <f>IF($D624&lt;&gt;"Entregado",0,IF($C624="","",VLOOKUP($C624,'DATA DE TARIFA'!$A$4:$C$68,2,FALSE)/1.18))</f>
        <v>8.474576271</v>
      </c>
      <c r="F624" s="19">
        <f>IF($C624="","",IF($D624="",0,VLOOKUP($C624,'DATA DE TARIFA'!$A$4:$C$68,3,FALSE)))</f>
        <v>4.5</v>
      </c>
      <c r="G624" s="66">
        <v>0.0</v>
      </c>
      <c r="H624" s="19">
        <f t="shared" si="1"/>
        <v>8.474576271</v>
      </c>
      <c r="I624" s="19">
        <f t="shared" si="2"/>
        <v>4.5</v>
      </c>
      <c r="J624" s="67"/>
      <c r="K624" s="44" t="str">
        <f>IF($B624="","",IFERROR(VLOOKUP($B624,Tiendas!$A$4:$B$176,2,FALSE),""))</f>
        <v>SANDRA</v>
      </c>
      <c r="L624" s="68" t="s">
        <v>296</v>
      </c>
      <c r="M624" s="44" t="str">
        <f>IF($B624="","",IFERROR(VLOOKUP($B624,Tiendas!$A$4:$I$176,9,FALSE),""))</f>
        <v>Si</v>
      </c>
      <c r="N624" s="71">
        <f t="shared" si="3"/>
        <v>0</v>
      </c>
      <c r="O624" s="71">
        <f t="shared" si="4"/>
        <v>0</v>
      </c>
    </row>
    <row r="625" ht="15.75" customHeight="1">
      <c r="A625" s="17">
        <v>46023.0</v>
      </c>
      <c r="B625" s="44" t="s">
        <v>241</v>
      </c>
      <c r="C625" s="44" t="s">
        <v>80</v>
      </c>
      <c r="D625" s="45" t="s">
        <v>295</v>
      </c>
      <c r="E625" s="19">
        <f>IF($D625&lt;&gt;"Entregado",0,IF($C625="","",VLOOKUP($C625,'DATA DE TARIFA'!$A$4:$C$68,2,FALSE)/1.18))</f>
        <v>11.86440678</v>
      </c>
      <c r="F625" s="19">
        <f>IF($C625="","",IF($D625="",0,VLOOKUP($C625,'DATA DE TARIFA'!$A$4:$C$68,3,FALSE)))</f>
        <v>7.5</v>
      </c>
      <c r="G625" s="66">
        <v>0.0</v>
      </c>
      <c r="H625" s="19">
        <f t="shared" si="1"/>
        <v>11.86440678</v>
      </c>
      <c r="I625" s="19">
        <f t="shared" si="2"/>
        <v>7.5</v>
      </c>
      <c r="J625" s="67"/>
      <c r="K625" s="44" t="str">
        <f>IF($B625="","",IFERROR(VLOOKUP($B625,Tiendas!$A$4:$B$176,2,FALSE),""))</f>
        <v>SANDRA</v>
      </c>
      <c r="L625" s="68" t="s">
        <v>296</v>
      </c>
      <c r="M625" s="44" t="str">
        <f>IF($B625="","",IFERROR(VLOOKUP($B625,Tiendas!$A$4:$I$176,9,FALSE),""))</f>
        <v>Si</v>
      </c>
      <c r="N625" s="71">
        <f t="shared" si="3"/>
        <v>0</v>
      </c>
      <c r="O625" s="71">
        <f t="shared" si="4"/>
        <v>0</v>
      </c>
    </row>
    <row r="626" ht="15.75" customHeight="1">
      <c r="A626" s="17">
        <v>46023.0</v>
      </c>
      <c r="B626" s="44" t="s">
        <v>241</v>
      </c>
      <c r="C626" s="44" t="s">
        <v>42</v>
      </c>
      <c r="D626" s="45" t="s">
        <v>295</v>
      </c>
      <c r="E626" s="19">
        <f>IF($D626&lt;&gt;"Entregado",0,IF($C626="","",VLOOKUP($C626,'DATA DE TARIFA'!$A$4:$C$68,2,FALSE)/1.18))</f>
        <v>8.474576271</v>
      </c>
      <c r="F626" s="19">
        <f>IF($C626="","",IF($D626="",0,VLOOKUP($C626,'DATA DE TARIFA'!$A$4:$C$68,3,FALSE)))</f>
        <v>4</v>
      </c>
      <c r="G626" s="66">
        <v>0.0</v>
      </c>
      <c r="H626" s="19">
        <f t="shared" si="1"/>
        <v>8.474576271</v>
      </c>
      <c r="I626" s="19">
        <f t="shared" si="2"/>
        <v>4</v>
      </c>
      <c r="J626" s="67"/>
      <c r="K626" s="44" t="str">
        <f>IF($B626="","",IFERROR(VLOOKUP($B626,Tiendas!$A$4:$B$176,2,FALSE),""))</f>
        <v>SANDRA</v>
      </c>
      <c r="L626" s="68" t="s">
        <v>296</v>
      </c>
      <c r="M626" s="44" t="str">
        <f>IF($B626="","",IFERROR(VLOOKUP($B626,Tiendas!$A$4:$I$176,9,FALSE),""))</f>
        <v>Si</v>
      </c>
      <c r="N626" s="71">
        <f t="shared" si="3"/>
        <v>0</v>
      </c>
      <c r="O626" s="71">
        <f t="shared" si="4"/>
        <v>0</v>
      </c>
    </row>
    <row r="627" ht="15.75" customHeight="1">
      <c r="A627" s="17">
        <v>46023.0</v>
      </c>
      <c r="B627" s="44" t="s">
        <v>241</v>
      </c>
      <c r="C627" s="44" t="s">
        <v>32</v>
      </c>
      <c r="D627" s="45" t="s">
        <v>295</v>
      </c>
      <c r="E627" s="19">
        <f>IF($D627&lt;&gt;"Entregado",0,IF($C627="","",VLOOKUP($C627,'DATA DE TARIFA'!$A$4:$C$68,2,FALSE)/1.18))</f>
        <v>8.474576271</v>
      </c>
      <c r="F627" s="19">
        <f>IF($C627="","",IF($D627="",0,VLOOKUP($C627,'DATA DE TARIFA'!$A$4:$C$68,3,FALSE)))</f>
        <v>4.5</v>
      </c>
      <c r="G627" s="66">
        <v>0.0</v>
      </c>
      <c r="H627" s="19">
        <f t="shared" si="1"/>
        <v>8.474576271</v>
      </c>
      <c r="I627" s="19">
        <f t="shared" si="2"/>
        <v>4.5</v>
      </c>
      <c r="J627" s="67"/>
      <c r="K627" s="44" t="str">
        <f>IF($B627="","",IFERROR(VLOOKUP($B627,Tiendas!$A$4:$B$176,2,FALSE),""))</f>
        <v>SANDRA</v>
      </c>
      <c r="L627" s="68" t="s">
        <v>296</v>
      </c>
      <c r="M627" s="44" t="str">
        <f>IF($B627="","",IFERROR(VLOOKUP($B627,Tiendas!$A$4:$I$176,9,FALSE),""))</f>
        <v>Si</v>
      </c>
      <c r="N627" s="71">
        <f t="shared" si="3"/>
        <v>0</v>
      </c>
      <c r="O627" s="71">
        <f t="shared" si="4"/>
        <v>0</v>
      </c>
    </row>
    <row r="628" ht="15.75" customHeight="1">
      <c r="A628" s="17">
        <v>46023.0</v>
      </c>
      <c r="B628" s="44" t="s">
        <v>241</v>
      </c>
      <c r="C628" s="44" t="s">
        <v>44</v>
      </c>
      <c r="D628" s="45" t="s">
        <v>295</v>
      </c>
      <c r="E628" s="19">
        <f>IF($D628&lt;&gt;"Entregado",0,IF($C628="","",VLOOKUP($C628,'DATA DE TARIFA'!$A$4:$C$68,2,FALSE)/1.18))</f>
        <v>10.16949153</v>
      </c>
      <c r="F628" s="19">
        <f>IF($C628="","",IF($D628="",0,VLOOKUP($C628,'DATA DE TARIFA'!$A$4:$C$68,3,FALSE)))</f>
        <v>5.5</v>
      </c>
      <c r="G628" s="66">
        <v>0.0</v>
      </c>
      <c r="H628" s="19">
        <f t="shared" si="1"/>
        <v>10.16949153</v>
      </c>
      <c r="I628" s="19">
        <f t="shared" si="2"/>
        <v>5.5</v>
      </c>
      <c r="J628" s="67"/>
      <c r="K628" s="44" t="str">
        <f>IF($B628="","",IFERROR(VLOOKUP($B628,Tiendas!$A$4:$B$176,2,FALSE),""))</f>
        <v>SANDRA</v>
      </c>
      <c r="L628" s="68" t="s">
        <v>296</v>
      </c>
      <c r="M628" s="44" t="str">
        <f>IF($B628="","",IFERROR(VLOOKUP($B628,Tiendas!$A$4:$I$176,9,FALSE),""))</f>
        <v>Si</v>
      </c>
      <c r="N628" s="71">
        <f t="shared" si="3"/>
        <v>0</v>
      </c>
      <c r="O628" s="71">
        <f t="shared" si="4"/>
        <v>0</v>
      </c>
    </row>
    <row r="629" ht="15.75" customHeight="1">
      <c r="A629" s="17">
        <v>46023.0</v>
      </c>
      <c r="B629" s="44" t="s">
        <v>213</v>
      </c>
      <c r="C629" s="44" t="s">
        <v>23</v>
      </c>
      <c r="D629" s="45" t="s">
        <v>295</v>
      </c>
      <c r="E629" s="19">
        <f>IF($D629&lt;&gt;"Entregado",0,IF($C629="","",VLOOKUP($C629,'DATA DE TARIFA'!$A$4:$C$68,2,FALSE)/1.18))</f>
        <v>8.474576271</v>
      </c>
      <c r="F629" s="19">
        <f>IF($C629="","",IF($D629="",0,VLOOKUP($C629,'DATA DE TARIFA'!$A$4:$C$68,3,FALSE)))</f>
        <v>4.5</v>
      </c>
      <c r="G629" s="66">
        <v>0.0</v>
      </c>
      <c r="H629" s="19">
        <f t="shared" si="1"/>
        <v>8.474576271</v>
      </c>
      <c r="I629" s="19">
        <f t="shared" si="2"/>
        <v>4.5</v>
      </c>
      <c r="J629" s="67"/>
      <c r="K629" s="44" t="str">
        <f>IF($B629="","",IFERROR(VLOOKUP($B629,Tiendas!$A$4:$B$176,2,FALSE),""))</f>
        <v>SANDRA</v>
      </c>
      <c r="L629" s="68" t="s">
        <v>296</v>
      </c>
      <c r="M629" s="44" t="str">
        <f>IF($B629="","",IFERROR(VLOOKUP($B629,Tiendas!$A$4:$I$176,9,FALSE),""))</f>
        <v>No</v>
      </c>
      <c r="N629" s="71">
        <f t="shared" si="3"/>
        <v>0</v>
      </c>
      <c r="O629" s="71">
        <f t="shared" si="4"/>
        <v>0</v>
      </c>
    </row>
    <row r="630" ht="15.75" customHeight="1">
      <c r="A630" s="17">
        <v>46023.0</v>
      </c>
      <c r="B630" s="44" t="s">
        <v>213</v>
      </c>
      <c r="C630" s="44" t="s">
        <v>70</v>
      </c>
      <c r="D630" s="45" t="s">
        <v>295</v>
      </c>
      <c r="E630" s="19">
        <f>IF($D630&lt;&gt;"Entregado",0,IF($C630="","",VLOOKUP($C630,'DATA DE TARIFA'!$A$4:$C$68,2,FALSE)/1.18))</f>
        <v>8.474576271</v>
      </c>
      <c r="F630" s="19">
        <f>IF($C630="","",IF($D630="",0,VLOOKUP($C630,'DATA DE TARIFA'!$A$4:$C$68,3,FALSE)))</f>
        <v>4</v>
      </c>
      <c r="G630" s="66">
        <v>0.0</v>
      </c>
      <c r="H630" s="19">
        <f t="shared" si="1"/>
        <v>8.474576271</v>
      </c>
      <c r="I630" s="19">
        <f t="shared" si="2"/>
        <v>4</v>
      </c>
      <c r="J630" s="67"/>
      <c r="K630" s="44" t="str">
        <f>IF($B630="","",IFERROR(VLOOKUP($B630,Tiendas!$A$4:$B$176,2,FALSE),""))</f>
        <v>SANDRA</v>
      </c>
      <c r="L630" s="68" t="s">
        <v>296</v>
      </c>
      <c r="M630" s="44" t="str">
        <f>IF($B630="","",IFERROR(VLOOKUP($B630,Tiendas!$A$4:$I$176,9,FALSE),""))</f>
        <v>No</v>
      </c>
      <c r="N630" s="71">
        <f t="shared" si="3"/>
        <v>0</v>
      </c>
      <c r="O630" s="71">
        <f t="shared" si="4"/>
        <v>0</v>
      </c>
    </row>
    <row r="631" ht="15.75" customHeight="1">
      <c r="A631" s="17">
        <v>46023.0</v>
      </c>
      <c r="B631" s="44" t="s">
        <v>213</v>
      </c>
      <c r="C631" s="44" t="s">
        <v>49</v>
      </c>
      <c r="D631" s="45" t="s">
        <v>295</v>
      </c>
      <c r="E631" s="19">
        <f>IF($D631&lt;&gt;"Entregado",0,IF($C631="","",VLOOKUP($C631,'DATA DE TARIFA'!$A$4:$C$68,2,FALSE)/1.18))</f>
        <v>10.16949153</v>
      </c>
      <c r="F631" s="19">
        <f>IF($C631="","",IF($D631="",0,VLOOKUP($C631,'DATA DE TARIFA'!$A$4:$C$68,3,FALSE)))</f>
        <v>5.5</v>
      </c>
      <c r="G631" s="66">
        <v>0.0</v>
      </c>
      <c r="H631" s="19">
        <f t="shared" si="1"/>
        <v>10.16949153</v>
      </c>
      <c r="I631" s="19">
        <f t="shared" si="2"/>
        <v>5.5</v>
      </c>
      <c r="J631" s="67"/>
      <c r="K631" s="44" t="str">
        <f>IF($B631="","",IFERROR(VLOOKUP($B631,Tiendas!$A$4:$B$176,2,FALSE),""))</f>
        <v>SANDRA</v>
      </c>
      <c r="L631" s="68" t="s">
        <v>296</v>
      </c>
      <c r="M631" s="44" t="str">
        <f>IF($B631="","",IFERROR(VLOOKUP($B631,Tiendas!$A$4:$I$176,9,FALSE),""))</f>
        <v>No</v>
      </c>
      <c r="N631" s="71">
        <f t="shared" si="3"/>
        <v>0</v>
      </c>
      <c r="O631" s="71">
        <f t="shared" si="4"/>
        <v>0</v>
      </c>
    </row>
    <row r="632" ht="15.75" customHeight="1">
      <c r="A632" s="17">
        <v>46023.0</v>
      </c>
      <c r="B632" s="44" t="s">
        <v>213</v>
      </c>
      <c r="C632" s="44" t="s">
        <v>34</v>
      </c>
      <c r="D632" s="45" t="s">
        <v>295</v>
      </c>
      <c r="E632" s="19">
        <f>IF($D632&lt;&gt;"Entregado",0,IF($C632="","",VLOOKUP($C632,'DATA DE TARIFA'!$A$4:$C$68,2,FALSE)/1.18))</f>
        <v>10.16949153</v>
      </c>
      <c r="F632" s="19">
        <f>IF($C632="","",IF($D632="",0,VLOOKUP($C632,'DATA DE TARIFA'!$A$4:$C$68,3,FALSE)))</f>
        <v>4.5</v>
      </c>
      <c r="G632" s="66">
        <v>0.0</v>
      </c>
      <c r="H632" s="19">
        <f t="shared" si="1"/>
        <v>10.16949153</v>
      </c>
      <c r="I632" s="19">
        <f t="shared" si="2"/>
        <v>4.5</v>
      </c>
      <c r="J632" s="67"/>
      <c r="K632" s="44" t="str">
        <f>IF($B632="","",IFERROR(VLOOKUP($B632,Tiendas!$A$4:$B$176,2,FALSE),""))</f>
        <v>SANDRA</v>
      </c>
      <c r="L632" s="68" t="s">
        <v>296</v>
      </c>
      <c r="M632" s="44" t="str">
        <f>IF($B632="","",IFERROR(VLOOKUP($B632,Tiendas!$A$4:$I$176,9,FALSE),""))</f>
        <v>No</v>
      </c>
      <c r="N632" s="71">
        <f t="shared" si="3"/>
        <v>0</v>
      </c>
      <c r="O632" s="71">
        <f t="shared" si="4"/>
        <v>0</v>
      </c>
    </row>
    <row r="633" ht="15.75" customHeight="1">
      <c r="A633" s="17">
        <v>46023.0</v>
      </c>
      <c r="B633" s="44" t="s">
        <v>213</v>
      </c>
      <c r="C633" s="44" t="s">
        <v>34</v>
      </c>
      <c r="D633" s="45" t="s">
        <v>295</v>
      </c>
      <c r="E633" s="19">
        <f>IF($D633&lt;&gt;"Entregado",0,IF($C633="","",VLOOKUP($C633,'DATA DE TARIFA'!$A$4:$C$68,2,FALSE)/1.18))</f>
        <v>10.16949153</v>
      </c>
      <c r="F633" s="19">
        <f>IF($C633="","",IF($D633="",0,VLOOKUP($C633,'DATA DE TARIFA'!$A$4:$C$68,3,FALSE)))</f>
        <v>4.5</v>
      </c>
      <c r="G633" s="66">
        <v>1.0</v>
      </c>
      <c r="H633" s="19">
        <f t="shared" si="1"/>
        <v>10.16949153</v>
      </c>
      <c r="I633" s="19">
        <f t="shared" si="2"/>
        <v>5.5</v>
      </c>
      <c r="J633" s="67"/>
      <c r="K633" s="44" t="str">
        <f>IF($B633="","",IFERROR(VLOOKUP($B633,Tiendas!$A$4:$B$176,2,FALSE),""))</f>
        <v>SANDRA</v>
      </c>
      <c r="L633" s="68" t="s">
        <v>296</v>
      </c>
      <c r="M633" s="44" t="str">
        <f>IF($B633="","",IFERROR(VLOOKUP($B633,Tiendas!$A$4:$I$176,9,FALSE),""))</f>
        <v>No</v>
      </c>
      <c r="N633" s="71">
        <f t="shared" si="3"/>
        <v>0</v>
      </c>
      <c r="O633" s="71">
        <f t="shared" si="4"/>
        <v>0</v>
      </c>
    </row>
    <row r="634" ht="15.75" customHeight="1">
      <c r="A634" s="17">
        <v>46023.0</v>
      </c>
      <c r="B634" s="44" t="s">
        <v>213</v>
      </c>
      <c r="C634" s="44" t="s">
        <v>32</v>
      </c>
      <c r="D634" s="45" t="s">
        <v>295</v>
      </c>
      <c r="E634" s="19">
        <f>IF($D634&lt;&gt;"Entregado",0,IF($C634="","",VLOOKUP($C634,'DATA DE TARIFA'!$A$4:$C$68,2,FALSE)/1.18))</f>
        <v>8.474576271</v>
      </c>
      <c r="F634" s="19">
        <f>IF($C634="","",IF($D634="",0,VLOOKUP($C634,'DATA DE TARIFA'!$A$4:$C$68,3,FALSE)))</f>
        <v>4.5</v>
      </c>
      <c r="G634" s="66">
        <v>0.0</v>
      </c>
      <c r="H634" s="19">
        <f t="shared" si="1"/>
        <v>8.474576271</v>
      </c>
      <c r="I634" s="19">
        <f t="shared" si="2"/>
        <v>4.5</v>
      </c>
      <c r="J634" s="67"/>
      <c r="K634" s="44" t="str">
        <f>IF($B634="","",IFERROR(VLOOKUP($B634,Tiendas!$A$4:$B$176,2,FALSE),""))</f>
        <v>SANDRA</v>
      </c>
      <c r="L634" s="68" t="s">
        <v>296</v>
      </c>
      <c r="M634" s="44" t="str">
        <f>IF($B634="","",IFERROR(VLOOKUP($B634,Tiendas!$A$4:$I$176,9,FALSE),""))</f>
        <v>No</v>
      </c>
      <c r="N634" s="71">
        <f t="shared" si="3"/>
        <v>0</v>
      </c>
      <c r="O634" s="71">
        <f t="shared" si="4"/>
        <v>0</v>
      </c>
    </row>
    <row r="635" ht="15.75" customHeight="1">
      <c r="A635" s="17">
        <v>46023.0</v>
      </c>
      <c r="B635" s="44" t="s">
        <v>213</v>
      </c>
      <c r="C635" s="44" t="s">
        <v>58</v>
      </c>
      <c r="D635" s="45" t="s">
        <v>295</v>
      </c>
      <c r="E635" s="19">
        <f>IF($D635&lt;&gt;"Entregado",0,IF($C635="","",VLOOKUP($C635,'DATA DE TARIFA'!$A$4:$C$68,2,FALSE)/1.18))</f>
        <v>8.474576271</v>
      </c>
      <c r="F635" s="19">
        <f>IF($C635="","",IF($D635="",0,VLOOKUP($C635,'DATA DE TARIFA'!$A$4:$C$68,3,FALSE)))</f>
        <v>4</v>
      </c>
      <c r="G635" s="66">
        <v>0.0</v>
      </c>
      <c r="H635" s="19">
        <f t="shared" si="1"/>
        <v>8.474576271</v>
      </c>
      <c r="I635" s="19">
        <f t="shared" si="2"/>
        <v>4</v>
      </c>
      <c r="J635" s="67"/>
      <c r="K635" s="44" t="str">
        <f>IF($B635="","",IFERROR(VLOOKUP($B635,Tiendas!$A$4:$B$176,2,FALSE),""))</f>
        <v>SANDRA</v>
      </c>
      <c r="L635" s="68" t="s">
        <v>296</v>
      </c>
      <c r="M635" s="44" t="str">
        <f>IF($B635="","",IFERROR(VLOOKUP($B635,Tiendas!$A$4:$I$176,9,FALSE),""))</f>
        <v>No</v>
      </c>
      <c r="N635" s="71">
        <f t="shared" si="3"/>
        <v>0</v>
      </c>
      <c r="O635" s="71">
        <f t="shared" si="4"/>
        <v>0</v>
      </c>
    </row>
    <row r="636" ht="15.75" customHeight="1">
      <c r="A636" s="17">
        <v>46023.0</v>
      </c>
      <c r="B636" s="44" t="s">
        <v>213</v>
      </c>
      <c r="C636" s="44" t="s">
        <v>34</v>
      </c>
      <c r="D636" s="45" t="s">
        <v>295</v>
      </c>
      <c r="E636" s="19">
        <f>IF($D636&lt;&gt;"Entregado",0,IF($C636="","",VLOOKUP($C636,'DATA DE TARIFA'!$A$4:$C$68,2,FALSE)/1.18))</f>
        <v>10.16949153</v>
      </c>
      <c r="F636" s="19">
        <f>IF($C636="","",IF($D636="",0,VLOOKUP($C636,'DATA DE TARIFA'!$A$4:$C$68,3,FALSE)))</f>
        <v>4.5</v>
      </c>
      <c r="G636" s="66">
        <v>0.0</v>
      </c>
      <c r="H636" s="19">
        <f t="shared" si="1"/>
        <v>10.16949153</v>
      </c>
      <c r="I636" s="19">
        <f t="shared" si="2"/>
        <v>4.5</v>
      </c>
      <c r="J636" s="67"/>
      <c r="K636" s="44" t="str">
        <f>IF($B636="","",IFERROR(VLOOKUP($B636,Tiendas!$A$4:$B$176,2,FALSE),""))</f>
        <v>SANDRA</v>
      </c>
      <c r="L636" s="68" t="s">
        <v>296</v>
      </c>
      <c r="M636" s="44" t="str">
        <f>IF($B636="","",IFERROR(VLOOKUP($B636,Tiendas!$A$4:$I$176,9,FALSE),""))</f>
        <v>No</v>
      </c>
      <c r="N636" s="71">
        <f t="shared" si="3"/>
        <v>0</v>
      </c>
      <c r="O636" s="71">
        <f t="shared" si="4"/>
        <v>0</v>
      </c>
    </row>
    <row r="637" ht="15.75" customHeight="1">
      <c r="A637" s="17">
        <v>46023.0</v>
      </c>
      <c r="B637" s="44" t="s">
        <v>213</v>
      </c>
      <c r="C637" s="44" t="s">
        <v>32</v>
      </c>
      <c r="D637" s="45" t="s">
        <v>295</v>
      </c>
      <c r="E637" s="19">
        <f>IF($D637&lt;&gt;"Entregado",0,IF($C637="","",VLOOKUP($C637,'DATA DE TARIFA'!$A$4:$C$68,2,FALSE)/1.18))</f>
        <v>8.474576271</v>
      </c>
      <c r="F637" s="19">
        <f>IF($C637="","",IF($D637="",0,VLOOKUP($C637,'DATA DE TARIFA'!$A$4:$C$68,3,FALSE)))</f>
        <v>4.5</v>
      </c>
      <c r="G637" s="66">
        <v>0.0</v>
      </c>
      <c r="H637" s="19">
        <f t="shared" si="1"/>
        <v>8.474576271</v>
      </c>
      <c r="I637" s="19">
        <f t="shared" si="2"/>
        <v>4.5</v>
      </c>
      <c r="J637" s="67"/>
      <c r="K637" s="44" t="str">
        <f>IF($B637="","",IFERROR(VLOOKUP($B637,Tiendas!$A$4:$B$176,2,FALSE),""))</f>
        <v>SANDRA</v>
      </c>
      <c r="L637" s="68" t="s">
        <v>296</v>
      </c>
      <c r="M637" s="44" t="str">
        <f>IF($B637="","",IFERROR(VLOOKUP($B637,Tiendas!$A$4:$I$176,9,FALSE),""))</f>
        <v>No</v>
      </c>
      <c r="N637" s="71">
        <f t="shared" si="3"/>
        <v>0</v>
      </c>
      <c r="O637" s="71">
        <f t="shared" si="4"/>
        <v>0</v>
      </c>
    </row>
    <row r="638" ht="15.75" customHeight="1">
      <c r="A638" s="17">
        <v>46023.0</v>
      </c>
      <c r="B638" s="44" t="s">
        <v>213</v>
      </c>
      <c r="C638" s="44" t="s">
        <v>69</v>
      </c>
      <c r="D638" s="45" t="s">
        <v>295</v>
      </c>
      <c r="E638" s="19">
        <f>IF($D638&lt;&gt;"Entregado",0,IF($C638="","",VLOOKUP($C638,'DATA DE TARIFA'!$A$4:$C$68,2,FALSE)/1.18))</f>
        <v>8.474576271</v>
      </c>
      <c r="F638" s="19">
        <f>IF($C638="","",IF($D638="",0,VLOOKUP($C638,'DATA DE TARIFA'!$A$4:$C$68,3,FALSE)))</f>
        <v>4</v>
      </c>
      <c r="G638" s="66">
        <v>0.0</v>
      </c>
      <c r="H638" s="19">
        <f t="shared" si="1"/>
        <v>8.474576271</v>
      </c>
      <c r="I638" s="19">
        <f t="shared" si="2"/>
        <v>4</v>
      </c>
      <c r="J638" s="67"/>
      <c r="K638" s="44" t="str">
        <f>IF($B638="","",IFERROR(VLOOKUP($B638,Tiendas!$A$4:$B$176,2,FALSE),""))</f>
        <v>SANDRA</v>
      </c>
      <c r="L638" s="68" t="s">
        <v>296</v>
      </c>
      <c r="M638" s="44" t="str">
        <f>IF($B638="","",IFERROR(VLOOKUP($B638,Tiendas!$A$4:$I$176,9,FALSE),""))</f>
        <v>No</v>
      </c>
      <c r="N638" s="71">
        <f t="shared" si="3"/>
        <v>0</v>
      </c>
      <c r="O638" s="71">
        <f t="shared" si="4"/>
        <v>0</v>
      </c>
    </row>
    <row r="639" ht="15.75" customHeight="1">
      <c r="A639" s="17">
        <v>46023.0</v>
      </c>
      <c r="B639" s="58" t="s">
        <v>232</v>
      </c>
      <c r="C639" s="44" t="s">
        <v>36</v>
      </c>
      <c r="D639" s="45" t="s">
        <v>295</v>
      </c>
      <c r="E639" s="19">
        <f>IF($D639&lt;&gt;"Entregado",0,IF($C639="","",VLOOKUP($C639,'DATA DE TARIFA'!$A$4:$C$68,2,FALSE)/1.18))</f>
        <v>10.16949153</v>
      </c>
      <c r="F639" s="19">
        <f>IF($C639="","",IF($D639="",0,VLOOKUP($C639,'DATA DE TARIFA'!$A$4:$C$68,3,FALSE)))</f>
        <v>4.5</v>
      </c>
      <c r="G639" s="66">
        <v>0.0</v>
      </c>
      <c r="H639" s="19">
        <f t="shared" si="1"/>
        <v>10.16949153</v>
      </c>
      <c r="I639" s="19">
        <f t="shared" si="2"/>
        <v>4.5</v>
      </c>
      <c r="J639" s="67"/>
      <c r="K639" s="44" t="str">
        <f>IF($B639="","",IFERROR(VLOOKUP($B639,Tiendas!$A$4:$B$176,2,FALSE),""))</f>
        <v>SANDRA</v>
      </c>
      <c r="L639" s="68" t="s">
        <v>296</v>
      </c>
      <c r="M639" s="44" t="str">
        <f>IF($B639="","",IFERROR(VLOOKUP($B639,Tiendas!$A$4:$I$176,9,FALSE),""))</f>
        <v>No</v>
      </c>
      <c r="N639" s="71">
        <f t="shared" si="3"/>
        <v>0</v>
      </c>
      <c r="O639" s="71">
        <f t="shared" si="4"/>
        <v>0</v>
      </c>
    </row>
    <row r="640" ht="15.75" customHeight="1">
      <c r="A640" s="17">
        <v>46023.0</v>
      </c>
      <c r="B640" s="58" t="s">
        <v>232</v>
      </c>
      <c r="C640" s="44" t="s">
        <v>61</v>
      </c>
      <c r="D640" s="45" t="s">
        <v>295</v>
      </c>
      <c r="E640" s="19">
        <f>IF($D640&lt;&gt;"Entregado",0,IF($C640="","",VLOOKUP($C640,'DATA DE TARIFA'!$A$4:$C$68,2,FALSE)/1.18))</f>
        <v>8.474576271</v>
      </c>
      <c r="F640" s="19">
        <f>IF($C640="","",IF($D640="",0,VLOOKUP($C640,'DATA DE TARIFA'!$A$4:$C$68,3,FALSE)))</f>
        <v>4.5</v>
      </c>
      <c r="G640" s="66">
        <v>0.0</v>
      </c>
      <c r="H640" s="19">
        <f t="shared" si="1"/>
        <v>8.474576271</v>
      </c>
      <c r="I640" s="19">
        <f t="shared" si="2"/>
        <v>4.5</v>
      </c>
      <c r="J640" s="67"/>
      <c r="K640" s="44" t="str">
        <f>IF($B640="","",IFERROR(VLOOKUP($B640,Tiendas!$A$4:$B$176,2,FALSE),""))</f>
        <v>SANDRA</v>
      </c>
      <c r="L640" s="68" t="s">
        <v>296</v>
      </c>
      <c r="M640" s="44" t="str">
        <f>IF($B640="","",IFERROR(VLOOKUP($B640,Tiendas!$A$4:$I$176,9,FALSE),""))</f>
        <v>No</v>
      </c>
      <c r="N640" s="71">
        <f t="shared" si="3"/>
        <v>0</v>
      </c>
      <c r="O640" s="71">
        <f t="shared" si="4"/>
        <v>0</v>
      </c>
    </row>
    <row r="641" ht="15.75" customHeight="1">
      <c r="A641" s="17">
        <v>46023.0</v>
      </c>
      <c r="B641" s="58" t="s">
        <v>232</v>
      </c>
      <c r="C641" s="44" t="s">
        <v>24</v>
      </c>
      <c r="D641" s="45" t="s">
        <v>295</v>
      </c>
      <c r="E641" s="19">
        <f>IF($D641&lt;&gt;"Entregado",0,IF($C641="","",VLOOKUP($C641,'DATA DE TARIFA'!$A$4:$C$68,2,FALSE)/1.18))</f>
        <v>8.474576271</v>
      </c>
      <c r="F641" s="19">
        <f>IF($C641="","",IF($D641="",0,VLOOKUP($C641,'DATA DE TARIFA'!$A$4:$C$68,3,FALSE)))</f>
        <v>4.5</v>
      </c>
      <c r="G641" s="66">
        <v>0.0</v>
      </c>
      <c r="H641" s="19">
        <f t="shared" si="1"/>
        <v>8.474576271</v>
      </c>
      <c r="I641" s="19">
        <f t="shared" si="2"/>
        <v>4.5</v>
      </c>
      <c r="J641" s="67"/>
      <c r="K641" s="44" t="str">
        <f>IF($B641="","",IFERROR(VLOOKUP($B641,Tiendas!$A$4:$B$176,2,FALSE),""))</f>
        <v>SANDRA</v>
      </c>
      <c r="L641" s="68" t="s">
        <v>296</v>
      </c>
      <c r="M641" s="44" t="str">
        <f>IF($B641="","",IFERROR(VLOOKUP($B641,Tiendas!$A$4:$I$176,9,FALSE),""))</f>
        <v>No</v>
      </c>
      <c r="N641" s="71">
        <f t="shared" si="3"/>
        <v>0</v>
      </c>
      <c r="O641" s="71">
        <f t="shared" si="4"/>
        <v>0</v>
      </c>
    </row>
    <row r="642" ht="15.75" customHeight="1">
      <c r="A642" s="17">
        <v>46023.0</v>
      </c>
      <c r="B642" s="58" t="s">
        <v>232</v>
      </c>
      <c r="C642" s="44" t="s">
        <v>57</v>
      </c>
      <c r="D642" s="45" t="s">
        <v>295</v>
      </c>
      <c r="E642" s="19">
        <f>IF($D642&lt;&gt;"Entregado",0,IF($C642="","",VLOOKUP($C642,'DATA DE TARIFA'!$A$4:$C$68,2,FALSE)/1.18))</f>
        <v>8.474576271</v>
      </c>
      <c r="F642" s="19">
        <f>IF($C642="","",IF($D642="",0,VLOOKUP($C642,'DATA DE TARIFA'!$A$4:$C$68,3,FALSE)))</f>
        <v>4.5</v>
      </c>
      <c r="G642" s="66">
        <v>0.0</v>
      </c>
      <c r="H642" s="19">
        <f t="shared" si="1"/>
        <v>8.474576271</v>
      </c>
      <c r="I642" s="19">
        <f t="shared" si="2"/>
        <v>4.5</v>
      </c>
      <c r="J642" s="67"/>
      <c r="K642" s="44" t="str">
        <f>IF($B642="","",IFERROR(VLOOKUP($B642,Tiendas!$A$4:$B$176,2,FALSE),""))</f>
        <v>SANDRA</v>
      </c>
      <c r="L642" s="68" t="s">
        <v>296</v>
      </c>
      <c r="M642" s="44" t="str">
        <f>IF($B642="","",IFERROR(VLOOKUP($B642,Tiendas!$A$4:$I$176,9,FALSE),""))</f>
        <v>No</v>
      </c>
      <c r="N642" s="71">
        <f t="shared" si="3"/>
        <v>0</v>
      </c>
      <c r="O642" s="71">
        <f t="shared" si="4"/>
        <v>0</v>
      </c>
    </row>
    <row r="643" ht="15.75" customHeight="1">
      <c r="A643" s="17">
        <v>46023.0</v>
      </c>
      <c r="B643" s="58" t="s">
        <v>232</v>
      </c>
      <c r="C643" s="44" t="s">
        <v>69</v>
      </c>
      <c r="D643" s="45" t="s">
        <v>295</v>
      </c>
      <c r="E643" s="19">
        <f>IF($D643&lt;&gt;"Entregado",0,IF($C643="","",VLOOKUP($C643,'DATA DE TARIFA'!$A$4:$C$68,2,FALSE)/1.18))</f>
        <v>8.474576271</v>
      </c>
      <c r="F643" s="19">
        <f>IF($C643="","",IF($D643="",0,VLOOKUP($C643,'DATA DE TARIFA'!$A$4:$C$68,3,FALSE)))</f>
        <v>4</v>
      </c>
      <c r="G643" s="66">
        <v>0.0</v>
      </c>
      <c r="H643" s="19">
        <f t="shared" si="1"/>
        <v>8.474576271</v>
      </c>
      <c r="I643" s="19">
        <f t="shared" si="2"/>
        <v>4</v>
      </c>
      <c r="J643" s="67"/>
      <c r="K643" s="44" t="str">
        <f>IF($B643="","",IFERROR(VLOOKUP($B643,Tiendas!$A$4:$B$176,2,FALSE),""))</f>
        <v>SANDRA</v>
      </c>
      <c r="L643" s="68" t="s">
        <v>296</v>
      </c>
      <c r="M643" s="44" t="str">
        <f>IF($B643="","",IFERROR(VLOOKUP($B643,Tiendas!$A$4:$I$176,9,FALSE),""))</f>
        <v>No</v>
      </c>
      <c r="N643" s="71">
        <f t="shared" si="3"/>
        <v>0</v>
      </c>
      <c r="O643" s="71">
        <f t="shared" si="4"/>
        <v>0</v>
      </c>
    </row>
    <row r="644" ht="15.75" customHeight="1">
      <c r="A644" s="17">
        <v>46023.0</v>
      </c>
      <c r="B644" s="58" t="s">
        <v>232</v>
      </c>
      <c r="C644" s="44" t="s">
        <v>32</v>
      </c>
      <c r="D644" s="45" t="s">
        <v>295</v>
      </c>
      <c r="E644" s="19">
        <f>IF($D644&lt;&gt;"Entregado",0,IF($C644="","",VLOOKUP($C644,'DATA DE TARIFA'!$A$4:$C$68,2,FALSE)/1.18))</f>
        <v>8.474576271</v>
      </c>
      <c r="F644" s="19">
        <f>IF($C644="","",IF($D644="",0,VLOOKUP($C644,'DATA DE TARIFA'!$A$4:$C$68,3,FALSE)))</f>
        <v>4.5</v>
      </c>
      <c r="G644" s="66">
        <v>0.0</v>
      </c>
      <c r="H644" s="19">
        <f t="shared" si="1"/>
        <v>8.474576271</v>
      </c>
      <c r="I644" s="19">
        <f t="shared" si="2"/>
        <v>4.5</v>
      </c>
      <c r="J644" s="67"/>
      <c r="K644" s="44" t="str">
        <f>IF($B644="","",IFERROR(VLOOKUP($B644,Tiendas!$A$4:$B$176,2,FALSE),""))</f>
        <v>SANDRA</v>
      </c>
      <c r="L644" s="68" t="s">
        <v>296</v>
      </c>
      <c r="M644" s="44" t="str">
        <f>IF($B644="","",IFERROR(VLOOKUP($B644,Tiendas!$A$4:$I$176,9,FALSE),""))</f>
        <v>No</v>
      </c>
      <c r="N644" s="71">
        <f t="shared" si="3"/>
        <v>0</v>
      </c>
      <c r="O644" s="71">
        <f t="shared" si="4"/>
        <v>0</v>
      </c>
    </row>
    <row r="645" ht="15.75" customHeight="1">
      <c r="A645" s="17">
        <v>46023.0</v>
      </c>
      <c r="B645" s="58" t="s">
        <v>232</v>
      </c>
      <c r="C645" s="44" t="s">
        <v>36</v>
      </c>
      <c r="D645" s="45" t="s">
        <v>295</v>
      </c>
      <c r="E645" s="19">
        <f>IF($D645&lt;&gt;"Entregado",0,IF($C645="","",VLOOKUP($C645,'DATA DE TARIFA'!$A$4:$C$68,2,FALSE)/1.18))</f>
        <v>10.16949153</v>
      </c>
      <c r="F645" s="19">
        <f>IF($C645="","",IF($D645="",0,VLOOKUP($C645,'DATA DE TARIFA'!$A$4:$C$68,3,FALSE)))</f>
        <v>4.5</v>
      </c>
      <c r="G645" s="66">
        <v>0.0</v>
      </c>
      <c r="H645" s="19">
        <f t="shared" si="1"/>
        <v>10.16949153</v>
      </c>
      <c r="I645" s="19">
        <f t="shared" si="2"/>
        <v>4.5</v>
      </c>
      <c r="J645" s="67"/>
      <c r="K645" s="44" t="str">
        <f>IF($B645="","",IFERROR(VLOOKUP($B645,Tiendas!$A$4:$B$176,2,FALSE),""))</f>
        <v>SANDRA</v>
      </c>
      <c r="L645" s="68" t="s">
        <v>296</v>
      </c>
      <c r="M645" s="44" t="str">
        <f>IF($B645="","",IFERROR(VLOOKUP($B645,Tiendas!$A$4:$I$176,9,FALSE),""))</f>
        <v>No</v>
      </c>
      <c r="N645" s="71">
        <f t="shared" si="3"/>
        <v>0</v>
      </c>
      <c r="O645" s="71">
        <f t="shared" si="4"/>
        <v>0</v>
      </c>
    </row>
    <row r="646" ht="15.75" customHeight="1">
      <c r="A646" s="17">
        <v>46023.0</v>
      </c>
      <c r="B646" s="58" t="s">
        <v>232</v>
      </c>
      <c r="C646" s="44" t="s">
        <v>36</v>
      </c>
      <c r="D646" s="45" t="s">
        <v>295</v>
      </c>
      <c r="E646" s="19">
        <f>IF($D646&lt;&gt;"Entregado",0,IF($C646="","",VLOOKUP($C646,'DATA DE TARIFA'!$A$4:$C$68,2,FALSE)/1.18))</f>
        <v>10.16949153</v>
      </c>
      <c r="F646" s="19">
        <f>IF($C646="","",IF($D646="",0,VLOOKUP($C646,'DATA DE TARIFA'!$A$4:$C$68,3,FALSE)))</f>
        <v>4.5</v>
      </c>
      <c r="G646" s="66">
        <v>0.0</v>
      </c>
      <c r="H646" s="19">
        <f t="shared" si="1"/>
        <v>10.16949153</v>
      </c>
      <c r="I646" s="19">
        <f t="shared" si="2"/>
        <v>4.5</v>
      </c>
      <c r="J646" s="67"/>
      <c r="K646" s="44" t="str">
        <f>IF($B646="","",IFERROR(VLOOKUP($B646,Tiendas!$A$4:$B$176,2,FALSE),""))</f>
        <v>SANDRA</v>
      </c>
      <c r="L646" s="68" t="s">
        <v>296</v>
      </c>
      <c r="M646" s="44" t="str">
        <f>IF($B646="","",IFERROR(VLOOKUP($B646,Tiendas!$A$4:$I$176,9,FALSE),""))</f>
        <v>No</v>
      </c>
      <c r="N646" s="71">
        <f t="shared" si="3"/>
        <v>0</v>
      </c>
      <c r="O646" s="71">
        <f t="shared" si="4"/>
        <v>0</v>
      </c>
    </row>
    <row r="647" ht="15.75" customHeight="1">
      <c r="A647" s="17">
        <v>46023.0</v>
      </c>
      <c r="B647" s="58" t="s">
        <v>232</v>
      </c>
      <c r="C647" s="44" t="s">
        <v>30</v>
      </c>
      <c r="D647" s="45" t="s">
        <v>295</v>
      </c>
      <c r="E647" s="19">
        <f>IF($D647&lt;&gt;"Entregado",0,IF($C647="","",VLOOKUP($C647,'DATA DE TARIFA'!$A$4:$C$68,2,FALSE)/1.18))</f>
        <v>8.474576271</v>
      </c>
      <c r="F647" s="19">
        <f>IF($C647="","",IF($D647="",0,VLOOKUP($C647,'DATA DE TARIFA'!$A$4:$C$68,3,FALSE)))</f>
        <v>4.5</v>
      </c>
      <c r="G647" s="66">
        <v>0.0</v>
      </c>
      <c r="H647" s="19">
        <f t="shared" si="1"/>
        <v>8.474576271</v>
      </c>
      <c r="I647" s="19">
        <f t="shared" si="2"/>
        <v>4.5</v>
      </c>
      <c r="J647" s="67"/>
      <c r="K647" s="44" t="str">
        <f>IF($B647="","",IFERROR(VLOOKUP($B647,Tiendas!$A$4:$B$176,2,FALSE),""))</f>
        <v>SANDRA</v>
      </c>
      <c r="L647" s="68" t="s">
        <v>296</v>
      </c>
      <c r="M647" s="44" t="str">
        <f>IF($B647="","",IFERROR(VLOOKUP($B647,Tiendas!$A$4:$I$176,9,FALSE),""))</f>
        <v>No</v>
      </c>
      <c r="N647" s="71">
        <f t="shared" si="3"/>
        <v>0</v>
      </c>
      <c r="O647" s="71">
        <f t="shared" si="4"/>
        <v>0</v>
      </c>
    </row>
    <row r="648" ht="15.75" customHeight="1">
      <c r="A648" s="17">
        <v>46023.0</v>
      </c>
      <c r="B648" s="58" t="s">
        <v>232</v>
      </c>
      <c r="C648" s="44" t="s">
        <v>65</v>
      </c>
      <c r="D648" s="45" t="s">
        <v>295</v>
      </c>
      <c r="E648" s="19">
        <f>IF($D648&lt;&gt;"Entregado",0,IF($C648="","",VLOOKUP($C648,'DATA DE TARIFA'!$A$4:$C$68,2,FALSE)/1.18))</f>
        <v>10.16949153</v>
      </c>
      <c r="F648" s="19">
        <f>IF($C648="","",IF($D648="",0,VLOOKUP($C648,'DATA DE TARIFA'!$A$4:$C$68,3,FALSE)))</f>
        <v>4.5</v>
      </c>
      <c r="G648" s="66">
        <v>0.0</v>
      </c>
      <c r="H648" s="19">
        <f t="shared" si="1"/>
        <v>10.16949153</v>
      </c>
      <c r="I648" s="19">
        <f t="shared" si="2"/>
        <v>4.5</v>
      </c>
      <c r="J648" s="67"/>
      <c r="K648" s="44" t="str">
        <f>IF($B648="","",IFERROR(VLOOKUP($B648,Tiendas!$A$4:$B$176,2,FALSE),""))</f>
        <v>SANDRA</v>
      </c>
      <c r="L648" s="68" t="s">
        <v>296</v>
      </c>
      <c r="M648" s="44" t="str">
        <f>IF($B648="","",IFERROR(VLOOKUP($B648,Tiendas!$A$4:$I$176,9,FALSE),""))</f>
        <v>No</v>
      </c>
      <c r="N648" s="71">
        <f t="shared" si="3"/>
        <v>0</v>
      </c>
      <c r="O648" s="71">
        <f t="shared" si="4"/>
        <v>0</v>
      </c>
    </row>
    <row r="649" ht="15.75" customHeight="1">
      <c r="A649" s="17">
        <v>46023.0</v>
      </c>
      <c r="B649" s="58" t="s">
        <v>232</v>
      </c>
      <c r="C649" s="44" t="s">
        <v>60</v>
      </c>
      <c r="D649" s="45" t="s">
        <v>295</v>
      </c>
      <c r="E649" s="19">
        <f>IF($D649&lt;&gt;"Entregado",0,IF($C649="","",VLOOKUP($C649,'DATA DE TARIFA'!$A$4:$C$68,2,FALSE)/1.18))</f>
        <v>8.474576271</v>
      </c>
      <c r="F649" s="19">
        <f>IF($C649="","",IF($D649="",0,VLOOKUP($C649,'DATA DE TARIFA'!$A$4:$C$68,3,FALSE)))</f>
        <v>4</v>
      </c>
      <c r="G649" s="66">
        <v>0.0</v>
      </c>
      <c r="H649" s="19">
        <f t="shared" si="1"/>
        <v>8.474576271</v>
      </c>
      <c r="I649" s="19">
        <f t="shared" si="2"/>
        <v>4</v>
      </c>
      <c r="J649" s="67"/>
      <c r="K649" s="44" t="str">
        <f>IF($B649="","",IFERROR(VLOOKUP($B649,Tiendas!$A$4:$B$176,2,FALSE),""))</f>
        <v>SANDRA</v>
      </c>
      <c r="L649" s="68" t="s">
        <v>296</v>
      </c>
      <c r="M649" s="44" t="str">
        <f>IF($B649="","",IFERROR(VLOOKUP($B649,Tiendas!$A$4:$I$176,9,FALSE),""))</f>
        <v>No</v>
      </c>
      <c r="N649" s="71">
        <f t="shared" si="3"/>
        <v>0</v>
      </c>
      <c r="O649" s="71">
        <f t="shared" si="4"/>
        <v>0</v>
      </c>
    </row>
    <row r="650" ht="15.75" customHeight="1">
      <c r="A650" s="17">
        <v>46023.0</v>
      </c>
      <c r="B650" s="58" t="s">
        <v>232</v>
      </c>
      <c r="C650" s="44" t="s">
        <v>55</v>
      </c>
      <c r="D650" s="45" t="s">
        <v>295</v>
      </c>
      <c r="E650" s="19">
        <f>IF($D650&lt;&gt;"Entregado",0,IF($C650="","",VLOOKUP($C650,'DATA DE TARIFA'!$A$4:$C$68,2,FALSE)/1.18))</f>
        <v>8.474576271</v>
      </c>
      <c r="F650" s="19">
        <f>IF($C650="","",IF($D650="",0,VLOOKUP($C650,'DATA DE TARIFA'!$A$4:$C$68,3,FALSE)))</f>
        <v>4</v>
      </c>
      <c r="G650" s="66">
        <v>0.0</v>
      </c>
      <c r="H650" s="19">
        <f t="shared" si="1"/>
        <v>8.474576271</v>
      </c>
      <c r="I650" s="19">
        <f t="shared" si="2"/>
        <v>4</v>
      </c>
      <c r="J650" s="67"/>
      <c r="K650" s="44" t="str">
        <f>IF($B650="","",IFERROR(VLOOKUP($B650,Tiendas!$A$4:$B$176,2,FALSE),""))</f>
        <v>SANDRA</v>
      </c>
      <c r="L650" s="68" t="s">
        <v>296</v>
      </c>
      <c r="M650" s="44" t="str">
        <f>IF($B650="","",IFERROR(VLOOKUP($B650,Tiendas!$A$4:$I$176,9,FALSE),""))</f>
        <v>No</v>
      </c>
      <c r="N650" s="71">
        <f t="shared" si="3"/>
        <v>0</v>
      </c>
      <c r="O650" s="71">
        <f t="shared" si="4"/>
        <v>0</v>
      </c>
    </row>
    <row r="651" ht="15.75" customHeight="1">
      <c r="A651" s="17">
        <v>46023.0</v>
      </c>
      <c r="B651" s="44" t="s">
        <v>212</v>
      </c>
      <c r="C651" s="44" t="s">
        <v>73</v>
      </c>
      <c r="D651" s="45" t="s">
        <v>295</v>
      </c>
      <c r="E651" s="19">
        <f>IF($D651&lt;&gt;"Entregado",0,IF($C651="","",VLOOKUP($C651,'DATA DE TARIFA'!$A$4:$C$68,2,FALSE)/1.18))</f>
        <v>10.16949153</v>
      </c>
      <c r="F651" s="19">
        <f>IF($C651="","",IF($D651="",0,VLOOKUP($C651,'DATA DE TARIFA'!$A$4:$C$68,3,FALSE)))</f>
        <v>4.5</v>
      </c>
      <c r="G651" s="66">
        <v>0.0</v>
      </c>
      <c r="H651" s="19">
        <f t="shared" si="1"/>
        <v>10.16949153</v>
      </c>
      <c r="I651" s="19">
        <f t="shared" si="2"/>
        <v>4.5</v>
      </c>
      <c r="J651" s="67"/>
      <c r="K651" s="44" t="str">
        <f>IF($B651="","",IFERROR(VLOOKUP($B651,Tiendas!$A$4:$B$176,2,FALSE),""))</f>
        <v>SANDRA</v>
      </c>
      <c r="L651" s="68" t="s">
        <v>296</v>
      </c>
      <c r="M651" s="44" t="str">
        <f>IF($B651="","",IFERROR(VLOOKUP($B651,Tiendas!$A$4:$I$176,9,FALSE),""))</f>
        <v>No</v>
      </c>
      <c r="N651" s="71">
        <f t="shared" si="3"/>
        <v>0</v>
      </c>
      <c r="O651" s="71">
        <f t="shared" si="4"/>
        <v>0</v>
      </c>
    </row>
    <row r="652" ht="15.75" customHeight="1">
      <c r="A652" s="17">
        <v>46023.0</v>
      </c>
      <c r="B652" s="44" t="s">
        <v>212</v>
      </c>
      <c r="C652" s="44" t="s">
        <v>32</v>
      </c>
      <c r="D652" s="45" t="s">
        <v>295</v>
      </c>
      <c r="E652" s="19">
        <f>IF($D652&lt;&gt;"Entregado",0,IF($C652="","",VLOOKUP($C652,'DATA DE TARIFA'!$A$4:$C$68,2,FALSE)/1.18))</f>
        <v>8.474576271</v>
      </c>
      <c r="F652" s="19">
        <f>IF($C652="","",IF($D652="",0,VLOOKUP($C652,'DATA DE TARIFA'!$A$4:$C$68,3,FALSE)))</f>
        <v>4.5</v>
      </c>
      <c r="G652" s="66">
        <v>0.0</v>
      </c>
      <c r="H652" s="19">
        <f t="shared" si="1"/>
        <v>8.474576271</v>
      </c>
      <c r="I652" s="19">
        <f t="shared" si="2"/>
        <v>4.5</v>
      </c>
      <c r="J652" s="67"/>
      <c r="K652" s="44" t="str">
        <f>IF($B652="","",IFERROR(VLOOKUP($B652,Tiendas!$A$4:$B$176,2,FALSE),""))</f>
        <v>SANDRA</v>
      </c>
      <c r="L652" s="68" t="s">
        <v>296</v>
      </c>
      <c r="M652" s="44" t="str">
        <f>IF($B652="","",IFERROR(VLOOKUP($B652,Tiendas!$A$4:$I$176,9,FALSE),""))</f>
        <v>No</v>
      </c>
      <c r="N652" s="71">
        <f t="shared" si="3"/>
        <v>0</v>
      </c>
      <c r="O652" s="71">
        <f t="shared" si="4"/>
        <v>0</v>
      </c>
    </row>
    <row r="653" ht="15.75" customHeight="1">
      <c r="A653" s="17">
        <v>46023.0</v>
      </c>
      <c r="B653" s="44" t="s">
        <v>231</v>
      </c>
      <c r="C653" s="44" t="s">
        <v>40</v>
      </c>
      <c r="D653" s="45" t="s">
        <v>295</v>
      </c>
      <c r="E653" s="19">
        <f>IF($D653&lt;&gt;"Entregado",0,IF($C653="","",VLOOKUP($C653,'DATA DE TARIFA'!$A$4:$C$68,2,FALSE)/1.18))</f>
        <v>8.474576271</v>
      </c>
      <c r="F653" s="19">
        <f>IF($C653="","",IF($D653="",0,VLOOKUP($C653,'DATA DE TARIFA'!$A$4:$C$68,3,FALSE)))</f>
        <v>4</v>
      </c>
      <c r="G653" s="66">
        <v>0.0</v>
      </c>
      <c r="H653" s="19">
        <f t="shared" si="1"/>
        <v>8.474576271</v>
      </c>
      <c r="I653" s="19">
        <f t="shared" si="2"/>
        <v>4</v>
      </c>
      <c r="J653" s="67"/>
      <c r="K653" s="44" t="str">
        <f>IF($B653="","",IFERROR(VLOOKUP($B653,Tiendas!$A$4:$B$176,2,FALSE),""))</f>
        <v>SANDRA</v>
      </c>
      <c r="L653" s="68" t="s">
        <v>296</v>
      </c>
      <c r="M653" s="44" t="str">
        <f>IF($B653="","",IFERROR(VLOOKUP($B653,Tiendas!$A$4:$I$176,9,FALSE),""))</f>
        <v>No</v>
      </c>
      <c r="N653" s="71">
        <f t="shared" si="3"/>
        <v>0</v>
      </c>
      <c r="O653" s="71">
        <f t="shared" si="4"/>
        <v>0</v>
      </c>
    </row>
    <row r="654" ht="15.75" customHeight="1">
      <c r="A654" s="17">
        <v>46023.0</v>
      </c>
      <c r="B654" s="44" t="s">
        <v>231</v>
      </c>
      <c r="C654" s="44" t="s">
        <v>32</v>
      </c>
      <c r="D654" s="45" t="s">
        <v>295</v>
      </c>
      <c r="E654" s="19">
        <f>IF($D654&lt;&gt;"Entregado",0,IF($C654="","",VLOOKUP($C654,'DATA DE TARIFA'!$A$4:$C$68,2,FALSE)/1.18))</f>
        <v>8.474576271</v>
      </c>
      <c r="F654" s="19">
        <f>IF($C654="","",IF($D654="",0,VLOOKUP($C654,'DATA DE TARIFA'!$A$4:$C$68,3,FALSE)))</f>
        <v>4.5</v>
      </c>
      <c r="G654" s="66">
        <v>0.0</v>
      </c>
      <c r="H654" s="19">
        <f t="shared" si="1"/>
        <v>8.474576271</v>
      </c>
      <c r="I654" s="19">
        <f t="shared" si="2"/>
        <v>4.5</v>
      </c>
      <c r="J654" s="67"/>
      <c r="K654" s="44" t="str">
        <f>IF($B654="","",IFERROR(VLOOKUP($B654,Tiendas!$A$4:$B$176,2,FALSE),""))</f>
        <v>SANDRA</v>
      </c>
      <c r="L654" s="68" t="s">
        <v>296</v>
      </c>
      <c r="M654" s="44" t="str">
        <f>IF($B654="","",IFERROR(VLOOKUP($B654,Tiendas!$A$4:$I$176,9,FALSE),""))</f>
        <v>No</v>
      </c>
      <c r="N654" s="71">
        <f t="shared" si="3"/>
        <v>0</v>
      </c>
      <c r="O654" s="71">
        <f t="shared" si="4"/>
        <v>0</v>
      </c>
    </row>
    <row r="655" ht="15.75" customHeight="1">
      <c r="A655" s="17">
        <v>46023.0</v>
      </c>
      <c r="B655" s="44" t="s">
        <v>231</v>
      </c>
      <c r="C655" s="44" t="s">
        <v>30</v>
      </c>
      <c r="D655" s="45" t="s">
        <v>295</v>
      </c>
      <c r="E655" s="19">
        <f>IF($D655&lt;&gt;"Entregado",0,IF($C655="","",VLOOKUP($C655,'DATA DE TARIFA'!$A$4:$C$68,2,FALSE)/1.18))</f>
        <v>8.474576271</v>
      </c>
      <c r="F655" s="19">
        <f>IF($C655="","",IF($D655="",0,VLOOKUP($C655,'DATA DE TARIFA'!$A$4:$C$68,3,FALSE)))</f>
        <v>4.5</v>
      </c>
      <c r="G655" s="66">
        <v>0.0</v>
      </c>
      <c r="H655" s="19">
        <f t="shared" si="1"/>
        <v>8.474576271</v>
      </c>
      <c r="I655" s="19">
        <f t="shared" si="2"/>
        <v>4.5</v>
      </c>
      <c r="J655" s="67"/>
      <c r="K655" s="44" t="str">
        <f>IF($B655="","",IFERROR(VLOOKUP($B655,Tiendas!$A$4:$B$176,2,FALSE),""))</f>
        <v>SANDRA</v>
      </c>
      <c r="L655" s="68" t="s">
        <v>296</v>
      </c>
      <c r="M655" s="44" t="str">
        <f>IF($B655="","",IFERROR(VLOOKUP($B655,Tiendas!$A$4:$I$176,9,FALSE),""))</f>
        <v>No</v>
      </c>
      <c r="N655" s="71">
        <f t="shared" si="3"/>
        <v>0</v>
      </c>
      <c r="O655" s="71">
        <f t="shared" si="4"/>
        <v>0</v>
      </c>
    </row>
    <row r="656" ht="15.75" customHeight="1">
      <c r="A656" s="17">
        <v>46023.0</v>
      </c>
      <c r="B656" s="44" t="s">
        <v>231</v>
      </c>
      <c r="C656" s="44" t="s">
        <v>64</v>
      </c>
      <c r="D656" s="45" t="s">
        <v>295</v>
      </c>
      <c r="E656" s="19">
        <f>IF($D656&lt;&gt;"Entregado",0,IF($C656="","",VLOOKUP($C656,'DATA DE TARIFA'!$A$4:$C$68,2,FALSE)/1.18))</f>
        <v>8.474576271</v>
      </c>
      <c r="F656" s="19">
        <f>IF($C656="","",IF($D656="",0,VLOOKUP($C656,'DATA DE TARIFA'!$A$4:$C$68,3,FALSE)))</f>
        <v>4.5</v>
      </c>
      <c r="G656" s="66">
        <v>0.0</v>
      </c>
      <c r="H656" s="19">
        <f t="shared" si="1"/>
        <v>8.474576271</v>
      </c>
      <c r="I656" s="19">
        <f t="shared" si="2"/>
        <v>4.5</v>
      </c>
      <c r="J656" s="67"/>
      <c r="K656" s="44" t="str">
        <f>IF($B656="","",IFERROR(VLOOKUP($B656,Tiendas!$A$4:$B$176,2,FALSE),""))</f>
        <v>SANDRA</v>
      </c>
      <c r="L656" s="68" t="s">
        <v>296</v>
      </c>
      <c r="M656" s="44" t="str">
        <f>IF($B656="","",IFERROR(VLOOKUP($B656,Tiendas!$A$4:$I$176,9,FALSE),""))</f>
        <v>No</v>
      </c>
      <c r="N656" s="71">
        <f t="shared" si="3"/>
        <v>0</v>
      </c>
      <c r="O656" s="71">
        <f t="shared" si="4"/>
        <v>0</v>
      </c>
    </row>
    <row r="657" ht="15.75" customHeight="1">
      <c r="A657" s="17">
        <v>46023.0</v>
      </c>
      <c r="B657" s="44" t="s">
        <v>231</v>
      </c>
      <c r="C657" s="44" t="s">
        <v>81</v>
      </c>
      <c r="D657" s="45" t="s">
        <v>295</v>
      </c>
      <c r="E657" s="19">
        <f>IF($D657&lt;&gt;"Entregado",0,IF($C657="","",VLOOKUP($C657,'DATA DE TARIFA'!$A$4:$C$68,2,FALSE)/1.18))</f>
        <v>11.86440678</v>
      </c>
      <c r="F657" s="19">
        <f>IF($C657="","",IF($D657="",0,VLOOKUP($C657,'DATA DE TARIFA'!$A$4:$C$68,3,FALSE)))</f>
        <v>8.5</v>
      </c>
      <c r="G657" s="66">
        <v>0.0</v>
      </c>
      <c r="H657" s="19">
        <f t="shared" si="1"/>
        <v>11.86440678</v>
      </c>
      <c r="I657" s="19">
        <f t="shared" si="2"/>
        <v>8.5</v>
      </c>
      <c r="J657" s="67"/>
      <c r="K657" s="44" t="str">
        <f>IF($B657="","",IFERROR(VLOOKUP($B657,Tiendas!$A$4:$B$176,2,FALSE),""))</f>
        <v>SANDRA</v>
      </c>
      <c r="L657" s="68" t="s">
        <v>296</v>
      </c>
      <c r="M657" s="44" t="str">
        <f>IF($B657="","",IFERROR(VLOOKUP($B657,Tiendas!$A$4:$I$176,9,FALSE),""))</f>
        <v>No</v>
      </c>
      <c r="N657" s="71">
        <f t="shared" si="3"/>
        <v>0</v>
      </c>
      <c r="O657" s="71">
        <f t="shared" si="4"/>
        <v>0</v>
      </c>
    </row>
    <row r="658" ht="15.75" customHeight="1">
      <c r="A658" s="17">
        <v>46023.0</v>
      </c>
      <c r="B658" s="44" t="s">
        <v>231</v>
      </c>
      <c r="C658" s="44" t="s">
        <v>32</v>
      </c>
      <c r="D658" s="45" t="s">
        <v>295</v>
      </c>
      <c r="E658" s="19">
        <f>IF($D658&lt;&gt;"Entregado",0,IF($C658="","",VLOOKUP($C658,'DATA DE TARIFA'!$A$4:$C$68,2,FALSE)/1.18))</f>
        <v>8.474576271</v>
      </c>
      <c r="F658" s="19">
        <f>IF($C658="","",IF($D658="",0,VLOOKUP($C658,'DATA DE TARIFA'!$A$4:$C$68,3,FALSE)))</f>
        <v>4.5</v>
      </c>
      <c r="G658" s="66">
        <v>0.0</v>
      </c>
      <c r="H658" s="19">
        <f t="shared" si="1"/>
        <v>8.474576271</v>
      </c>
      <c r="I658" s="19">
        <f t="shared" si="2"/>
        <v>4.5</v>
      </c>
      <c r="J658" s="67"/>
      <c r="K658" s="44" t="str">
        <f>IF($B658="","",IFERROR(VLOOKUP($B658,Tiendas!$A$4:$B$176,2,FALSE),""))</f>
        <v>SANDRA</v>
      </c>
      <c r="L658" s="68" t="s">
        <v>296</v>
      </c>
      <c r="M658" s="44" t="str">
        <f>IF($B658="","",IFERROR(VLOOKUP($B658,Tiendas!$A$4:$I$176,9,FALSE),""))</f>
        <v>No</v>
      </c>
      <c r="N658" s="71">
        <f t="shared" si="3"/>
        <v>0</v>
      </c>
      <c r="O658" s="71">
        <f t="shared" si="4"/>
        <v>0</v>
      </c>
    </row>
    <row r="659" ht="15.75" customHeight="1">
      <c r="A659" s="17">
        <v>46023.0</v>
      </c>
      <c r="B659" s="44" t="s">
        <v>258</v>
      </c>
      <c r="C659" s="44" t="s">
        <v>63</v>
      </c>
      <c r="D659" s="45" t="s">
        <v>295</v>
      </c>
      <c r="E659" s="19">
        <f>IF($D659&lt;&gt;"Entregado",0,IF($C659="","",VLOOKUP($C659,'DATA DE TARIFA'!$A$4:$C$68,2,FALSE)/1.18))</f>
        <v>8.474576271</v>
      </c>
      <c r="F659" s="19">
        <f>IF($C659="","",IF($D659="",0,VLOOKUP($C659,'DATA DE TARIFA'!$A$4:$C$68,3,FALSE)))</f>
        <v>4</v>
      </c>
      <c r="G659" s="66">
        <v>0.0</v>
      </c>
      <c r="H659" s="19">
        <f t="shared" si="1"/>
        <v>8.474576271</v>
      </c>
      <c r="I659" s="19">
        <f t="shared" si="2"/>
        <v>4</v>
      </c>
      <c r="J659" s="67"/>
      <c r="K659" s="44" t="str">
        <f>IF($B659="","",IFERROR(VLOOKUP($B659,Tiendas!$A$4:$B$176,2,FALSE),""))</f>
        <v>SEBASTIAN</v>
      </c>
      <c r="L659" s="68" t="s">
        <v>296</v>
      </c>
      <c r="M659" s="44" t="str">
        <f>IF($B659="","",IFERROR(VLOOKUP($B659,Tiendas!$A$4:$I$176,9,FALSE),""))</f>
        <v>No</v>
      </c>
      <c r="N659" s="71">
        <f t="shared" si="3"/>
        <v>0</v>
      </c>
      <c r="O659" s="71">
        <f t="shared" si="4"/>
        <v>0</v>
      </c>
    </row>
    <row r="660" ht="15.75" customHeight="1">
      <c r="A660" s="17">
        <v>46023.0</v>
      </c>
      <c r="B660" s="44" t="s">
        <v>258</v>
      </c>
      <c r="C660" s="44" t="s">
        <v>65</v>
      </c>
      <c r="D660" s="45" t="s">
        <v>295</v>
      </c>
      <c r="E660" s="19">
        <f>IF($D660&lt;&gt;"Entregado",0,IF($C660="","",VLOOKUP($C660,'DATA DE TARIFA'!$A$4:$C$68,2,FALSE)/1.18))</f>
        <v>10.16949153</v>
      </c>
      <c r="F660" s="19">
        <f>IF($C660="","",IF($D660="",0,VLOOKUP($C660,'DATA DE TARIFA'!$A$4:$C$68,3,FALSE)))</f>
        <v>4.5</v>
      </c>
      <c r="G660" s="66">
        <v>0.0</v>
      </c>
      <c r="H660" s="19">
        <f t="shared" si="1"/>
        <v>10.16949153</v>
      </c>
      <c r="I660" s="19">
        <f t="shared" si="2"/>
        <v>4.5</v>
      </c>
      <c r="J660" s="67"/>
      <c r="K660" s="44" t="str">
        <f>IF($B660="","",IFERROR(VLOOKUP($B660,Tiendas!$A$4:$B$176,2,FALSE),""))</f>
        <v>SEBASTIAN</v>
      </c>
      <c r="L660" s="68" t="s">
        <v>296</v>
      </c>
      <c r="M660" s="44" t="str">
        <f>IF($B660="","",IFERROR(VLOOKUP($B660,Tiendas!$A$4:$I$176,9,FALSE),""))</f>
        <v>No</v>
      </c>
      <c r="N660" s="71">
        <f t="shared" si="3"/>
        <v>0</v>
      </c>
      <c r="O660" s="71">
        <f t="shared" si="4"/>
        <v>0</v>
      </c>
    </row>
    <row r="661" ht="15.75" customHeight="1">
      <c r="A661" s="17">
        <v>46023.0</v>
      </c>
      <c r="B661" s="44" t="s">
        <v>258</v>
      </c>
      <c r="C661" s="44" t="s">
        <v>65</v>
      </c>
      <c r="D661" s="45" t="s">
        <v>295</v>
      </c>
      <c r="E661" s="19">
        <f>IF($D661&lt;&gt;"Entregado",0,IF($C661="","",VLOOKUP($C661,'DATA DE TARIFA'!$A$4:$C$68,2,FALSE)/1.18))</f>
        <v>10.16949153</v>
      </c>
      <c r="F661" s="19">
        <f>IF($C661="","",IF($D661="",0,VLOOKUP($C661,'DATA DE TARIFA'!$A$4:$C$68,3,FALSE)))</f>
        <v>4.5</v>
      </c>
      <c r="G661" s="66">
        <v>0.0</v>
      </c>
      <c r="H661" s="19">
        <f t="shared" si="1"/>
        <v>10.16949153</v>
      </c>
      <c r="I661" s="19">
        <f t="shared" si="2"/>
        <v>4.5</v>
      </c>
      <c r="J661" s="67"/>
      <c r="K661" s="44" t="str">
        <f>IF($B661="","",IFERROR(VLOOKUP($B661,Tiendas!$A$4:$B$176,2,FALSE),""))</f>
        <v>SEBASTIAN</v>
      </c>
      <c r="L661" s="68" t="s">
        <v>296</v>
      </c>
      <c r="M661" s="44" t="str">
        <f>IF($B661="","",IFERROR(VLOOKUP($B661,Tiendas!$A$4:$I$176,9,FALSE),""))</f>
        <v>No</v>
      </c>
      <c r="N661" s="71">
        <f t="shared" si="3"/>
        <v>0</v>
      </c>
      <c r="O661" s="71">
        <f t="shared" si="4"/>
        <v>0</v>
      </c>
    </row>
    <row r="662" ht="15.75" customHeight="1">
      <c r="A662" s="17">
        <v>46023.0</v>
      </c>
      <c r="B662" s="44" t="s">
        <v>258</v>
      </c>
      <c r="C662" s="44" t="s">
        <v>63</v>
      </c>
      <c r="D662" s="45" t="s">
        <v>295</v>
      </c>
      <c r="E662" s="19">
        <f>IF($D662&lt;&gt;"Entregado",0,IF($C662="","",VLOOKUP($C662,'DATA DE TARIFA'!$A$4:$C$68,2,FALSE)/1.18))</f>
        <v>8.474576271</v>
      </c>
      <c r="F662" s="19">
        <f>IF($C662="","",IF($D662="",0,VLOOKUP($C662,'DATA DE TARIFA'!$A$4:$C$68,3,FALSE)))</f>
        <v>4</v>
      </c>
      <c r="G662" s="66">
        <v>0.0</v>
      </c>
      <c r="H662" s="19">
        <f t="shared" si="1"/>
        <v>8.474576271</v>
      </c>
      <c r="I662" s="19">
        <f t="shared" si="2"/>
        <v>4</v>
      </c>
      <c r="J662" s="67"/>
      <c r="K662" s="44" t="str">
        <f>IF($B662="","",IFERROR(VLOOKUP($B662,Tiendas!$A$4:$B$176,2,FALSE),""))</f>
        <v>SEBASTIAN</v>
      </c>
      <c r="L662" s="68" t="s">
        <v>296</v>
      </c>
      <c r="M662" s="44" t="str">
        <f>IF($B662="","",IFERROR(VLOOKUP($B662,Tiendas!$A$4:$I$176,9,FALSE),""))</f>
        <v>No</v>
      </c>
      <c r="N662" s="71">
        <f t="shared" si="3"/>
        <v>0</v>
      </c>
      <c r="O662" s="71">
        <f t="shared" si="4"/>
        <v>0</v>
      </c>
    </row>
    <row r="663" ht="15.75" customHeight="1">
      <c r="A663" s="17">
        <v>46023.0</v>
      </c>
      <c r="B663" s="44" t="s">
        <v>258</v>
      </c>
      <c r="C663" s="44" t="s">
        <v>30</v>
      </c>
      <c r="D663" s="45" t="s">
        <v>295</v>
      </c>
      <c r="E663" s="19">
        <f>IF($D663&lt;&gt;"Entregado",0,IF($C663="","",VLOOKUP($C663,'DATA DE TARIFA'!$A$4:$C$68,2,FALSE)/1.18))</f>
        <v>8.474576271</v>
      </c>
      <c r="F663" s="19">
        <f>IF($C663="","",IF($D663="",0,VLOOKUP($C663,'DATA DE TARIFA'!$A$4:$C$68,3,FALSE)))</f>
        <v>4.5</v>
      </c>
      <c r="G663" s="66">
        <v>0.0</v>
      </c>
      <c r="H663" s="19">
        <f t="shared" si="1"/>
        <v>8.474576271</v>
      </c>
      <c r="I663" s="19">
        <f t="shared" si="2"/>
        <v>4.5</v>
      </c>
      <c r="J663" s="67"/>
      <c r="K663" s="44" t="str">
        <f>IF($B663="","",IFERROR(VLOOKUP($B663,Tiendas!$A$4:$B$176,2,FALSE),""))</f>
        <v>SEBASTIAN</v>
      </c>
      <c r="L663" s="68" t="s">
        <v>296</v>
      </c>
      <c r="M663" s="44" t="str">
        <f>IF($B663="","",IFERROR(VLOOKUP($B663,Tiendas!$A$4:$I$176,9,FALSE),""))</f>
        <v>No</v>
      </c>
      <c r="N663" s="71">
        <f t="shared" si="3"/>
        <v>0</v>
      </c>
      <c r="O663" s="71">
        <f t="shared" si="4"/>
        <v>0</v>
      </c>
    </row>
    <row r="664" ht="15.75" customHeight="1">
      <c r="A664" s="17">
        <v>46023.0</v>
      </c>
      <c r="B664" s="44" t="s">
        <v>258</v>
      </c>
      <c r="C664" s="44" t="s">
        <v>63</v>
      </c>
      <c r="D664" s="45" t="s">
        <v>295</v>
      </c>
      <c r="E664" s="19">
        <f>IF($D664&lt;&gt;"Entregado",0,IF($C664="","",VLOOKUP($C664,'DATA DE TARIFA'!$A$4:$C$68,2,FALSE)/1.18))</f>
        <v>8.474576271</v>
      </c>
      <c r="F664" s="19">
        <f>IF($C664="","",IF($D664="",0,VLOOKUP($C664,'DATA DE TARIFA'!$A$4:$C$68,3,FALSE)))</f>
        <v>4</v>
      </c>
      <c r="G664" s="66">
        <v>0.0</v>
      </c>
      <c r="H664" s="19">
        <f t="shared" si="1"/>
        <v>8.474576271</v>
      </c>
      <c r="I664" s="19">
        <f t="shared" si="2"/>
        <v>4</v>
      </c>
      <c r="J664" s="67"/>
      <c r="K664" s="44" t="str">
        <f>IF($B664="","",IFERROR(VLOOKUP($B664,Tiendas!$A$4:$B$176,2,FALSE),""))</f>
        <v>SEBASTIAN</v>
      </c>
      <c r="L664" s="68" t="s">
        <v>296</v>
      </c>
      <c r="M664" s="44" t="str">
        <f>IF($B664="","",IFERROR(VLOOKUP($B664,Tiendas!$A$4:$I$176,9,FALSE),""))</f>
        <v>No</v>
      </c>
      <c r="N664" s="71">
        <f t="shared" si="3"/>
        <v>0</v>
      </c>
      <c r="O664" s="71">
        <f t="shared" si="4"/>
        <v>0</v>
      </c>
    </row>
    <row r="665" ht="15.75" customHeight="1">
      <c r="A665" s="17">
        <v>46023.0</v>
      </c>
      <c r="B665" s="44" t="s">
        <v>258</v>
      </c>
      <c r="C665" s="44" t="s">
        <v>44</v>
      </c>
      <c r="D665" s="45" t="s">
        <v>295</v>
      </c>
      <c r="E665" s="19">
        <f>IF($D665&lt;&gt;"Entregado",0,IF($C665="","",VLOOKUP($C665,'DATA DE TARIFA'!$A$4:$C$68,2,FALSE)/1.18))</f>
        <v>10.16949153</v>
      </c>
      <c r="F665" s="19">
        <f>IF($C665="","",IF($D665="",0,VLOOKUP($C665,'DATA DE TARIFA'!$A$4:$C$68,3,FALSE)))</f>
        <v>5.5</v>
      </c>
      <c r="G665" s="66">
        <v>0.0</v>
      </c>
      <c r="H665" s="19">
        <f t="shared" si="1"/>
        <v>10.16949153</v>
      </c>
      <c r="I665" s="19">
        <f t="shared" si="2"/>
        <v>5.5</v>
      </c>
      <c r="J665" s="67"/>
      <c r="K665" s="44" t="str">
        <f>IF($B665="","",IFERROR(VLOOKUP($B665,Tiendas!$A$4:$B$176,2,FALSE),""))</f>
        <v>SEBASTIAN</v>
      </c>
      <c r="L665" s="68" t="s">
        <v>296</v>
      </c>
      <c r="M665" s="44" t="str">
        <f>IF($B665="","",IFERROR(VLOOKUP($B665,Tiendas!$A$4:$I$176,9,FALSE),""))</f>
        <v>No</v>
      </c>
      <c r="N665" s="71">
        <f t="shared" si="3"/>
        <v>0</v>
      </c>
      <c r="O665" s="71">
        <f t="shared" si="4"/>
        <v>0</v>
      </c>
    </row>
    <row r="666" ht="15.75" customHeight="1">
      <c r="A666" s="17">
        <v>46023.0</v>
      </c>
      <c r="B666" s="44" t="s">
        <v>258</v>
      </c>
      <c r="C666" s="44" t="s">
        <v>40</v>
      </c>
      <c r="D666" s="45" t="s">
        <v>295</v>
      </c>
      <c r="E666" s="19">
        <f>IF($D666&lt;&gt;"Entregado",0,IF($C666="","",VLOOKUP($C666,'DATA DE TARIFA'!$A$4:$C$68,2,FALSE)/1.18))</f>
        <v>8.474576271</v>
      </c>
      <c r="F666" s="19">
        <f>IF($C666="","",IF($D666="",0,VLOOKUP($C666,'DATA DE TARIFA'!$A$4:$C$68,3,FALSE)))</f>
        <v>4</v>
      </c>
      <c r="G666" s="66">
        <v>0.0</v>
      </c>
      <c r="H666" s="19">
        <f t="shared" si="1"/>
        <v>8.474576271</v>
      </c>
      <c r="I666" s="19">
        <f t="shared" si="2"/>
        <v>4</v>
      </c>
      <c r="J666" s="67"/>
      <c r="K666" s="44" t="str">
        <f>IF($B666="","",IFERROR(VLOOKUP($B666,Tiendas!$A$4:$B$176,2,FALSE),""))</f>
        <v>SEBASTIAN</v>
      </c>
      <c r="L666" s="68" t="s">
        <v>296</v>
      </c>
      <c r="M666" s="44" t="str">
        <f>IF($B666="","",IFERROR(VLOOKUP($B666,Tiendas!$A$4:$I$176,9,FALSE),""))</f>
        <v>No</v>
      </c>
      <c r="N666" s="71">
        <f t="shared" si="3"/>
        <v>0</v>
      </c>
      <c r="O666" s="71">
        <f t="shared" si="4"/>
        <v>0</v>
      </c>
    </row>
    <row r="667" ht="15.75" customHeight="1">
      <c r="A667" s="17">
        <v>46023.0</v>
      </c>
      <c r="B667" s="44" t="s">
        <v>252</v>
      </c>
      <c r="C667" s="44" t="s">
        <v>15</v>
      </c>
      <c r="D667" s="45" t="s">
        <v>297</v>
      </c>
      <c r="E667" s="19">
        <f>IF($D667&lt;&gt;"Entregado",0,IF($C667="","",VLOOKUP($C667,'DATA DE TARIFA'!$A$4:$C$68,2,FALSE)/1.18))</f>
        <v>0</v>
      </c>
      <c r="F667" s="19">
        <f>IF($C667="","",IF($D667="",0,VLOOKUP($C667,'DATA DE TARIFA'!$A$4:$C$68,3,FALSE)))</f>
        <v>4.5</v>
      </c>
      <c r="G667" s="66">
        <v>0.0</v>
      </c>
      <c r="H667" s="19">
        <f t="shared" si="1"/>
        <v>0</v>
      </c>
      <c r="I667" s="19">
        <f t="shared" si="2"/>
        <v>4.5</v>
      </c>
      <c r="J667" s="67"/>
      <c r="K667" s="44" t="str">
        <f>IF($B667="","",IFERROR(VLOOKUP($B667,Tiendas!$A$4:$B$176,2,FALSE),""))</f>
        <v>SEBASTIAN</v>
      </c>
      <c r="L667" s="68" t="s">
        <v>296</v>
      </c>
      <c r="M667" s="44" t="str">
        <f>IF($B667="","",IFERROR(VLOOKUP($B667,Tiendas!$A$4:$I$176,9,FALSE),""))</f>
        <v>No</v>
      </c>
      <c r="N667" s="71">
        <f t="shared" si="3"/>
        <v>0</v>
      </c>
      <c r="O667" s="71">
        <f t="shared" si="4"/>
        <v>0</v>
      </c>
    </row>
    <row r="668" ht="15.75" customHeight="1">
      <c r="A668" s="17">
        <v>46023.0</v>
      </c>
      <c r="B668" s="44" t="s">
        <v>252</v>
      </c>
      <c r="C668" s="44" t="s">
        <v>42</v>
      </c>
      <c r="D668" s="45" t="s">
        <v>295</v>
      </c>
      <c r="E668" s="19">
        <f>IF($D668&lt;&gt;"Entregado",0,IF($C668="","",VLOOKUP($C668,'DATA DE TARIFA'!$A$4:$C$68,2,FALSE)/1.18))</f>
        <v>8.474576271</v>
      </c>
      <c r="F668" s="19">
        <f>IF($C668="","",IF($D668="",0,VLOOKUP($C668,'DATA DE TARIFA'!$A$4:$C$68,3,FALSE)))</f>
        <v>4</v>
      </c>
      <c r="G668" s="66">
        <v>2.0</v>
      </c>
      <c r="H668" s="19">
        <f t="shared" si="1"/>
        <v>8.474576271</v>
      </c>
      <c r="I668" s="19">
        <f t="shared" si="2"/>
        <v>6</v>
      </c>
      <c r="J668" s="67"/>
      <c r="K668" s="44" t="str">
        <f>IF($B668="","",IFERROR(VLOOKUP($B668,Tiendas!$A$4:$B$176,2,FALSE),""))</f>
        <v>SEBASTIAN</v>
      </c>
      <c r="L668" s="68" t="s">
        <v>296</v>
      </c>
      <c r="M668" s="44" t="str">
        <f>IF($B668="","",IFERROR(VLOOKUP($B668,Tiendas!$A$4:$I$176,9,FALSE),""))</f>
        <v>No</v>
      </c>
      <c r="N668" s="71">
        <f t="shared" si="3"/>
        <v>0</v>
      </c>
      <c r="O668" s="71">
        <f t="shared" si="4"/>
        <v>0</v>
      </c>
    </row>
    <row r="669" ht="15.75" customHeight="1">
      <c r="A669" s="17">
        <v>46023.0</v>
      </c>
      <c r="B669" s="44" t="s">
        <v>252</v>
      </c>
      <c r="C669" s="44" t="s">
        <v>89</v>
      </c>
      <c r="D669" s="45" t="s">
        <v>295</v>
      </c>
      <c r="E669" s="19">
        <f>IF($D669&lt;&gt;"Entregado",0,IF($C669="","",VLOOKUP($C669,'DATA DE TARIFA'!$A$4:$C$68,2,FALSE)/1.18))</f>
        <v>16.10169492</v>
      </c>
      <c r="F669" s="19">
        <f>IF($C669="","",IF($D669="",0,VLOOKUP($C669,'DATA DE TARIFA'!$A$4:$C$68,3,FALSE)))</f>
        <v>7.5</v>
      </c>
      <c r="G669" s="66">
        <v>0.0</v>
      </c>
      <c r="H669" s="19">
        <f t="shared" si="1"/>
        <v>16.10169492</v>
      </c>
      <c r="I669" s="19">
        <f t="shared" si="2"/>
        <v>7.5</v>
      </c>
      <c r="J669" s="67"/>
      <c r="K669" s="44" t="str">
        <f>IF($B669="","",IFERROR(VLOOKUP($B669,Tiendas!$A$4:$B$176,2,FALSE),""))</f>
        <v>SEBASTIAN</v>
      </c>
      <c r="L669" s="68" t="s">
        <v>296</v>
      </c>
      <c r="M669" s="44" t="str">
        <f>IF($B669="","",IFERROR(VLOOKUP($B669,Tiendas!$A$4:$I$176,9,FALSE),""))</f>
        <v>No</v>
      </c>
      <c r="N669" s="71">
        <f t="shared" si="3"/>
        <v>0</v>
      </c>
      <c r="O669" s="71">
        <f t="shared" si="4"/>
        <v>0</v>
      </c>
    </row>
    <row r="670" ht="15.75" customHeight="1">
      <c r="A670" s="17">
        <v>46023.0</v>
      </c>
      <c r="B670" s="44" t="s">
        <v>252</v>
      </c>
      <c r="C670" s="44" t="s">
        <v>32</v>
      </c>
      <c r="D670" s="45" t="s">
        <v>295</v>
      </c>
      <c r="E670" s="19">
        <f>IF($D670&lt;&gt;"Entregado",0,IF($C670="","",VLOOKUP($C670,'DATA DE TARIFA'!$A$4:$C$68,2,FALSE)/1.18))</f>
        <v>8.474576271</v>
      </c>
      <c r="F670" s="19">
        <f>IF($C670="","",IF($D670="",0,VLOOKUP($C670,'DATA DE TARIFA'!$A$4:$C$68,3,FALSE)))</f>
        <v>4.5</v>
      </c>
      <c r="G670" s="66">
        <v>1.0</v>
      </c>
      <c r="H670" s="19">
        <f t="shared" si="1"/>
        <v>8.474576271</v>
      </c>
      <c r="I670" s="19">
        <f t="shared" si="2"/>
        <v>5.5</v>
      </c>
      <c r="J670" s="67"/>
      <c r="K670" s="44" t="str">
        <f>IF($B670="","",IFERROR(VLOOKUP($B670,Tiendas!$A$4:$B$176,2,FALSE),""))</f>
        <v>SEBASTIAN</v>
      </c>
      <c r="L670" s="68" t="s">
        <v>296</v>
      </c>
      <c r="M670" s="44" t="str">
        <f>IF($B670="","",IFERROR(VLOOKUP($B670,Tiendas!$A$4:$I$176,9,FALSE),""))</f>
        <v>No</v>
      </c>
      <c r="N670" s="71">
        <f t="shared" si="3"/>
        <v>0</v>
      </c>
      <c r="O670" s="71">
        <f t="shared" si="4"/>
        <v>0</v>
      </c>
    </row>
    <row r="671" ht="15.75" customHeight="1">
      <c r="A671" s="17">
        <v>46023.0</v>
      </c>
      <c r="B671" s="44" t="s">
        <v>252</v>
      </c>
      <c r="C671" s="44" t="s">
        <v>30</v>
      </c>
      <c r="D671" s="45" t="s">
        <v>295</v>
      </c>
      <c r="E671" s="19">
        <f>IF($D671&lt;&gt;"Entregado",0,IF($C671="","",VLOOKUP($C671,'DATA DE TARIFA'!$A$4:$C$68,2,FALSE)/1.18))</f>
        <v>8.474576271</v>
      </c>
      <c r="F671" s="19">
        <f>IF($C671="","",IF($D671="",0,VLOOKUP($C671,'DATA DE TARIFA'!$A$4:$C$68,3,FALSE)))</f>
        <v>4.5</v>
      </c>
      <c r="G671" s="66">
        <v>0.0</v>
      </c>
      <c r="H671" s="19">
        <f t="shared" si="1"/>
        <v>8.474576271</v>
      </c>
      <c r="I671" s="19">
        <f t="shared" si="2"/>
        <v>4.5</v>
      </c>
      <c r="J671" s="67"/>
      <c r="K671" s="44" t="str">
        <f>IF($B671="","",IFERROR(VLOOKUP($B671,Tiendas!$A$4:$B$176,2,FALSE),""))</f>
        <v>SEBASTIAN</v>
      </c>
      <c r="L671" s="68" t="s">
        <v>296</v>
      </c>
      <c r="M671" s="44" t="str">
        <f>IF($B671="","",IFERROR(VLOOKUP($B671,Tiendas!$A$4:$I$176,9,FALSE),""))</f>
        <v>No</v>
      </c>
      <c r="N671" s="71">
        <f t="shared" si="3"/>
        <v>0</v>
      </c>
      <c r="O671" s="71">
        <f t="shared" si="4"/>
        <v>0</v>
      </c>
    </row>
    <row r="672" ht="15.75" customHeight="1">
      <c r="A672" s="17">
        <v>46023.0</v>
      </c>
      <c r="B672" s="44" t="s">
        <v>252</v>
      </c>
      <c r="C672" s="44" t="s">
        <v>32</v>
      </c>
      <c r="D672" s="45" t="s">
        <v>295</v>
      </c>
      <c r="E672" s="19">
        <f>IF($D672&lt;&gt;"Entregado",0,IF($C672="","",VLOOKUP($C672,'DATA DE TARIFA'!$A$4:$C$68,2,FALSE)/1.18))</f>
        <v>8.474576271</v>
      </c>
      <c r="F672" s="19">
        <f>IF($C672="","",IF($D672="",0,VLOOKUP($C672,'DATA DE TARIFA'!$A$4:$C$68,3,FALSE)))</f>
        <v>4.5</v>
      </c>
      <c r="G672" s="66">
        <v>0.0</v>
      </c>
      <c r="H672" s="19">
        <f t="shared" si="1"/>
        <v>8.474576271</v>
      </c>
      <c r="I672" s="19">
        <f t="shared" si="2"/>
        <v>4.5</v>
      </c>
      <c r="J672" s="67"/>
      <c r="K672" s="44" t="str">
        <f>IF($B672="","",IFERROR(VLOOKUP($B672,Tiendas!$A$4:$B$176,2,FALSE),""))</f>
        <v>SEBASTIAN</v>
      </c>
      <c r="L672" s="68" t="s">
        <v>296</v>
      </c>
      <c r="M672" s="44" t="str">
        <f>IF($B672="","",IFERROR(VLOOKUP($B672,Tiendas!$A$4:$I$176,9,FALSE),""))</f>
        <v>No</v>
      </c>
      <c r="N672" s="71">
        <f t="shared" si="3"/>
        <v>0</v>
      </c>
      <c r="O672" s="71">
        <f t="shared" si="4"/>
        <v>0</v>
      </c>
    </row>
    <row r="673" ht="15.75" customHeight="1">
      <c r="A673" s="17">
        <v>46023.0</v>
      </c>
      <c r="B673" s="44" t="s">
        <v>252</v>
      </c>
      <c r="C673" s="44" t="s">
        <v>21</v>
      </c>
      <c r="D673" s="45" t="s">
        <v>295</v>
      </c>
      <c r="E673" s="19">
        <f>IF($D673&lt;&gt;"Entregado",0,IF($C673="","",VLOOKUP($C673,'DATA DE TARIFA'!$A$4:$C$68,2,FALSE)/1.18))</f>
        <v>10.16949153</v>
      </c>
      <c r="F673" s="19">
        <f>IF($C673="","",IF($D673="",0,VLOOKUP($C673,'DATA DE TARIFA'!$A$4:$C$68,3,FALSE)))</f>
        <v>4.5</v>
      </c>
      <c r="G673" s="66">
        <v>0.0</v>
      </c>
      <c r="H673" s="19">
        <f t="shared" si="1"/>
        <v>10.16949153</v>
      </c>
      <c r="I673" s="19">
        <f t="shared" si="2"/>
        <v>4.5</v>
      </c>
      <c r="J673" s="67"/>
      <c r="K673" s="44" t="str">
        <f>IF($B673="","",IFERROR(VLOOKUP($B673,Tiendas!$A$4:$B$176,2,FALSE),""))</f>
        <v>SEBASTIAN</v>
      </c>
      <c r="L673" s="68" t="s">
        <v>296</v>
      </c>
      <c r="M673" s="44" t="str">
        <f>IF($B673="","",IFERROR(VLOOKUP($B673,Tiendas!$A$4:$I$176,9,FALSE),""))</f>
        <v>No</v>
      </c>
      <c r="N673" s="71">
        <f t="shared" si="3"/>
        <v>0</v>
      </c>
      <c r="O673" s="71">
        <f t="shared" si="4"/>
        <v>0</v>
      </c>
    </row>
    <row r="674" ht="15.75" customHeight="1">
      <c r="A674" s="17">
        <v>46023.0</v>
      </c>
      <c r="B674" s="44" t="s">
        <v>252</v>
      </c>
      <c r="C674" s="44" t="s">
        <v>68</v>
      </c>
      <c r="D674" s="45" t="s">
        <v>295</v>
      </c>
      <c r="E674" s="19">
        <f>IF($D674&lt;&gt;"Entregado",0,IF($C674="","",VLOOKUP($C674,'DATA DE TARIFA'!$A$4:$C$68,2,FALSE)/1.18))</f>
        <v>11.86440678</v>
      </c>
      <c r="F674" s="19">
        <f>IF($C674="","",IF($D674="",0,VLOOKUP($C674,'DATA DE TARIFA'!$A$4:$C$68,3,FALSE)))</f>
        <v>7.5</v>
      </c>
      <c r="G674" s="66">
        <v>1.0</v>
      </c>
      <c r="H674" s="19">
        <f t="shared" si="1"/>
        <v>11.86440678</v>
      </c>
      <c r="I674" s="19">
        <f t="shared" si="2"/>
        <v>8.5</v>
      </c>
      <c r="J674" s="67"/>
      <c r="K674" s="44" t="str">
        <f>IF($B674="","",IFERROR(VLOOKUP($B674,Tiendas!$A$4:$B$176,2,FALSE),""))</f>
        <v>SEBASTIAN</v>
      </c>
      <c r="L674" s="68" t="s">
        <v>296</v>
      </c>
      <c r="M674" s="44" t="str">
        <f>IF($B674="","",IFERROR(VLOOKUP($B674,Tiendas!$A$4:$I$176,9,FALSE),""))</f>
        <v>No</v>
      </c>
      <c r="N674" s="71">
        <f t="shared" si="3"/>
        <v>0</v>
      </c>
      <c r="O674" s="71">
        <f t="shared" si="4"/>
        <v>0</v>
      </c>
    </row>
    <row r="675" ht="15.75" customHeight="1">
      <c r="A675" s="17">
        <v>46023.0</v>
      </c>
      <c r="B675" s="44" t="s">
        <v>252</v>
      </c>
      <c r="C675" s="44" t="s">
        <v>60</v>
      </c>
      <c r="D675" s="45" t="s">
        <v>295</v>
      </c>
      <c r="E675" s="19">
        <f>IF($D675&lt;&gt;"Entregado",0,IF($C675="","",VLOOKUP($C675,'DATA DE TARIFA'!$A$4:$C$68,2,FALSE)/1.18))</f>
        <v>8.474576271</v>
      </c>
      <c r="F675" s="19">
        <f>IF($C675="","",IF($D675="",0,VLOOKUP($C675,'DATA DE TARIFA'!$A$4:$C$68,3,FALSE)))</f>
        <v>4</v>
      </c>
      <c r="G675" s="66">
        <v>0.0</v>
      </c>
      <c r="H675" s="19">
        <f t="shared" si="1"/>
        <v>8.474576271</v>
      </c>
      <c r="I675" s="19">
        <f t="shared" si="2"/>
        <v>4</v>
      </c>
      <c r="J675" s="67"/>
      <c r="K675" s="44" t="str">
        <f>IF($B675="","",IFERROR(VLOOKUP($B675,Tiendas!$A$4:$B$176,2,FALSE),""))</f>
        <v>SEBASTIAN</v>
      </c>
      <c r="L675" s="68" t="s">
        <v>296</v>
      </c>
      <c r="M675" s="44" t="str">
        <f>IF($B675="","",IFERROR(VLOOKUP($B675,Tiendas!$A$4:$I$176,9,FALSE),""))</f>
        <v>No</v>
      </c>
      <c r="N675" s="71">
        <f t="shared" si="3"/>
        <v>0</v>
      </c>
      <c r="O675" s="71">
        <f t="shared" si="4"/>
        <v>0</v>
      </c>
    </row>
    <row r="676" ht="15.75" customHeight="1">
      <c r="A676" s="17">
        <v>46023.0</v>
      </c>
      <c r="B676" s="44" t="s">
        <v>252</v>
      </c>
      <c r="C676" s="44" t="s">
        <v>30</v>
      </c>
      <c r="D676" s="45" t="s">
        <v>295</v>
      </c>
      <c r="E676" s="19">
        <f>IF($D676&lt;&gt;"Entregado",0,IF($C676="","",VLOOKUP($C676,'DATA DE TARIFA'!$A$4:$C$68,2,FALSE)/1.18))</f>
        <v>8.474576271</v>
      </c>
      <c r="F676" s="19">
        <f>IF($C676="","",IF($D676="",0,VLOOKUP($C676,'DATA DE TARIFA'!$A$4:$C$68,3,FALSE)))</f>
        <v>4.5</v>
      </c>
      <c r="G676" s="66">
        <v>0.0</v>
      </c>
      <c r="H676" s="19">
        <f t="shared" si="1"/>
        <v>8.474576271</v>
      </c>
      <c r="I676" s="19">
        <f t="shared" si="2"/>
        <v>4.5</v>
      </c>
      <c r="J676" s="67"/>
      <c r="K676" s="44" t="str">
        <f>IF($B676="","",IFERROR(VLOOKUP($B676,Tiendas!$A$4:$B$176,2,FALSE),""))</f>
        <v>SEBASTIAN</v>
      </c>
      <c r="L676" s="68" t="s">
        <v>296</v>
      </c>
      <c r="M676" s="44" t="str">
        <f>IF($B676="","",IFERROR(VLOOKUP($B676,Tiendas!$A$4:$I$176,9,FALSE),""))</f>
        <v>No</v>
      </c>
      <c r="N676" s="71">
        <f t="shared" si="3"/>
        <v>0</v>
      </c>
      <c r="O676" s="71">
        <f t="shared" si="4"/>
        <v>0</v>
      </c>
    </row>
    <row r="677" ht="15.75" customHeight="1">
      <c r="A677" s="17">
        <v>46023.0</v>
      </c>
      <c r="B677" s="44" t="s">
        <v>252</v>
      </c>
      <c r="C677" s="44" t="s">
        <v>75</v>
      </c>
      <c r="D677" s="45" t="s">
        <v>295</v>
      </c>
      <c r="E677" s="19">
        <f>IF($D677&lt;&gt;"Entregado",0,IF($C677="","",VLOOKUP($C677,'DATA DE TARIFA'!$A$4:$C$68,2,FALSE)/1.18))</f>
        <v>10.16949153</v>
      </c>
      <c r="F677" s="19">
        <f>IF($C677="","",IF($D677="",0,VLOOKUP($C677,'DATA DE TARIFA'!$A$4:$C$68,3,FALSE)))</f>
        <v>4.5</v>
      </c>
      <c r="G677" s="66">
        <v>0.0</v>
      </c>
      <c r="H677" s="19">
        <f t="shared" si="1"/>
        <v>10.16949153</v>
      </c>
      <c r="I677" s="19">
        <f t="shared" si="2"/>
        <v>4.5</v>
      </c>
      <c r="J677" s="67"/>
      <c r="K677" s="44" t="str">
        <f>IF($B677="","",IFERROR(VLOOKUP($B677,Tiendas!$A$4:$B$176,2,FALSE),""))</f>
        <v>SEBASTIAN</v>
      </c>
      <c r="L677" s="68" t="s">
        <v>296</v>
      </c>
      <c r="M677" s="44" t="str">
        <f>IF($B677="","",IFERROR(VLOOKUP($B677,Tiendas!$A$4:$I$176,9,FALSE),""))</f>
        <v>No</v>
      </c>
      <c r="N677" s="71">
        <f t="shared" si="3"/>
        <v>0</v>
      </c>
      <c r="O677" s="71">
        <f t="shared" si="4"/>
        <v>0</v>
      </c>
    </row>
    <row r="678" ht="15.75" customHeight="1">
      <c r="A678" s="17">
        <v>46023.0</v>
      </c>
      <c r="B678" s="44" t="s">
        <v>252</v>
      </c>
      <c r="C678" s="44" t="s">
        <v>49</v>
      </c>
      <c r="D678" s="45" t="s">
        <v>295</v>
      </c>
      <c r="E678" s="19">
        <f>IF($D678&lt;&gt;"Entregado",0,IF($C678="","",VLOOKUP($C678,'DATA DE TARIFA'!$A$4:$C$68,2,FALSE)/1.18))</f>
        <v>10.16949153</v>
      </c>
      <c r="F678" s="19">
        <f>IF($C678="","",IF($D678="",0,VLOOKUP($C678,'DATA DE TARIFA'!$A$4:$C$68,3,FALSE)))</f>
        <v>5.5</v>
      </c>
      <c r="G678" s="66">
        <v>2.0</v>
      </c>
      <c r="H678" s="19">
        <f t="shared" si="1"/>
        <v>10.16949153</v>
      </c>
      <c r="I678" s="19">
        <f t="shared" si="2"/>
        <v>7.5</v>
      </c>
      <c r="J678" s="67"/>
      <c r="K678" s="44" t="str">
        <f>IF($B678="","",IFERROR(VLOOKUP($B678,Tiendas!$A$4:$B$176,2,FALSE),""))</f>
        <v>SEBASTIAN</v>
      </c>
      <c r="L678" s="68" t="s">
        <v>296</v>
      </c>
      <c r="M678" s="44" t="str">
        <f>IF($B678="","",IFERROR(VLOOKUP($B678,Tiendas!$A$4:$I$176,9,FALSE),""))</f>
        <v>No</v>
      </c>
      <c r="N678" s="71">
        <f t="shared" si="3"/>
        <v>0</v>
      </c>
      <c r="O678" s="71">
        <f t="shared" si="4"/>
        <v>0</v>
      </c>
    </row>
    <row r="679" ht="15.75" customHeight="1">
      <c r="A679" s="17">
        <v>46023.0</v>
      </c>
      <c r="B679" s="44" t="s">
        <v>252</v>
      </c>
      <c r="C679" s="44" t="s">
        <v>46</v>
      </c>
      <c r="D679" s="45" t="s">
        <v>295</v>
      </c>
      <c r="E679" s="19">
        <f>IF($D679&lt;&gt;"Entregado",0,IF($C679="","",VLOOKUP($C679,'DATA DE TARIFA'!$A$4:$C$68,2,FALSE)/1.18))</f>
        <v>10.16949153</v>
      </c>
      <c r="F679" s="19">
        <f>IF($C679="","",IF($D679="",0,VLOOKUP($C679,'DATA DE TARIFA'!$A$4:$C$68,3,FALSE)))</f>
        <v>4.5</v>
      </c>
      <c r="G679" s="66">
        <v>0.0</v>
      </c>
      <c r="H679" s="19">
        <f t="shared" si="1"/>
        <v>10.16949153</v>
      </c>
      <c r="I679" s="19">
        <f t="shared" si="2"/>
        <v>4.5</v>
      </c>
      <c r="J679" s="67"/>
      <c r="K679" s="44" t="str">
        <f>IF($B679="","",IFERROR(VLOOKUP($B679,Tiendas!$A$4:$B$176,2,FALSE),""))</f>
        <v>SEBASTIAN</v>
      </c>
      <c r="L679" s="68" t="s">
        <v>296</v>
      </c>
      <c r="M679" s="44" t="str">
        <f>IF($B679="","",IFERROR(VLOOKUP($B679,Tiendas!$A$4:$I$176,9,FALSE),""))</f>
        <v>No</v>
      </c>
      <c r="N679" s="71">
        <f t="shared" si="3"/>
        <v>0</v>
      </c>
      <c r="O679" s="71">
        <f t="shared" si="4"/>
        <v>0</v>
      </c>
    </row>
    <row r="680" ht="15.75" customHeight="1">
      <c r="A680" s="17">
        <v>46023.0</v>
      </c>
      <c r="B680" s="44" t="s">
        <v>252</v>
      </c>
      <c r="C680" s="44" t="s">
        <v>32</v>
      </c>
      <c r="D680" s="45" t="s">
        <v>295</v>
      </c>
      <c r="E680" s="19">
        <f>IF($D680&lt;&gt;"Entregado",0,IF($C680="","",VLOOKUP($C680,'DATA DE TARIFA'!$A$4:$C$68,2,FALSE)/1.18))</f>
        <v>8.474576271</v>
      </c>
      <c r="F680" s="19">
        <f>IF($C680="","",IF($D680="",0,VLOOKUP($C680,'DATA DE TARIFA'!$A$4:$C$68,3,FALSE)))</f>
        <v>4.5</v>
      </c>
      <c r="G680" s="66">
        <v>0.0</v>
      </c>
      <c r="H680" s="19">
        <f t="shared" si="1"/>
        <v>8.474576271</v>
      </c>
      <c r="I680" s="19">
        <f t="shared" si="2"/>
        <v>4.5</v>
      </c>
      <c r="J680" s="67"/>
      <c r="K680" s="44" t="str">
        <f>IF($B680="","",IFERROR(VLOOKUP($B680,Tiendas!$A$4:$B$176,2,FALSE),""))</f>
        <v>SEBASTIAN</v>
      </c>
      <c r="L680" s="68" t="s">
        <v>296</v>
      </c>
      <c r="M680" s="44" t="str">
        <f>IF($B680="","",IFERROR(VLOOKUP($B680,Tiendas!$A$4:$I$176,9,FALSE),""))</f>
        <v>No</v>
      </c>
      <c r="N680" s="71">
        <f t="shared" si="3"/>
        <v>0</v>
      </c>
      <c r="O680" s="71">
        <f t="shared" si="4"/>
        <v>0</v>
      </c>
    </row>
    <row r="681" ht="15.75" customHeight="1">
      <c r="A681" s="17">
        <v>46023.0</v>
      </c>
      <c r="B681" s="44" t="s">
        <v>261</v>
      </c>
      <c r="C681" s="44" t="s">
        <v>46</v>
      </c>
      <c r="D681" s="45" t="s">
        <v>295</v>
      </c>
      <c r="E681" s="19">
        <f>IF($D681&lt;&gt;"Entregado",0,IF($C681="","",VLOOKUP($C681,'DATA DE TARIFA'!$A$4:$C$68,2,FALSE)/1.18))</f>
        <v>10.16949153</v>
      </c>
      <c r="F681" s="19">
        <f>IF($C681="","",IF($D681="",0,VLOOKUP($C681,'DATA DE TARIFA'!$A$4:$C$68,3,FALSE)))</f>
        <v>4.5</v>
      </c>
      <c r="G681" s="66">
        <v>0.0</v>
      </c>
      <c r="H681" s="19">
        <f t="shared" si="1"/>
        <v>10.16949153</v>
      </c>
      <c r="I681" s="19">
        <f t="shared" si="2"/>
        <v>4.5</v>
      </c>
      <c r="J681" s="67"/>
      <c r="K681" s="44" t="str">
        <f>IF($B681="","",IFERROR(VLOOKUP($B681,Tiendas!$A$4:$B$176,2,FALSE),""))</f>
        <v>ALEXIS</v>
      </c>
      <c r="L681" s="68" t="s">
        <v>296</v>
      </c>
      <c r="M681" s="44" t="str">
        <f>IF($B681="","",IFERROR(VLOOKUP($B681,Tiendas!$A$4:$I$176,9,FALSE),""))</f>
        <v>No</v>
      </c>
      <c r="N681" s="71">
        <f t="shared" si="3"/>
        <v>0</v>
      </c>
      <c r="O681" s="71">
        <f t="shared" si="4"/>
        <v>0</v>
      </c>
    </row>
    <row r="682" ht="15.75" customHeight="1">
      <c r="A682" s="17">
        <v>46023.0</v>
      </c>
      <c r="B682" s="44" t="s">
        <v>261</v>
      </c>
      <c r="C682" s="44" t="s">
        <v>24</v>
      </c>
      <c r="D682" s="45" t="s">
        <v>295</v>
      </c>
      <c r="E682" s="19">
        <f>IF($D682&lt;&gt;"Entregado",0,IF($C682="","",VLOOKUP($C682,'DATA DE TARIFA'!$A$4:$C$68,2,FALSE)/1.18))</f>
        <v>8.474576271</v>
      </c>
      <c r="F682" s="19">
        <f>IF($C682="","",IF($D682="",0,VLOOKUP($C682,'DATA DE TARIFA'!$A$4:$C$68,3,FALSE)))</f>
        <v>4.5</v>
      </c>
      <c r="G682" s="66">
        <v>0.0</v>
      </c>
      <c r="H682" s="19">
        <f t="shared" si="1"/>
        <v>8.474576271</v>
      </c>
      <c r="I682" s="19">
        <f t="shared" si="2"/>
        <v>4.5</v>
      </c>
      <c r="J682" s="67"/>
      <c r="K682" s="44" t="str">
        <f>IF($B682="","",IFERROR(VLOOKUP($B682,Tiendas!$A$4:$B$176,2,FALSE),""))</f>
        <v>ALEXIS</v>
      </c>
      <c r="L682" s="68" t="s">
        <v>296</v>
      </c>
      <c r="M682" s="44" t="str">
        <f>IF($B682="","",IFERROR(VLOOKUP($B682,Tiendas!$A$4:$I$176,9,FALSE),""))</f>
        <v>No</v>
      </c>
      <c r="N682" s="71">
        <f t="shared" si="3"/>
        <v>0</v>
      </c>
      <c r="O682" s="71">
        <f t="shared" si="4"/>
        <v>0</v>
      </c>
    </row>
    <row r="683" ht="15.75" customHeight="1">
      <c r="A683" s="17">
        <v>46023.0</v>
      </c>
      <c r="B683" s="44" t="s">
        <v>263</v>
      </c>
      <c r="C683" s="44" t="s">
        <v>63</v>
      </c>
      <c r="D683" s="45" t="s">
        <v>295</v>
      </c>
      <c r="E683" s="19">
        <f>IF($D683&lt;&gt;"Entregado",0,IF($C683="","",VLOOKUP($C683,'DATA DE TARIFA'!$A$4:$C$68,2,FALSE)/1.18))</f>
        <v>8.474576271</v>
      </c>
      <c r="F683" s="19">
        <f>IF($C683="","",IF($D683="",0,VLOOKUP($C683,'DATA DE TARIFA'!$A$4:$C$68,3,FALSE)))</f>
        <v>4</v>
      </c>
      <c r="G683" s="66">
        <v>3.0</v>
      </c>
      <c r="H683" s="19">
        <f t="shared" si="1"/>
        <v>8.474576271</v>
      </c>
      <c r="I683" s="19">
        <f t="shared" si="2"/>
        <v>7</v>
      </c>
      <c r="J683" s="67"/>
      <c r="K683" s="44" t="str">
        <f>IF($B683="","",IFERROR(VLOOKUP($B683,Tiendas!$A$4:$B$176,2,FALSE),""))</f>
        <v>CHRISTIAN</v>
      </c>
      <c r="L683" s="68" t="s">
        <v>296</v>
      </c>
      <c r="M683" s="44" t="str">
        <f>IF($B683="","",IFERROR(VLOOKUP($B683,Tiendas!$A$4:$I$176,9,FALSE),""))</f>
        <v>No</v>
      </c>
      <c r="N683" s="71">
        <f t="shared" si="3"/>
        <v>0</v>
      </c>
      <c r="O683" s="71">
        <f t="shared" si="4"/>
        <v>0</v>
      </c>
    </row>
    <row r="684" ht="15.75" customHeight="1">
      <c r="A684" s="17">
        <v>46023.0</v>
      </c>
      <c r="B684" s="44" t="s">
        <v>263</v>
      </c>
      <c r="C684" s="44" t="s">
        <v>47</v>
      </c>
      <c r="D684" s="45" t="s">
        <v>295</v>
      </c>
      <c r="E684" s="19">
        <f>IF($D684&lt;&gt;"Entregado",0,IF($C684="","",VLOOKUP($C684,'DATA DE TARIFA'!$A$4:$C$68,2,FALSE)/1.18))</f>
        <v>10.16949153</v>
      </c>
      <c r="F684" s="19">
        <f>IF($C684="","",IF($D684="",0,VLOOKUP($C684,'DATA DE TARIFA'!$A$4:$C$68,3,FALSE)))</f>
        <v>5.5</v>
      </c>
      <c r="G684" s="66">
        <v>2.0</v>
      </c>
      <c r="H684" s="19">
        <f t="shared" si="1"/>
        <v>10.16949153</v>
      </c>
      <c r="I684" s="19">
        <f t="shared" si="2"/>
        <v>7.5</v>
      </c>
      <c r="J684" s="67"/>
      <c r="K684" s="44" t="str">
        <f>IF($B684="","",IFERROR(VLOOKUP($B684,Tiendas!$A$4:$B$176,2,FALSE),""))</f>
        <v>CHRISTIAN</v>
      </c>
      <c r="L684" s="68" t="s">
        <v>296</v>
      </c>
      <c r="M684" s="44" t="str">
        <f>IF($B684="","",IFERROR(VLOOKUP($B684,Tiendas!$A$4:$I$176,9,FALSE),""))</f>
        <v>No</v>
      </c>
      <c r="N684" s="71">
        <f t="shared" si="3"/>
        <v>0</v>
      </c>
      <c r="O684" s="71">
        <f t="shared" si="4"/>
        <v>0</v>
      </c>
    </row>
    <row r="685" ht="15.75" customHeight="1">
      <c r="A685" s="17">
        <v>46023.0</v>
      </c>
      <c r="B685" s="44" t="s">
        <v>263</v>
      </c>
      <c r="C685" s="44" t="s">
        <v>32</v>
      </c>
      <c r="D685" s="45" t="s">
        <v>295</v>
      </c>
      <c r="E685" s="19">
        <f>IF($D685&lt;&gt;"Entregado",0,IF($C685="","",VLOOKUP($C685,'DATA DE TARIFA'!$A$4:$C$68,2,FALSE)/1.18))</f>
        <v>8.474576271</v>
      </c>
      <c r="F685" s="19">
        <f>IF($C685="","",IF($D685="",0,VLOOKUP($C685,'DATA DE TARIFA'!$A$4:$C$68,3,FALSE)))</f>
        <v>4.5</v>
      </c>
      <c r="G685" s="66">
        <v>0.0</v>
      </c>
      <c r="H685" s="19">
        <f t="shared" si="1"/>
        <v>8.474576271</v>
      </c>
      <c r="I685" s="19">
        <f t="shared" si="2"/>
        <v>4.5</v>
      </c>
      <c r="J685" s="67"/>
      <c r="K685" s="44" t="str">
        <f>IF($B685="","",IFERROR(VLOOKUP($B685,Tiendas!$A$4:$B$176,2,FALSE),""))</f>
        <v>CHRISTIAN</v>
      </c>
      <c r="L685" s="68" t="s">
        <v>296</v>
      </c>
      <c r="M685" s="44" t="str">
        <f>IF($B685="","",IFERROR(VLOOKUP($B685,Tiendas!$A$4:$I$176,9,FALSE),""))</f>
        <v>No</v>
      </c>
      <c r="N685" s="71">
        <f t="shared" si="3"/>
        <v>0</v>
      </c>
      <c r="O685" s="71">
        <f t="shared" si="4"/>
        <v>0</v>
      </c>
    </row>
    <row r="686" ht="15.75" customHeight="1">
      <c r="A686" s="17">
        <v>46023.0</v>
      </c>
      <c r="B686" s="44" t="s">
        <v>263</v>
      </c>
      <c r="C686" s="44" t="s">
        <v>34</v>
      </c>
      <c r="D686" s="45" t="s">
        <v>295</v>
      </c>
      <c r="E686" s="19">
        <f>IF($D686&lt;&gt;"Entregado",0,IF($C686="","",VLOOKUP($C686,'DATA DE TARIFA'!$A$4:$C$68,2,FALSE)/1.18))</f>
        <v>10.16949153</v>
      </c>
      <c r="F686" s="19">
        <f>IF($C686="","",IF($D686="",0,VLOOKUP($C686,'DATA DE TARIFA'!$A$4:$C$68,3,FALSE)))</f>
        <v>4.5</v>
      </c>
      <c r="G686" s="66">
        <v>2.0</v>
      </c>
      <c r="H686" s="19">
        <f t="shared" si="1"/>
        <v>10.16949153</v>
      </c>
      <c r="I686" s="19">
        <f t="shared" si="2"/>
        <v>6.5</v>
      </c>
      <c r="J686" s="67"/>
      <c r="K686" s="44" t="str">
        <f>IF($B686="","",IFERROR(VLOOKUP($B686,Tiendas!$A$4:$B$176,2,FALSE),""))</f>
        <v>CHRISTIAN</v>
      </c>
      <c r="L686" s="68" t="s">
        <v>296</v>
      </c>
      <c r="M686" s="44" t="str">
        <f>IF($B686="","",IFERROR(VLOOKUP($B686,Tiendas!$A$4:$I$176,9,FALSE),""))</f>
        <v>No</v>
      </c>
      <c r="N686" s="71">
        <f t="shared" si="3"/>
        <v>0</v>
      </c>
      <c r="O686" s="71">
        <f t="shared" si="4"/>
        <v>0</v>
      </c>
    </row>
    <row r="687" ht="15.75" customHeight="1">
      <c r="A687" s="17">
        <v>46023.0</v>
      </c>
      <c r="B687" s="44" t="s">
        <v>263</v>
      </c>
      <c r="C687" s="44" t="s">
        <v>60</v>
      </c>
      <c r="D687" s="45" t="s">
        <v>295</v>
      </c>
      <c r="E687" s="19">
        <f>IF($D687&lt;&gt;"Entregado",0,IF($C687="","",VLOOKUP($C687,'DATA DE TARIFA'!$A$4:$C$68,2,FALSE)/1.18))</f>
        <v>8.474576271</v>
      </c>
      <c r="F687" s="19">
        <f>IF($C687="","",IF($D687="",0,VLOOKUP($C687,'DATA DE TARIFA'!$A$4:$C$68,3,FALSE)))</f>
        <v>4</v>
      </c>
      <c r="G687" s="66">
        <v>1.0</v>
      </c>
      <c r="H687" s="19">
        <f t="shared" si="1"/>
        <v>8.474576271</v>
      </c>
      <c r="I687" s="19">
        <f t="shared" si="2"/>
        <v>5</v>
      </c>
      <c r="J687" s="67"/>
      <c r="K687" s="44" t="str">
        <f>IF($B687="","",IFERROR(VLOOKUP($B687,Tiendas!$A$4:$B$176,2,FALSE),""))</f>
        <v>CHRISTIAN</v>
      </c>
      <c r="L687" s="68" t="s">
        <v>296</v>
      </c>
      <c r="M687" s="44" t="str">
        <f>IF($B687="","",IFERROR(VLOOKUP($B687,Tiendas!$A$4:$I$176,9,FALSE),""))</f>
        <v>No</v>
      </c>
      <c r="N687" s="71">
        <f t="shared" si="3"/>
        <v>0</v>
      </c>
      <c r="O687" s="71">
        <f t="shared" si="4"/>
        <v>0</v>
      </c>
    </row>
    <row r="688" ht="15.75" customHeight="1">
      <c r="A688" s="17">
        <v>46023.0</v>
      </c>
      <c r="B688" s="44" t="s">
        <v>263</v>
      </c>
      <c r="C688" s="44" t="s">
        <v>69</v>
      </c>
      <c r="D688" s="45" t="s">
        <v>295</v>
      </c>
      <c r="E688" s="19">
        <f>IF($D688&lt;&gt;"Entregado",0,IF($C688="","",VLOOKUP($C688,'DATA DE TARIFA'!$A$4:$C$68,2,FALSE)/1.18))</f>
        <v>8.474576271</v>
      </c>
      <c r="F688" s="19">
        <f>IF($C688="","",IF($D688="",0,VLOOKUP($C688,'DATA DE TARIFA'!$A$4:$C$68,3,FALSE)))</f>
        <v>4</v>
      </c>
      <c r="G688" s="66">
        <v>0.0</v>
      </c>
      <c r="H688" s="19">
        <f t="shared" si="1"/>
        <v>8.474576271</v>
      </c>
      <c r="I688" s="19">
        <f t="shared" si="2"/>
        <v>4</v>
      </c>
      <c r="J688" s="67"/>
      <c r="K688" s="44" t="str">
        <f>IF($B688="","",IFERROR(VLOOKUP($B688,Tiendas!$A$4:$B$176,2,FALSE),""))</f>
        <v>CHRISTIAN</v>
      </c>
      <c r="L688" s="68" t="s">
        <v>296</v>
      </c>
      <c r="M688" s="44" t="str">
        <f>IF($B688="","",IFERROR(VLOOKUP($B688,Tiendas!$A$4:$I$176,9,FALSE),""))</f>
        <v>No</v>
      </c>
      <c r="N688" s="71">
        <f t="shared" si="3"/>
        <v>0</v>
      </c>
      <c r="O688" s="71">
        <f t="shared" si="4"/>
        <v>0</v>
      </c>
    </row>
    <row r="689" ht="15.75" customHeight="1">
      <c r="A689" s="17">
        <v>46023.0</v>
      </c>
      <c r="B689" s="44" t="s">
        <v>263</v>
      </c>
      <c r="C689" s="44" t="s">
        <v>65</v>
      </c>
      <c r="D689" s="45" t="s">
        <v>295</v>
      </c>
      <c r="E689" s="19">
        <f>IF($D689&lt;&gt;"Entregado",0,IF($C689="","",VLOOKUP($C689,'DATA DE TARIFA'!$A$4:$C$68,2,FALSE)/1.18))</f>
        <v>10.16949153</v>
      </c>
      <c r="F689" s="19">
        <f>IF($C689="","",IF($D689="",0,VLOOKUP($C689,'DATA DE TARIFA'!$A$4:$C$68,3,FALSE)))</f>
        <v>4.5</v>
      </c>
      <c r="G689" s="66">
        <v>0.0</v>
      </c>
      <c r="H689" s="19">
        <f t="shared" si="1"/>
        <v>10.16949153</v>
      </c>
      <c r="I689" s="19">
        <f t="shared" si="2"/>
        <v>4.5</v>
      </c>
      <c r="J689" s="67"/>
      <c r="K689" s="44" t="str">
        <f>IF($B689="","",IFERROR(VLOOKUP($B689,Tiendas!$A$4:$B$176,2,FALSE),""))</f>
        <v>CHRISTIAN</v>
      </c>
      <c r="L689" s="68" t="s">
        <v>296</v>
      </c>
      <c r="M689" s="44" t="str">
        <f>IF($B689="","",IFERROR(VLOOKUP($B689,Tiendas!$A$4:$I$176,9,FALSE),""))</f>
        <v>No</v>
      </c>
      <c r="N689" s="71">
        <f t="shared" si="3"/>
        <v>0</v>
      </c>
      <c r="O689" s="71">
        <f t="shared" si="4"/>
        <v>0</v>
      </c>
    </row>
    <row r="690" ht="15.75" customHeight="1">
      <c r="A690" s="17">
        <v>46023.0</v>
      </c>
      <c r="B690" s="44" t="s">
        <v>263</v>
      </c>
      <c r="C690" s="44" t="s">
        <v>30</v>
      </c>
      <c r="D690" s="45" t="s">
        <v>295</v>
      </c>
      <c r="E690" s="19">
        <f>IF($D690&lt;&gt;"Entregado",0,IF($C690="","",VLOOKUP($C690,'DATA DE TARIFA'!$A$4:$C$68,2,FALSE)/1.18))</f>
        <v>8.474576271</v>
      </c>
      <c r="F690" s="19">
        <f>IF($C690="","",IF($D690="",0,VLOOKUP($C690,'DATA DE TARIFA'!$A$4:$C$68,3,FALSE)))</f>
        <v>4.5</v>
      </c>
      <c r="G690" s="66">
        <v>0.0</v>
      </c>
      <c r="H690" s="19">
        <f t="shared" si="1"/>
        <v>8.474576271</v>
      </c>
      <c r="I690" s="19">
        <f t="shared" si="2"/>
        <v>4.5</v>
      </c>
      <c r="J690" s="67"/>
      <c r="K690" s="44" t="str">
        <f>IF($B690="","",IFERROR(VLOOKUP($B690,Tiendas!$A$4:$B$176,2,FALSE),""))</f>
        <v>CHRISTIAN</v>
      </c>
      <c r="L690" s="68" t="s">
        <v>296</v>
      </c>
      <c r="M690" s="44" t="str">
        <f>IF($B690="","",IFERROR(VLOOKUP($B690,Tiendas!$A$4:$I$176,9,FALSE),""))</f>
        <v>No</v>
      </c>
      <c r="N690" s="71">
        <f t="shared" si="3"/>
        <v>0</v>
      </c>
      <c r="O690" s="71">
        <f t="shared" si="4"/>
        <v>0</v>
      </c>
    </row>
    <row r="691" ht="15.75" customHeight="1">
      <c r="A691" s="17">
        <v>46023.0</v>
      </c>
      <c r="B691" s="44" t="s">
        <v>263</v>
      </c>
      <c r="C691" s="44" t="s">
        <v>24</v>
      </c>
      <c r="D691" s="45" t="s">
        <v>295</v>
      </c>
      <c r="E691" s="19">
        <f>IF($D691&lt;&gt;"Entregado",0,IF($C691="","",VLOOKUP($C691,'DATA DE TARIFA'!$A$4:$C$68,2,FALSE)/1.18))</f>
        <v>8.474576271</v>
      </c>
      <c r="F691" s="19">
        <f>IF($C691="","",IF($D691="",0,VLOOKUP($C691,'DATA DE TARIFA'!$A$4:$C$68,3,FALSE)))</f>
        <v>4.5</v>
      </c>
      <c r="G691" s="66">
        <v>3.0</v>
      </c>
      <c r="H691" s="19">
        <f t="shared" si="1"/>
        <v>8.474576271</v>
      </c>
      <c r="I691" s="19">
        <f t="shared" si="2"/>
        <v>7.5</v>
      </c>
      <c r="J691" s="67"/>
      <c r="K691" s="44" t="str">
        <f>IF($B691="","",IFERROR(VLOOKUP($B691,Tiendas!$A$4:$B$176,2,FALSE),""))</f>
        <v>CHRISTIAN</v>
      </c>
      <c r="L691" s="68" t="s">
        <v>296</v>
      </c>
      <c r="M691" s="44" t="str">
        <f>IF($B691="","",IFERROR(VLOOKUP($B691,Tiendas!$A$4:$I$176,9,FALSE),""))</f>
        <v>No</v>
      </c>
      <c r="N691" s="71">
        <f t="shared" si="3"/>
        <v>0</v>
      </c>
      <c r="O691" s="71">
        <f t="shared" si="4"/>
        <v>0</v>
      </c>
    </row>
    <row r="692" ht="15.75" customHeight="1">
      <c r="A692" s="17">
        <v>46023.0</v>
      </c>
      <c r="B692" s="44" t="s">
        <v>263</v>
      </c>
      <c r="C692" s="44" t="s">
        <v>18</v>
      </c>
      <c r="D692" s="45" t="s">
        <v>295</v>
      </c>
      <c r="E692" s="19">
        <f>IF($D692&lt;&gt;"Entregado",0,IF($C692="","",VLOOKUP($C692,'DATA DE TARIFA'!$A$4:$C$68,2,FALSE)/1.18))</f>
        <v>10.16949153</v>
      </c>
      <c r="F692" s="19">
        <f>IF($C692="","",IF($D692="",0,VLOOKUP($C692,'DATA DE TARIFA'!$A$4:$C$68,3,FALSE)))</f>
        <v>4.5</v>
      </c>
      <c r="G692" s="66">
        <v>0.0</v>
      </c>
      <c r="H692" s="19">
        <f t="shared" si="1"/>
        <v>10.16949153</v>
      </c>
      <c r="I692" s="19">
        <f t="shared" si="2"/>
        <v>4.5</v>
      </c>
      <c r="J692" s="67"/>
      <c r="K692" s="44" t="str">
        <f>IF($B692="","",IFERROR(VLOOKUP($B692,Tiendas!$A$4:$B$176,2,FALSE),""))</f>
        <v>CHRISTIAN</v>
      </c>
      <c r="L692" s="68" t="s">
        <v>296</v>
      </c>
      <c r="M692" s="44" t="str">
        <f>IF($B692="","",IFERROR(VLOOKUP($B692,Tiendas!$A$4:$I$176,9,FALSE),""))</f>
        <v>No</v>
      </c>
      <c r="N692" s="71">
        <f t="shared" si="3"/>
        <v>0</v>
      </c>
      <c r="O692" s="71">
        <f t="shared" si="4"/>
        <v>0</v>
      </c>
    </row>
    <row r="693" ht="15.75" customHeight="1">
      <c r="A693" s="17">
        <v>46023.0</v>
      </c>
      <c r="B693" s="44" t="s">
        <v>263</v>
      </c>
      <c r="C693" s="44" t="s">
        <v>67</v>
      </c>
      <c r="D693" s="45" t="s">
        <v>295</v>
      </c>
      <c r="E693" s="19">
        <f>IF($D693&lt;&gt;"Entregado",0,IF($C693="","",VLOOKUP($C693,'DATA DE TARIFA'!$A$4:$C$68,2,FALSE)/1.18))</f>
        <v>10.16949153</v>
      </c>
      <c r="F693" s="19">
        <f>IF($C693="","",IF($D693="",0,VLOOKUP($C693,'DATA DE TARIFA'!$A$4:$C$68,3,FALSE)))</f>
        <v>5.5</v>
      </c>
      <c r="G693" s="66">
        <v>0.0</v>
      </c>
      <c r="H693" s="19">
        <f t="shared" si="1"/>
        <v>10.16949153</v>
      </c>
      <c r="I693" s="19">
        <f t="shared" si="2"/>
        <v>5.5</v>
      </c>
      <c r="J693" s="67"/>
      <c r="K693" s="44" t="str">
        <f>IF($B693="","",IFERROR(VLOOKUP($B693,Tiendas!$A$4:$B$176,2,FALSE),""))</f>
        <v>CHRISTIAN</v>
      </c>
      <c r="L693" s="68" t="s">
        <v>296</v>
      </c>
      <c r="M693" s="44" t="str">
        <f>IF($B693="","",IFERROR(VLOOKUP($B693,Tiendas!$A$4:$I$176,9,FALSE),""))</f>
        <v>No</v>
      </c>
      <c r="N693" s="71">
        <f t="shared" si="3"/>
        <v>0</v>
      </c>
      <c r="O693" s="71">
        <f t="shared" si="4"/>
        <v>0</v>
      </c>
    </row>
    <row r="694" ht="15.75" customHeight="1">
      <c r="A694" s="17">
        <v>46023.0</v>
      </c>
      <c r="B694" s="44" t="s">
        <v>263</v>
      </c>
      <c r="C694" s="44" t="s">
        <v>32</v>
      </c>
      <c r="D694" s="45" t="s">
        <v>295</v>
      </c>
      <c r="E694" s="19">
        <f>IF($D694&lt;&gt;"Entregado",0,IF($C694="","",VLOOKUP($C694,'DATA DE TARIFA'!$A$4:$C$68,2,FALSE)/1.18))</f>
        <v>8.474576271</v>
      </c>
      <c r="F694" s="19">
        <f>IF($C694="","",IF($D694="",0,VLOOKUP($C694,'DATA DE TARIFA'!$A$4:$C$68,3,FALSE)))</f>
        <v>4.5</v>
      </c>
      <c r="G694" s="66">
        <v>0.0</v>
      </c>
      <c r="H694" s="19">
        <f t="shared" si="1"/>
        <v>8.474576271</v>
      </c>
      <c r="I694" s="19">
        <f t="shared" si="2"/>
        <v>4.5</v>
      </c>
      <c r="J694" s="67"/>
      <c r="K694" s="44" t="str">
        <f>IF($B694="","",IFERROR(VLOOKUP($B694,Tiendas!$A$4:$B$176,2,FALSE),""))</f>
        <v>CHRISTIAN</v>
      </c>
      <c r="L694" s="68" t="s">
        <v>296</v>
      </c>
      <c r="M694" s="44" t="str">
        <f>IF($B694="","",IFERROR(VLOOKUP($B694,Tiendas!$A$4:$I$176,9,FALSE),""))</f>
        <v>No</v>
      </c>
      <c r="N694" s="71">
        <f t="shared" si="3"/>
        <v>0</v>
      </c>
      <c r="O694" s="71">
        <f t="shared" si="4"/>
        <v>0</v>
      </c>
    </row>
    <row r="695" ht="15.75" customHeight="1">
      <c r="A695" s="17">
        <v>46023.0</v>
      </c>
      <c r="B695" s="44" t="s">
        <v>263</v>
      </c>
      <c r="C695" s="44" t="s">
        <v>24</v>
      </c>
      <c r="D695" s="45" t="s">
        <v>295</v>
      </c>
      <c r="E695" s="19">
        <f>IF($D695&lt;&gt;"Entregado",0,IF($C695="","",VLOOKUP($C695,'DATA DE TARIFA'!$A$4:$C$68,2,FALSE)/1.18))</f>
        <v>8.474576271</v>
      </c>
      <c r="F695" s="19">
        <f>IF($C695="","",IF($D695="",0,VLOOKUP($C695,'DATA DE TARIFA'!$A$4:$C$68,3,FALSE)))</f>
        <v>4.5</v>
      </c>
      <c r="G695" s="66">
        <v>0.0</v>
      </c>
      <c r="H695" s="19">
        <f t="shared" si="1"/>
        <v>8.474576271</v>
      </c>
      <c r="I695" s="19">
        <f t="shared" si="2"/>
        <v>4.5</v>
      </c>
      <c r="J695" s="67"/>
      <c r="K695" s="44" t="str">
        <f>IF($B695="","",IFERROR(VLOOKUP($B695,Tiendas!$A$4:$B$176,2,FALSE),""))</f>
        <v>CHRISTIAN</v>
      </c>
      <c r="L695" s="68" t="s">
        <v>296</v>
      </c>
      <c r="M695" s="44" t="str">
        <f>IF($B695="","",IFERROR(VLOOKUP($B695,Tiendas!$A$4:$I$176,9,FALSE),""))</f>
        <v>No</v>
      </c>
      <c r="N695" s="71">
        <f t="shared" si="3"/>
        <v>0</v>
      </c>
      <c r="O695" s="71">
        <f t="shared" si="4"/>
        <v>0</v>
      </c>
    </row>
    <row r="696" ht="15.75" customHeight="1">
      <c r="A696" s="17">
        <v>46023.0</v>
      </c>
      <c r="B696" s="44" t="s">
        <v>263</v>
      </c>
      <c r="C696" s="44" t="s">
        <v>26</v>
      </c>
      <c r="D696" s="45" t="s">
        <v>295</v>
      </c>
      <c r="E696" s="19">
        <f>IF($D696&lt;&gt;"Entregado",0,IF($C696="","",VLOOKUP($C696,'DATA DE TARIFA'!$A$4:$C$68,2,FALSE)/1.18))</f>
        <v>10.16949153</v>
      </c>
      <c r="F696" s="19">
        <f>IF($C696="","",IF($D696="",0,VLOOKUP($C696,'DATA DE TARIFA'!$A$4:$C$68,3,FALSE)))</f>
        <v>5</v>
      </c>
      <c r="G696" s="66">
        <v>2.0</v>
      </c>
      <c r="H696" s="19">
        <f t="shared" si="1"/>
        <v>10.16949153</v>
      </c>
      <c r="I696" s="19">
        <f t="shared" si="2"/>
        <v>7</v>
      </c>
      <c r="J696" s="67"/>
      <c r="K696" s="44" t="str">
        <f>IF($B696="","",IFERROR(VLOOKUP($B696,Tiendas!$A$4:$B$176,2,FALSE),""))</f>
        <v>CHRISTIAN</v>
      </c>
      <c r="L696" s="68" t="s">
        <v>296</v>
      </c>
      <c r="M696" s="44" t="str">
        <f>IF($B696="","",IFERROR(VLOOKUP($B696,Tiendas!$A$4:$I$176,9,FALSE),""))</f>
        <v>No</v>
      </c>
      <c r="N696" s="71">
        <f t="shared" si="3"/>
        <v>0</v>
      </c>
      <c r="O696" s="71">
        <f t="shared" si="4"/>
        <v>0</v>
      </c>
    </row>
    <row r="697" ht="15.75" customHeight="1">
      <c r="A697" s="17">
        <v>46023.0</v>
      </c>
      <c r="B697" s="44" t="s">
        <v>263</v>
      </c>
      <c r="C697" s="44" t="s">
        <v>34</v>
      </c>
      <c r="D697" s="45" t="s">
        <v>295</v>
      </c>
      <c r="E697" s="19">
        <f>IF($D697&lt;&gt;"Entregado",0,IF($C697="","",VLOOKUP($C697,'DATA DE TARIFA'!$A$4:$C$68,2,FALSE)/1.18))</f>
        <v>10.16949153</v>
      </c>
      <c r="F697" s="19">
        <f>IF($C697="","",IF($D697="",0,VLOOKUP($C697,'DATA DE TARIFA'!$A$4:$C$68,3,FALSE)))</f>
        <v>4.5</v>
      </c>
      <c r="G697" s="66">
        <v>0.0</v>
      </c>
      <c r="H697" s="19">
        <f t="shared" si="1"/>
        <v>10.16949153</v>
      </c>
      <c r="I697" s="19">
        <f t="shared" si="2"/>
        <v>4.5</v>
      </c>
      <c r="J697" s="67"/>
      <c r="K697" s="44" t="str">
        <f>IF($B697="","",IFERROR(VLOOKUP($B697,Tiendas!$A$4:$B$176,2,FALSE),""))</f>
        <v>CHRISTIAN</v>
      </c>
      <c r="L697" s="68" t="s">
        <v>296</v>
      </c>
      <c r="M697" s="44" t="str">
        <f>IF($B697="","",IFERROR(VLOOKUP($B697,Tiendas!$A$4:$I$176,9,FALSE),""))</f>
        <v>No</v>
      </c>
      <c r="N697" s="71">
        <f t="shared" si="3"/>
        <v>0</v>
      </c>
      <c r="O697" s="71">
        <f t="shared" si="4"/>
        <v>0</v>
      </c>
    </row>
    <row r="698" ht="15.75" customHeight="1">
      <c r="A698" s="17">
        <v>46023.0</v>
      </c>
      <c r="B698" s="44" t="s">
        <v>263</v>
      </c>
      <c r="C698" s="44" t="s">
        <v>61</v>
      </c>
      <c r="D698" s="45" t="s">
        <v>295</v>
      </c>
      <c r="E698" s="19">
        <f>IF($D698&lt;&gt;"Entregado",0,IF($C698="","",VLOOKUP($C698,'DATA DE TARIFA'!$A$4:$C$68,2,FALSE)/1.18))</f>
        <v>8.474576271</v>
      </c>
      <c r="F698" s="19">
        <f>IF($C698="","",IF($D698="",0,VLOOKUP($C698,'DATA DE TARIFA'!$A$4:$C$68,3,FALSE)))</f>
        <v>4.5</v>
      </c>
      <c r="G698" s="66">
        <v>0.0</v>
      </c>
      <c r="H698" s="19">
        <f t="shared" si="1"/>
        <v>8.474576271</v>
      </c>
      <c r="I698" s="19">
        <f t="shared" si="2"/>
        <v>4.5</v>
      </c>
      <c r="J698" s="67"/>
      <c r="K698" s="44" t="str">
        <f>IF($B698="","",IFERROR(VLOOKUP($B698,Tiendas!$A$4:$B$176,2,FALSE),""))</f>
        <v>CHRISTIAN</v>
      </c>
      <c r="L698" s="68" t="s">
        <v>296</v>
      </c>
      <c r="M698" s="44" t="str">
        <f>IF($B698="","",IFERROR(VLOOKUP($B698,Tiendas!$A$4:$I$176,9,FALSE),""))</f>
        <v>No</v>
      </c>
      <c r="N698" s="71">
        <f t="shared" si="3"/>
        <v>0</v>
      </c>
      <c r="O698" s="71">
        <f t="shared" si="4"/>
        <v>0</v>
      </c>
    </row>
    <row r="699" ht="15.75" customHeight="1">
      <c r="A699" s="17">
        <v>46023.0</v>
      </c>
      <c r="B699" s="44" t="s">
        <v>263</v>
      </c>
      <c r="C699" s="44" t="s">
        <v>24</v>
      </c>
      <c r="D699" s="45" t="s">
        <v>295</v>
      </c>
      <c r="E699" s="19">
        <f>IF($D699&lt;&gt;"Entregado",0,IF($C699="","",VLOOKUP($C699,'DATA DE TARIFA'!$A$4:$C$68,2,FALSE)/1.18))</f>
        <v>8.474576271</v>
      </c>
      <c r="F699" s="19">
        <f>IF($C699="","",IF($D699="",0,VLOOKUP($C699,'DATA DE TARIFA'!$A$4:$C$68,3,FALSE)))</f>
        <v>4.5</v>
      </c>
      <c r="G699" s="66">
        <v>0.0</v>
      </c>
      <c r="H699" s="19">
        <f t="shared" si="1"/>
        <v>8.474576271</v>
      </c>
      <c r="I699" s="19">
        <f t="shared" si="2"/>
        <v>4.5</v>
      </c>
      <c r="J699" s="67"/>
      <c r="K699" s="44" t="str">
        <f>IF($B699="","",IFERROR(VLOOKUP($B699,Tiendas!$A$4:$B$176,2,FALSE),""))</f>
        <v>CHRISTIAN</v>
      </c>
      <c r="L699" s="68" t="s">
        <v>296</v>
      </c>
      <c r="M699" s="44" t="str">
        <f>IF($B699="","",IFERROR(VLOOKUP($B699,Tiendas!$A$4:$I$176,9,FALSE),""))</f>
        <v>No</v>
      </c>
      <c r="N699" s="71">
        <f t="shared" si="3"/>
        <v>0</v>
      </c>
      <c r="O699" s="71">
        <f t="shared" si="4"/>
        <v>0</v>
      </c>
    </row>
    <row r="700" ht="15.75" customHeight="1">
      <c r="A700" s="17">
        <v>46023.0</v>
      </c>
      <c r="B700" s="44" t="s">
        <v>262</v>
      </c>
      <c r="C700" s="44" t="s">
        <v>302</v>
      </c>
      <c r="D700" s="45" t="s">
        <v>295</v>
      </c>
      <c r="E700" s="19">
        <f>IF($D700&lt;&gt;"Entregado",0,IF($C700="","",VLOOKUP($C700,'DATA DE TARIFA'!$A$4:$C$68,2,FALSE)/1.18))</f>
        <v>8.474576271</v>
      </c>
      <c r="F700" s="19">
        <f>IF($C700="","",IF($D700="",0,VLOOKUP($C700,'DATA DE TARIFA'!$A$4:$C$68,3,FALSE)))</f>
        <v>4.5</v>
      </c>
      <c r="G700" s="66">
        <v>0.0</v>
      </c>
      <c r="H700" s="19">
        <f t="shared" si="1"/>
        <v>8.474576271</v>
      </c>
      <c r="I700" s="19">
        <f t="shared" si="2"/>
        <v>4.5</v>
      </c>
      <c r="J700" s="67"/>
      <c r="K700" s="44" t="str">
        <f>IF($B700="","",IFERROR(VLOOKUP($B700,Tiendas!$A$4:$B$176,2,FALSE),""))</f>
        <v>CHRISTIAN</v>
      </c>
      <c r="L700" s="68" t="s">
        <v>296</v>
      </c>
      <c r="M700" s="44" t="str">
        <f>IF($B700="","",IFERROR(VLOOKUP($B700,Tiendas!$A$4:$I$176,9,FALSE),""))</f>
        <v>No</v>
      </c>
      <c r="N700" s="71">
        <f t="shared" si="3"/>
        <v>0</v>
      </c>
      <c r="O700" s="71">
        <f t="shared" si="4"/>
        <v>0</v>
      </c>
    </row>
    <row r="701" ht="15.75" customHeight="1">
      <c r="A701" s="17">
        <v>46023.0</v>
      </c>
      <c r="B701" s="44" t="s">
        <v>262</v>
      </c>
      <c r="C701" s="44" t="s">
        <v>42</v>
      </c>
      <c r="D701" s="45" t="s">
        <v>295</v>
      </c>
      <c r="E701" s="19">
        <f>IF($D701&lt;&gt;"Entregado",0,IF($C701="","",VLOOKUP($C701,'DATA DE TARIFA'!$A$4:$C$68,2,FALSE)/1.18))</f>
        <v>8.474576271</v>
      </c>
      <c r="F701" s="19">
        <f>IF($C701="","",IF($D701="",0,VLOOKUP($C701,'DATA DE TARIFA'!$A$4:$C$68,3,FALSE)))</f>
        <v>4</v>
      </c>
      <c r="G701" s="66">
        <v>0.0</v>
      </c>
      <c r="H701" s="19">
        <f t="shared" si="1"/>
        <v>8.474576271</v>
      </c>
      <c r="I701" s="19">
        <f t="shared" si="2"/>
        <v>4</v>
      </c>
      <c r="J701" s="67"/>
      <c r="K701" s="44" t="str">
        <f>IF($B701="","",IFERROR(VLOOKUP($B701,Tiendas!$A$4:$B$176,2,FALSE),""))</f>
        <v>CHRISTIAN</v>
      </c>
      <c r="L701" s="68" t="s">
        <v>296</v>
      </c>
      <c r="M701" s="44" t="str">
        <f>IF($B701="","",IFERROR(VLOOKUP($B701,Tiendas!$A$4:$I$176,9,FALSE),""))</f>
        <v>No</v>
      </c>
      <c r="N701" s="71">
        <f t="shared" si="3"/>
        <v>0</v>
      </c>
      <c r="O701" s="71">
        <f t="shared" si="4"/>
        <v>0</v>
      </c>
    </row>
    <row r="702" ht="15.75" customHeight="1">
      <c r="A702" s="17">
        <v>46023.0</v>
      </c>
      <c r="B702" s="44" t="s">
        <v>264</v>
      </c>
      <c r="C702" s="44" t="s">
        <v>58</v>
      </c>
      <c r="D702" s="45" t="s">
        <v>295</v>
      </c>
      <c r="E702" s="19">
        <f>IF($D702&lt;&gt;"Entregado",0,IF($C702="","",VLOOKUP($C702,'DATA DE TARIFA'!$A$4:$C$68,2,FALSE)/1.18))</f>
        <v>8.474576271</v>
      </c>
      <c r="F702" s="19">
        <f>IF($C702="","",IF($D702="",0,VLOOKUP($C702,'DATA DE TARIFA'!$A$4:$C$68,3,FALSE)))</f>
        <v>4</v>
      </c>
      <c r="G702" s="66">
        <v>0.0</v>
      </c>
      <c r="H702" s="19">
        <f t="shared" si="1"/>
        <v>8.474576271</v>
      </c>
      <c r="I702" s="19">
        <f t="shared" si="2"/>
        <v>4</v>
      </c>
      <c r="J702" s="67"/>
      <c r="K702" s="44" t="str">
        <f>IF($B702="","",IFERROR(VLOOKUP($B702,Tiendas!$A$4:$B$176,2,FALSE),""))</f>
        <v>CHRISTIAN</v>
      </c>
      <c r="L702" s="68" t="s">
        <v>296</v>
      </c>
      <c r="M702" s="44" t="str">
        <f>IF($B702="","",IFERROR(VLOOKUP($B702,Tiendas!$A$4:$I$176,9,FALSE),""))</f>
        <v>No</v>
      </c>
      <c r="N702" s="71">
        <f t="shared" si="3"/>
        <v>0</v>
      </c>
      <c r="O702" s="71">
        <f t="shared" si="4"/>
        <v>0</v>
      </c>
    </row>
    <row r="703" ht="15.75" customHeight="1">
      <c r="A703" s="17">
        <v>46023.0</v>
      </c>
      <c r="B703" s="44" t="s">
        <v>264</v>
      </c>
      <c r="C703" s="44" t="s">
        <v>70</v>
      </c>
      <c r="D703" s="45" t="s">
        <v>295</v>
      </c>
      <c r="E703" s="19">
        <f>IF($D703&lt;&gt;"Entregado",0,IF($C703="","",VLOOKUP($C703,'DATA DE TARIFA'!$A$4:$C$68,2,FALSE)/1.18))</f>
        <v>8.474576271</v>
      </c>
      <c r="F703" s="19">
        <f>IF($C703="","",IF($D703="",0,VLOOKUP($C703,'DATA DE TARIFA'!$A$4:$C$68,3,FALSE)))</f>
        <v>4</v>
      </c>
      <c r="G703" s="66">
        <v>1.0</v>
      </c>
      <c r="H703" s="19">
        <f t="shared" si="1"/>
        <v>8.474576271</v>
      </c>
      <c r="I703" s="19">
        <f t="shared" si="2"/>
        <v>5</v>
      </c>
      <c r="J703" s="67"/>
      <c r="K703" s="44" t="str">
        <f>IF($B703="","",IFERROR(VLOOKUP($B703,Tiendas!$A$4:$B$176,2,FALSE),""))</f>
        <v>CHRISTIAN</v>
      </c>
      <c r="L703" s="68" t="s">
        <v>296</v>
      </c>
      <c r="M703" s="44" t="str">
        <f>IF($B703="","",IFERROR(VLOOKUP($B703,Tiendas!$A$4:$I$176,9,FALSE),""))</f>
        <v>No</v>
      </c>
      <c r="N703" s="71">
        <f t="shared" si="3"/>
        <v>0</v>
      </c>
      <c r="O703" s="71">
        <f t="shared" si="4"/>
        <v>0</v>
      </c>
    </row>
    <row r="704" ht="15.75" customHeight="1">
      <c r="A704" s="17">
        <v>46023.0</v>
      </c>
      <c r="B704" s="44" t="s">
        <v>264</v>
      </c>
      <c r="C704" s="44" t="s">
        <v>69</v>
      </c>
      <c r="D704" s="45" t="s">
        <v>295</v>
      </c>
      <c r="E704" s="19">
        <f>IF($D704&lt;&gt;"Entregado",0,IF($C704="","",VLOOKUP($C704,'DATA DE TARIFA'!$A$4:$C$68,2,FALSE)/1.18))</f>
        <v>8.474576271</v>
      </c>
      <c r="F704" s="19">
        <f>IF($C704="","",IF($D704="",0,VLOOKUP($C704,'DATA DE TARIFA'!$A$4:$C$68,3,FALSE)))</f>
        <v>4</v>
      </c>
      <c r="G704" s="66">
        <v>1.0</v>
      </c>
      <c r="H704" s="19">
        <f t="shared" si="1"/>
        <v>8.474576271</v>
      </c>
      <c r="I704" s="19">
        <f t="shared" si="2"/>
        <v>5</v>
      </c>
      <c r="J704" s="67"/>
      <c r="K704" s="44" t="str">
        <f>IF($B704="","",IFERROR(VLOOKUP($B704,Tiendas!$A$4:$B$176,2,FALSE),""))</f>
        <v>CHRISTIAN</v>
      </c>
      <c r="L704" s="68" t="s">
        <v>296</v>
      </c>
      <c r="M704" s="44" t="str">
        <f>IF($B704="","",IFERROR(VLOOKUP($B704,Tiendas!$A$4:$I$176,9,FALSE),""))</f>
        <v>No</v>
      </c>
      <c r="N704" s="71">
        <f t="shared" si="3"/>
        <v>0</v>
      </c>
      <c r="O704" s="71">
        <f t="shared" si="4"/>
        <v>0</v>
      </c>
    </row>
    <row r="705" ht="15.75" customHeight="1">
      <c r="A705" s="17">
        <v>46023.0</v>
      </c>
      <c r="B705" s="44" t="s">
        <v>264</v>
      </c>
      <c r="C705" s="44" t="s">
        <v>23</v>
      </c>
      <c r="D705" s="45" t="s">
        <v>295</v>
      </c>
      <c r="E705" s="19">
        <f>IF($D705&lt;&gt;"Entregado",0,IF($C705="","",VLOOKUP($C705,'DATA DE TARIFA'!$A$4:$C$68,2,FALSE)/1.18))</f>
        <v>8.474576271</v>
      </c>
      <c r="F705" s="19">
        <f>IF($C705="","",IF($D705="",0,VLOOKUP($C705,'DATA DE TARIFA'!$A$4:$C$68,3,FALSE)))</f>
        <v>4.5</v>
      </c>
      <c r="G705" s="66">
        <v>0.0</v>
      </c>
      <c r="H705" s="19">
        <f t="shared" si="1"/>
        <v>8.474576271</v>
      </c>
      <c r="I705" s="19">
        <f t="shared" si="2"/>
        <v>4.5</v>
      </c>
      <c r="J705" s="67"/>
      <c r="K705" s="44" t="str">
        <f>IF($B705="","",IFERROR(VLOOKUP($B705,Tiendas!$A$4:$B$176,2,FALSE),""))</f>
        <v>CHRISTIAN</v>
      </c>
      <c r="L705" s="68" t="s">
        <v>296</v>
      </c>
      <c r="M705" s="44" t="str">
        <f>IF($B705="","",IFERROR(VLOOKUP($B705,Tiendas!$A$4:$I$176,9,FALSE),""))</f>
        <v>No</v>
      </c>
      <c r="N705" s="71">
        <f t="shared" si="3"/>
        <v>0</v>
      </c>
      <c r="O705" s="71">
        <f t="shared" si="4"/>
        <v>0</v>
      </c>
    </row>
    <row r="706" ht="15.75" customHeight="1">
      <c r="A706" s="17">
        <v>46023.0</v>
      </c>
      <c r="B706" s="44" t="s">
        <v>260</v>
      </c>
      <c r="C706" s="44" t="s">
        <v>21</v>
      </c>
      <c r="D706" s="45" t="s">
        <v>295</v>
      </c>
      <c r="E706" s="19">
        <f>IF($D706&lt;&gt;"Entregado",0,IF($C706="","",VLOOKUP($C706,'DATA DE TARIFA'!$A$4:$C$68,2,FALSE)/1.18))</f>
        <v>10.16949153</v>
      </c>
      <c r="F706" s="19">
        <f>IF($C706="","",IF($D706="",0,VLOOKUP($C706,'DATA DE TARIFA'!$A$4:$C$68,3,FALSE)))</f>
        <v>4.5</v>
      </c>
      <c r="G706" s="66">
        <v>0.0</v>
      </c>
      <c r="H706" s="19">
        <f t="shared" si="1"/>
        <v>10.16949153</v>
      </c>
      <c r="I706" s="19">
        <f t="shared" si="2"/>
        <v>4.5</v>
      </c>
      <c r="J706" s="67"/>
      <c r="K706" s="44" t="str">
        <f>IF($B706="","",IFERROR(VLOOKUP($B706,Tiendas!$A$4:$B$176,2,FALSE),""))</f>
        <v>ALEXIS</v>
      </c>
      <c r="L706" s="68" t="s">
        <v>296</v>
      </c>
      <c r="M706" s="44" t="str">
        <f>IF($B706="","",IFERROR(VLOOKUP($B706,Tiendas!$A$4:$I$176,9,FALSE),""))</f>
        <v>No</v>
      </c>
      <c r="N706" s="71">
        <f t="shared" si="3"/>
        <v>0</v>
      </c>
      <c r="O706" s="71">
        <f t="shared" si="4"/>
        <v>0</v>
      </c>
    </row>
    <row r="707" ht="15.75" customHeight="1">
      <c r="A707" s="17">
        <v>46023.0</v>
      </c>
      <c r="B707" s="44" t="s">
        <v>260</v>
      </c>
      <c r="C707" s="44" t="s">
        <v>70</v>
      </c>
      <c r="D707" s="45" t="s">
        <v>295</v>
      </c>
      <c r="E707" s="19">
        <f>IF($D707&lt;&gt;"Entregado",0,IF($C707="","",VLOOKUP($C707,'DATA DE TARIFA'!$A$4:$C$68,2,FALSE)/1.18))</f>
        <v>8.474576271</v>
      </c>
      <c r="F707" s="19">
        <f>IF($C707="","",IF($D707="",0,VLOOKUP($C707,'DATA DE TARIFA'!$A$4:$C$68,3,FALSE)))</f>
        <v>4</v>
      </c>
      <c r="G707" s="66">
        <v>0.0</v>
      </c>
      <c r="H707" s="19">
        <f t="shared" si="1"/>
        <v>8.474576271</v>
      </c>
      <c r="I707" s="19">
        <f t="shared" si="2"/>
        <v>4</v>
      </c>
      <c r="J707" s="67"/>
      <c r="K707" s="44" t="str">
        <f>IF($B707="","",IFERROR(VLOOKUP($B707,Tiendas!$A$4:$B$176,2,FALSE),""))</f>
        <v>ALEXIS</v>
      </c>
      <c r="L707" s="68" t="s">
        <v>296</v>
      </c>
      <c r="M707" s="44" t="str">
        <f>IF($B707="","",IFERROR(VLOOKUP($B707,Tiendas!$A$4:$I$176,9,FALSE),""))</f>
        <v>No</v>
      </c>
      <c r="N707" s="71">
        <f t="shared" si="3"/>
        <v>0</v>
      </c>
      <c r="O707" s="71">
        <f t="shared" si="4"/>
        <v>0</v>
      </c>
    </row>
    <row r="708" ht="15.75" customHeight="1">
      <c r="A708" s="17">
        <v>46023.0</v>
      </c>
      <c r="B708" s="44" t="s">
        <v>260</v>
      </c>
      <c r="C708" s="44" t="s">
        <v>303</v>
      </c>
      <c r="D708" s="45" t="s">
        <v>295</v>
      </c>
      <c r="E708" s="19">
        <f>IF($D708&lt;&gt;"Entregado",0,IF($C708="","",VLOOKUP($C708,'DATA DE TARIFA'!$A$4:$C$68,2,FALSE)/1.18))</f>
        <v>8.474576271</v>
      </c>
      <c r="F708" s="19">
        <f>IF($C708="","",IF($D708="",0,VLOOKUP($C708,'DATA DE TARIFA'!$A$4:$C$68,3,FALSE)))</f>
        <v>4</v>
      </c>
      <c r="G708" s="66">
        <v>0.0</v>
      </c>
      <c r="H708" s="19">
        <f t="shared" si="1"/>
        <v>8.474576271</v>
      </c>
      <c r="I708" s="19">
        <f t="shared" si="2"/>
        <v>4</v>
      </c>
      <c r="J708" s="67"/>
      <c r="K708" s="44" t="str">
        <f>IF($B708="","",IFERROR(VLOOKUP($B708,Tiendas!$A$4:$B$176,2,FALSE),""))</f>
        <v>ALEXIS</v>
      </c>
      <c r="L708" s="68" t="s">
        <v>296</v>
      </c>
      <c r="M708" s="44" t="str">
        <f>IF($B708="","",IFERROR(VLOOKUP($B708,Tiendas!$A$4:$I$176,9,FALSE),""))</f>
        <v>No</v>
      </c>
      <c r="N708" s="71">
        <f t="shared" si="3"/>
        <v>0</v>
      </c>
      <c r="O708" s="71">
        <f t="shared" si="4"/>
        <v>0</v>
      </c>
    </row>
    <row r="709" ht="15.75" customHeight="1">
      <c r="A709" s="17">
        <v>46023.0</v>
      </c>
      <c r="B709" s="74" t="s">
        <v>270</v>
      </c>
      <c r="C709" s="75" t="s">
        <v>68</v>
      </c>
      <c r="D709" s="76" t="s">
        <v>295</v>
      </c>
      <c r="E709" s="21">
        <f>IF($D709&lt;&gt;"Entregado",0,IF($C709="","",VLOOKUP($C709,'DATA DE TARIFA'!$A$4:$C$68,2,FALSE)/1.18))-10</f>
        <v>1.86440678</v>
      </c>
      <c r="F709" s="21">
        <f>IF($C709="","",IF($D709="",0,VLOOKUP($C709,'DATA DE TARIFA'!$A$4:$C$68,3,FALSE)))</f>
        <v>7.5</v>
      </c>
      <c r="G709" s="77">
        <v>0.0</v>
      </c>
      <c r="H709" s="21">
        <f t="shared" si="1"/>
        <v>1.86440678</v>
      </c>
      <c r="I709" s="21">
        <f t="shared" si="2"/>
        <v>7.5</v>
      </c>
      <c r="J709" s="67" t="s">
        <v>304</v>
      </c>
      <c r="K709" s="75" t="str">
        <f>IF($B709="","",IFERROR(VLOOKUP($B709,Tiendas!$A$4:$B$176,2,FALSE),""))</f>
        <v>SANDRA</v>
      </c>
      <c r="L709" s="78" t="s">
        <v>296</v>
      </c>
      <c r="M709" s="75" t="str">
        <f>IF($B709="","",IFERROR(VLOOKUP($B709,Tiendas!$A$4:$I$176,9,FALSE),""))</f>
        <v>No</v>
      </c>
      <c r="N709" s="79">
        <f t="shared" si="3"/>
        <v>0</v>
      </c>
      <c r="O709" s="79">
        <f t="shared" si="4"/>
        <v>0</v>
      </c>
      <c r="P709" s="80"/>
      <c r="Q709" s="80"/>
      <c r="R709" s="80"/>
      <c r="S709" s="80"/>
      <c r="T709" s="80"/>
      <c r="U709" s="80"/>
      <c r="V709" s="80"/>
    </row>
    <row r="710" ht="15.75" customHeight="1">
      <c r="A710" s="17">
        <v>46023.0</v>
      </c>
      <c r="B710" s="74" t="s">
        <v>270</v>
      </c>
      <c r="C710" s="75" t="s">
        <v>68</v>
      </c>
      <c r="D710" s="76" t="s">
        <v>295</v>
      </c>
      <c r="E710" s="21">
        <f>IF($D710&lt;&gt;"Entregado",0,IF($C710="","",VLOOKUP($C710,'DATA DE TARIFA'!$A$4:$C$68,2,FALSE)/1.18))</f>
        <v>11.86440678</v>
      </c>
      <c r="F710" s="21">
        <f>IF($C710="","",IF($D710="",0,VLOOKUP($C710,'DATA DE TARIFA'!$A$4:$C$68,3,FALSE)))</f>
        <v>7.5</v>
      </c>
      <c r="G710" s="77">
        <v>0.0</v>
      </c>
      <c r="H710" s="21">
        <f t="shared" si="1"/>
        <v>11.86440678</v>
      </c>
      <c r="I710" s="21">
        <f t="shared" si="2"/>
        <v>7.5</v>
      </c>
      <c r="J710" s="67" t="s">
        <v>304</v>
      </c>
      <c r="K710" s="75" t="str">
        <f>IF($B710="","",IFERROR(VLOOKUP($B710,Tiendas!$A$4:$B$176,2,FALSE),""))</f>
        <v>SANDRA</v>
      </c>
      <c r="L710" s="78" t="s">
        <v>296</v>
      </c>
      <c r="M710" s="75" t="str">
        <f>IF($B710="","",IFERROR(VLOOKUP($B710,Tiendas!$A$4:$I$176,9,FALSE),""))</f>
        <v>No</v>
      </c>
      <c r="N710" s="79">
        <f t="shared" si="3"/>
        <v>0</v>
      </c>
      <c r="O710" s="79">
        <f t="shared" si="4"/>
        <v>0</v>
      </c>
      <c r="P710" s="80"/>
      <c r="Q710" s="80"/>
      <c r="R710" s="80"/>
      <c r="S710" s="80"/>
      <c r="T710" s="80"/>
      <c r="U710" s="80"/>
      <c r="V710" s="80"/>
    </row>
    <row r="711" ht="15.75" customHeight="1">
      <c r="A711" s="17">
        <v>46023.0</v>
      </c>
      <c r="B711" s="44" t="s">
        <v>270</v>
      </c>
      <c r="C711" s="44" t="s">
        <v>21</v>
      </c>
      <c r="D711" s="45" t="s">
        <v>295</v>
      </c>
      <c r="E711" s="19">
        <f>IF($D711&lt;&gt;"Entregado",0,IF($C711="","",VLOOKUP($C711,'DATA DE TARIFA'!$A$4:$C$68,2,FALSE)/1.18))</f>
        <v>10.16949153</v>
      </c>
      <c r="F711" s="19">
        <f>IF($C711="","",IF($D711="",0,VLOOKUP($C711,'DATA DE TARIFA'!$A$4:$C$68,3,FALSE)))</f>
        <v>4.5</v>
      </c>
      <c r="G711" s="66">
        <v>0.0</v>
      </c>
      <c r="H711" s="19">
        <f t="shared" si="1"/>
        <v>10.16949153</v>
      </c>
      <c r="I711" s="19">
        <f t="shared" si="2"/>
        <v>4.5</v>
      </c>
      <c r="J711" s="67"/>
      <c r="K711" s="44" t="str">
        <f>IF($B711="","",IFERROR(VLOOKUP($B711,Tiendas!$A$4:$B$176,2,FALSE),""))</f>
        <v>SANDRA</v>
      </c>
      <c r="L711" s="68" t="s">
        <v>296</v>
      </c>
      <c r="M711" s="44" t="str">
        <f>IF($B711="","",IFERROR(VLOOKUP($B711,Tiendas!$A$4:$I$176,9,FALSE),""))</f>
        <v>No</v>
      </c>
      <c r="N711" s="71">
        <f t="shared" si="3"/>
        <v>0</v>
      </c>
      <c r="O711" s="71">
        <f t="shared" si="4"/>
        <v>0</v>
      </c>
    </row>
    <row r="712" ht="15.75" customHeight="1">
      <c r="A712" s="17">
        <v>46023.0</v>
      </c>
      <c r="B712" s="44" t="s">
        <v>270</v>
      </c>
      <c r="C712" s="44" t="s">
        <v>49</v>
      </c>
      <c r="D712" s="45" t="s">
        <v>295</v>
      </c>
      <c r="E712" s="19">
        <f>IF($D712&lt;&gt;"Entregado",0,IF($C712="","",VLOOKUP($C712,'DATA DE TARIFA'!$A$4:$C$68,2,FALSE)/1.18))</f>
        <v>10.16949153</v>
      </c>
      <c r="F712" s="19">
        <f>IF($C712="","",IF($D712="",0,VLOOKUP($C712,'DATA DE TARIFA'!$A$4:$C$68,3,FALSE)))</f>
        <v>5.5</v>
      </c>
      <c r="G712" s="66">
        <v>0.0</v>
      </c>
      <c r="H712" s="19">
        <f t="shared" si="1"/>
        <v>10.16949153</v>
      </c>
      <c r="I712" s="19">
        <f t="shared" si="2"/>
        <v>5.5</v>
      </c>
      <c r="J712" s="67"/>
      <c r="K712" s="44" t="str">
        <f>IF($B712="","",IFERROR(VLOOKUP($B712,Tiendas!$A$4:$B$176,2,FALSE),""))</f>
        <v>SANDRA</v>
      </c>
      <c r="L712" s="68" t="s">
        <v>296</v>
      </c>
      <c r="M712" s="44" t="str">
        <f>IF($B712="","",IFERROR(VLOOKUP($B712,Tiendas!$A$4:$I$176,9,FALSE),""))</f>
        <v>No</v>
      </c>
      <c r="N712" s="71">
        <f t="shared" si="3"/>
        <v>0</v>
      </c>
      <c r="O712" s="71">
        <f t="shared" si="4"/>
        <v>0</v>
      </c>
    </row>
    <row r="713" ht="15.75" customHeight="1">
      <c r="A713" s="17">
        <v>46023.0</v>
      </c>
      <c r="B713" s="44" t="s">
        <v>270</v>
      </c>
      <c r="C713" s="44" t="s">
        <v>32</v>
      </c>
      <c r="D713" s="45" t="s">
        <v>295</v>
      </c>
      <c r="E713" s="19">
        <f>IF($D713&lt;&gt;"Entregado",0,IF($C713="","",VLOOKUP($C713,'DATA DE TARIFA'!$A$4:$C$68,2,FALSE)/1.18))</f>
        <v>8.474576271</v>
      </c>
      <c r="F713" s="19">
        <f>IF($C713="","",IF($D713="",0,VLOOKUP($C713,'DATA DE TARIFA'!$A$4:$C$68,3,FALSE)))</f>
        <v>4.5</v>
      </c>
      <c r="G713" s="66">
        <v>0.0</v>
      </c>
      <c r="H713" s="19">
        <f t="shared" si="1"/>
        <v>8.474576271</v>
      </c>
      <c r="I713" s="19">
        <f t="shared" si="2"/>
        <v>4.5</v>
      </c>
      <c r="J713" s="67"/>
      <c r="K713" s="44" t="str">
        <f>IF($B713="","",IFERROR(VLOOKUP($B713,Tiendas!$A$4:$B$176,2,FALSE),""))</f>
        <v>SANDRA</v>
      </c>
      <c r="L713" s="68" t="s">
        <v>296</v>
      </c>
      <c r="M713" s="44" t="str">
        <f>IF($B713="","",IFERROR(VLOOKUP($B713,Tiendas!$A$4:$I$176,9,FALSE),""))</f>
        <v>No</v>
      </c>
      <c r="N713" s="71">
        <f t="shared" si="3"/>
        <v>0</v>
      </c>
      <c r="O713" s="71">
        <f t="shared" si="4"/>
        <v>0</v>
      </c>
    </row>
    <row r="714" ht="15.75" customHeight="1">
      <c r="A714" s="17">
        <v>46023.0</v>
      </c>
      <c r="B714" s="44" t="s">
        <v>270</v>
      </c>
      <c r="C714" s="44" t="s">
        <v>21</v>
      </c>
      <c r="D714" s="45" t="s">
        <v>295</v>
      </c>
      <c r="E714" s="19">
        <f>IF($D714&lt;&gt;"Entregado",0,IF($C714="","",VLOOKUP($C714,'DATA DE TARIFA'!$A$4:$C$68,2,FALSE)/1.18))</f>
        <v>10.16949153</v>
      </c>
      <c r="F714" s="19">
        <f>IF($C714="","",IF($D714="",0,VLOOKUP($C714,'DATA DE TARIFA'!$A$4:$C$68,3,FALSE)))</f>
        <v>4.5</v>
      </c>
      <c r="G714" s="66">
        <v>0.0</v>
      </c>
      <c r="H714" s="19">
        <f t="shared" si="1"/>
        <v>10.16949153</v>
      </c>
      <c r="I714" s="19">
        <f t="shared" si="2"/>
        <v>4.5</v>
      </c>
      <c r="J714" s="67"/>
      <c r="K714" s="44" t="str">
        <f>IF($B714="","",IFERROR(VLOOKUP($B714,Tiendas!$A$4:$B$176,2,FALSE),""))</f>
        <v>SANDRA</v>
      </c>
      <c r="L714" s="68" t="s">
        <v>296</v>
      </c>
      <c r="M714" s="44" t="str">
        <f>IF($B714="","",IFERROR(VLOOKUP($B714,Tiendas!$A$4:$I$176,9,FALSE),""))</f>
        <v>No</v>
      </c>
      <c r="N714" s="71">
        <f t="shared" si="3"/>
        <v>0</v>
      </c>
      <c r="O714" s="71">
        <f t="shared" si="4"/>
        <v>0</v>
      </c>
    </row>
    <row r="715" ht="15.75" customHeight="1">
      <c r="A715" s="17">
        <v>46023.0</v>
      </c>
      <c r="B715" s="44" t="s">
        <v>270</v>
      </c>
      <c r="C715" s="44" t="s">
        <v>67</v>
      </c>
      <c r="D715" s="45" t="s">
        <v>295</v>
      </c>
      <c r="E715" s="19">
        <f>IF($D715&lt;&gt;"Entregado",0,IF($C715="","",VLOOKUP($C715,'DATA DE TARIFA'!$A$4:$C$68,2,FALSE)/1.18))</f>
        <v>10.16949153</v>
      </c>
      <c r="F715" s="19">
        <f>IF($C715="","",IF($D715="",0,VLOOKUP($C715,'DATA DE TARIFA'!$A$4:$C$68,3,FALSE)))</f>
        <v>5.5</v>
      </c>
      <c r="G715" s="66">
        <v>0.0</v>
      </c>
      <c r="H715" s="19">
        <f t="shared" si="1"/>
        <v>10.16949153</v>
      </c>
      <c r="I715" s="19">
        <f t="shared" si="2"/>
        <v>5.5</v>
      </c>
      <c r="J715" s="67"/>
      <c r="K715" s="44" t="str">
        <f>IF($B715="","",IFERROR(VLOOKUP($B715,Tiendas!$A$4:$B$176,2,FALSE),""))</f>
        <v>SANDRA</v>
      </c>
      <c r="L715" s="68" t="s">
        <v>296</v>
      </c>
      <c r="M715" s="44" t="str">
        <f>IF($B715="","",IFERROR(VLOOKUP($B715,Tiendas!$A$4:$I$176,9,FALSE),""))</f>
        <v>No</v>
      </c>
      <c r="N715" s="71">
        <f t="shared" si="3"/>
        <v>0</v>
      </c>
      <c r="O715" s="71">
        <f t="shared" si="4"/>
        <v>0</v>
      </c>
    </row>
    <row r="716" ht="15.75" customHeight="1">
      <c r="A716" s="17">
        <v>46023.0</v>
      </c>
      <c r="B716" s="44" t="s">
        <v>270</v>
      </c>
      <c r="C716" s="44" t="s">
        <v>21</v>
      </c>
      <c r="D716" s="45" t="s">
        <v>295</v>
      </c>
      <c r="E716" s="19">
        <f>IF($D716&lt;&gt;"Entregado",0,IF($C716="","",VLOOKUP($C716,'DATA DE TARIFA'!$A$4:$C$68,2,FALSE)/1.18))</f>
        <v>10.16949153</v>
      </c>
      <c r="F716" s="19">
        <f>IF($C716="","",IF($D716="",0,VLOOKUP($C716,'DATA DE TARIFA'!$A$4:$C$68,3,FALSE)))</f>
        <v>4.5</v>
      </c>
      <c r="G716" s="66">
        <v>0.0</v>
      </c>
      <c r="H716" s="19">
        <f t="shared" si="1"/>
        <v>10.16949153</v>
      </c>
      <c r="I716" s="19">
        <f t="shared" si="2"/>
        <v>4.5</v>
      </c>
      <c r="J716" s="67"/>
      <c r="K716" s="44" t="str">
        <f>IF($B716="","",IFERROR(VLOOKUP($B716,Tiendas!$A$4:$B$176,2,FALSE),""))</f>
        <v>SANDRA</v>
      </c>
      <c r="L716" s="68" t="s">
        <v>296</v>
      </c>
      <c r="M716" s="44" t="str">
        <f>IF($B716="","",IFERROR(VLOOKUP($B716,Tiendas!$A$4:$I$176,9,FALSE),""))</f>
        <v>No</v>
      </c>
      <c r="N716" s="71">
        <f t="shared" si="3"/>
        <v>0</v>
      </c>
      <c r="O716" s="71">
        <f t="shared" si="4"/>
        <v>0</v>
      </c>
    </row>
    <row r="717" ht="15.75" customHeight="1">
      <c r="A717" s="17">
        <v>46023.0</v>
      </c>
      <c r="B717" s="44" t="s">
        <v>270</v>
      </c>
      <c r="C717" s="44" t="s">
        <v>21</v>
      </c>
      <c r="D717" s="45" t="s">
        <v>295</v>
      </c>
      <c r="E717" s="19">
        <f>IF($D717&lt;&gt;"Entregado",0,IF($C717="","",VLOOKUP($C717,'DATA DE TARIFA'!$A$4:$C$68,2,FALSE)/1.18))</f>
        <v>10.16949153</v>
      </c>
      <c r="F717" s="19">
        <f>IF($C717="","",IF($D717="",0,VLOOKUP($C717,'DATA DE TARIFA'!$A$4:$C$68,3,FALSE)))</f>
        <v>4.5</v>
      </c>
      <c r="G717" s="66">
        <v>0.0</v>
      </c>
      <c r="H717" s="19">
        <f t="shared" si="1"/>
        <v>10.16949153</v>
      </c>
      <c r="I717" s="19">
        <f t="shared" si="2"/>
        <v>4.5</v>
      </c>
      <c r="J717" s="67"/>
      <c r="K717" s="44" t="str">
        <f>IF($B717="","",IFERROR(VLOOKUP($B717,Tiendas!$A$4:$B$176,2,FALSE),""))</f>
        <v>SANDRA</v>
      </c>
      <c r="L717" s="68" t="s">
        <v>296</v>
      </c>
      <c r="M717" s="44" t="str">
        <f>IF($B717="","",IFERROR(VLOOKUP($B717,Tiendas!$A$4:$I$176,9,FALSE),""))</f>
        <v>No</v>
      </c>
      <c r="N717" s="71">
        <f t="shared" si="3"/>
        <v>0</v>
      </c>
      <c r="O717" s="71">
        <f t="shared" si="4"/>
        <v>0</v>
      </c>
    </row>
    <row r="718" ht="15.75" customHeight="1">
      <c r="A718" s="17">
        <v>46023.0</v>
      </c>
      <c r="B718" s="44" t="s">
        <v>270</v>
      </c>
      <c r="C718" s="44" t="s">
        <v>30</v>
      </c>
      <c r="D718" s="45" t="s">
        <v>295</v>
      </c>
      <c r="E718" s="19">
        <f>IF($D718&lt;&gt;"Entregado",0,IF($C718="","",VLOOKUP($C718,'DATA DE TARIFA'!$A$4:$C$68,2,FALSE)/1.18))</f>
        <v>8.474576271</v>
      </c>
      <c r="F718" s="19">
        <f>IF($C718="","",IF($D718="",0,VLOOKUP($C718,'DATA DE TARIFA'!$A$4:$C$68,3,FALSE)))</f>
        <v>4.5</v>
      </c>
      <c r="G718" s="66">
        <v>0.0</v>
      </c>
      <c r="H718" s="19">
        <f t="shared" si="1"/>
        <v>8.474576271</v>
      </c>
      <c r="I718" s="19">
        <f t="shared" si="2"/>
        <v>4.5</v>
      </c>
      <c r="J718" s="67"/>
      <c r="K718" s="44" t="str">
        <f>IF($B718="","",IFERROR(VLOOKUP($B718,Tiendas!$A$4:$B$176,2,FALSE),""))</f>
        <v>SANDRA</v>
      </c>
      <c r="L718" s="68" t="s">
        <v>296</v>
      </c>
      <c r="M718" s="44" t="str">
        <f>IF($B718="","",IFERROR(VLOOKUP($B718,Tiendas!$A$4:$I$176,9,FALSE),""))</f>
        <v>No</v>
      </c>
      <c r="N718" s="71">
        <f t="shared" si="3"/>
        <v>0</v>
      </c>
      <c r="O718" s="71">
        <f t="shared" si="4"/>
        <v>0</v>
      </c>
    </row>
    <row r="719" ht="15.75" customHeight="1">
      <c r="A719" s="17">
        <v>46023.0</v>
      </c>
      <c r="B719" s="44" t="s">
        <v>270</v>
      </c>
      <c r="C719" s="44" t="s">
        <v>34</v>
      </c>
      <c r="D719" s="45" t="s">
        <v>295</v>
      </c>
      <c r="E719" s="19">
        <f>IF($D719&lt;&gt;"Entregado",0,IF($C719="","",VLOOKUP($C719,'DATA DE TARIFA'!$A$4:$C$68,2,FALSE)/1.18))</f>
        <v>10.16949153</v>
      </c>
      <c r="F719" s="19">
        <f>IF($C719="","",IF($D719="",0,VLOOKUP($C719,'DATA DE TARIFA'!$A$4:$C$68,3,FALSE)))</f>
        <v>4.5</v>
      </c>
      <c r="G719" s="66">
        <v>0.0</v>
      </c>
      <c r="H719" s="19">
        <f t="shared" si="1"/>
        <v>10.16949153</v>
      </c>
      <c r="I719" s="19">
        <f t="shared" si="2"/>
        <v>4.5</v>
      </c>
      <c r="J719" s="67"/>
      <c r="K719" s="44" t="str">
        <f>IF($B719="","",IFERROR(VLOOKUP($B719,Tiendas!$A$4:$B$176,2,FALSE),""))</f>
        <v>SANDRA</v>
      </c>
      <c r="L719" s="68" t="s">
        <v>296</v>
      </c>
      <c r="M719" s="44" t="str">
        <f>IF($B719="","",IFERROR(VLOOKUP($B719,Tiendas!$A$4:$I$176,9,FALSE),""))</f>
        <v>No</v>
      </c>
      <c r="N719" s="71">
        <f t="shared" si="3"/>
        <v>0</v>
      </c>
      <c r="O719" s="71">
        <f t="shared" si="4"/>
        <v>0</v>
      </c>
    </row>
    <row r="720" ht="15.75" customHeight="1">
      <c r="A720" s="17">
        <v>46023.0</v>
      </c>
      <c r="B720" s="44" t="s">
        <v>270</v>
      </c>
      <c r="C720" s="44" t="s">
        <v>30</v>
      </c>
      <c r="D720" s="45" t="s">
        <v>295</v>
      </c>
      <c r="E720" s="19">
        <f>IF($D720&lt;&gt;"Entregado",0,IF($C720="","",VLOOKUP($C720,'DATA DE TARIFA'!$A$4:$C$68,2,FALSE)/1.18))</f>
        <v>8.474576271</v>
      </c>
      <c r="F720" s="19">
        <f>IF($C720="","",IF($D720="",0,VLOOKUP($C720,'DATA DE TARIFA'!$A$4:$C$68,3,FALSE)))</f>
        <v>4.5</v>
      </c>
      <c r="G720" s="66">
        <v>0.0</v>
      </c>
      <c r="H720" s="19">
        <f t="shared" si="1"/>
        <v>8.474576271</v>
      </c>
      <c r="I720" s="19">
        <f t="shared" si="2"/>
        <v>4.5</v>
      </c>
      <c r="J720" s="67"/>
      <c r="K720" s="44" t="str">
        <f>IF($B720="","",IFERROR(VLOOKUP($B720,Tiendas!$A$4:$B$176,2,FALSE),""))</f>
        <v>SANDRA</v>
      </c>
      <c r="L720" s="68" t="s">
        <v>296</v>
      </c>
      <c r="M720" s="44" t="str">
        <f>IF($B720="","",IFERROR(VLOOKUP($B720,Tiendas!$A$4:$I$176,9,FALSE),""))</f>
        <v>No</v>
      </c>
      <c r="N720" s="71">
        <f t="shared" si="3"/>
        <v>0</v>
      </c>
      <c r="O720" s="71">
        <f t="shared" si="4"/>
        <v>0</v>
      </c>
    </row>
    <row r="721" ht="15.75" customHeight="1">
      <c r="A721" s="17">
        <v>46023.0</v>
      </c>
      <c r="B721" s="44" t="s">
        <v>270</v>
      </c>
      <c r="C721" s="44" t="s">
        <v>211</v>
      </c>
      <c r="D721" s="45" t="s">
        <v>295</v>
      </c>
      <c r="E721" s="19">
        <f>IF($D721&lt;&gt;"Entregado",0,IF($C721="","",VLOOKUP($C721,'DATA DE TARIFA'!$A$4:$C$68,2,FALSE)/1.18))</f>
        <v>6.779661017</v>
      </c>
      <c r="F721" s="19">
        <f>IF($C721="","",IF($D721="",0,VLOOKUP($C721,'DATA DE TARIFA'!$A$4:$C$68,3,FALSE)))</f>
        <v>4</v>
      </c>
      <c r="G721" s="66">
        <v>0.0</v>
      </c>
      <c r="H721" s="19">
        <f t="shared" si="1"/>
        <v>6.779661017</v>
      </c>
      <c r="I721" s="19">
        <f t="shared" si="2"/>
        <v>4</v>
      </c>
      <c r="J721" s="67"/>
      <c r="K721" s="44" t="str">
        <f>IF($B721="","",IFERROR(VLOOKUP($B721,Tiendas!$A$4:$B$176,2,FALSE),""))</f>
        <v>SANDRA</v>
      </c>
      <c r="L721" s="68" t="s">
        <v>296</v>
      </c>
      <c r="M721" s="44" t="str">
        <f>IF($B721="","",IFERROR(VLOOKUP($B721,Tiendas!$A$4:$I$176,9,FALSE),""))</f>
        <v>No</v>
      </c>
      <c r="N721" s="71">
        <f t="shared" si="3"/>
        <v>0</v>
      </c>
      <c r="O721" s="71">
        <f t="shared" si="4"/>
        <v>0</v>
      </c>
    </row>
    <row r="722" ht="15.75" customHeight="1">
      <c r="A722" s="17">
        <v>46023.0</v>
      </c>
      <c r="B722" s="44" t="s">
        <v>270</v>
      </c>
      <c r="C722" s="44" t="s">
        <v>58</v>
      </c>
      <c r="D722" s="45" t="s">
        <v>295</v>
      </c>
      <c r="E722" s="19">
        <f>IF($D722&lt;&gt;"Entregado",0,IF($C722="","",VLOOKUP($C722,'DATA DE TARIFA'!$A$4:$C$68,2,FALSE)/1.18))</f>
        <v>8.474576271</v>
      </c>
      <c r="F722" s="19">
        <f>IF($C722="","",IF($D722="",0,VLOOKUP($C722,'DATA DE TARIFA'!$A$4:$C$68,3,FALSE)))</f>
        <v>4</v>
      </c>
      <c r="G722" s="66">
        <v>0.0</v>
      </c>
      <c r="H722" s="19">
        <f t="shared" si="1"/>
        <v>8.474576271</v>
      </c>
      <c r="I722" s="19">
        <f t="shared" si="2"/>
        <v>4</v>
      </c>
      <c r="J722" s="67"/>
      <c r="K722" s="44" t="str">
        <f>IF($B722="","",IFERROR(VLOOKUP($B722,Tiendas!$A$4:$B$176,2,FALSE),""))</f>
        <v>SANDRA</v>
      </c>
      <c r="L722" s="68" t="s">
        <v>296</v>
      </c>
      <c r="M722" s="44" t="str">
        <f>IF($B722="","",IFERROR(VLOOKUP($B722,Tiendas!$A$4:$I$176,9,FALSE),""))</f>
        <v>No</v>
      </c>
      <c r="N722" s="71">
        <f t="shared" si="3"/>
        <v>0</v>
      </c>
      <c r="O722" s="71">
        <f t="shared" si="4"/>
        <v>0</v>
      </c>
    </row>
    <row r="723" ht="15.75" customHeight="1">
      <c r="A723" s="17">
        <v>46023.0</v>
      </c>
      <c r="B723" s="44" t="s">
        <v>270</v>
      </c>
      <c r="C723" s="44" t="s">
        <v>32</v>
      </c>
      <c r="D723" s="45" t="s">
        <v>295</v>
      </c>
      <c r="E723" s="19">
        <f>IF($D723&lt;&gt;"Entregado",0,IF($C723="","",VLOOKUP($C723,'DATA DE TARIFA'!$A$4:$C$68,2,FALSE)/1.18))</f>
        <v>8.474576271</v>
      </c>
      <c r="F723" s="19">
        <f>IF($C723="","",IF($D723="",0,VLOOKUP($C723,'DATA DE TARIFA'!$A$4:$C$68,3,FALSE)))</f>
        <v>4.5</v>
      </c>
      <c r="G723" s="66">
        <v>0.0</v>
      </c>
      <c r="H723" s="19">
        <f t="shared" si="1"/>
        <v>8.474576271</v>
      </c>
      <c r="I723" s="19">
        <f t="shared" si="2"/>
        <v>4.5</v>
      </c>
      <c r="J723" s="67"/>
      <c r="K723" s="44" t="str">
        <f>IF($B723="","",IFERROR(VLOOKUP($B723,Tiendas!$A$4:$B$176,2,FALSE),""))</f>
        <v>SANDRA</v>
      </c>
      <c r="L723" s="68" t="s">
        <v>296</v>
      </c>
      <c r="M723" s="44" t="str">
        <f>IF($B723="","",IFERROR(VLOOKUP($B723,Tiendas!$A$4:$I$176,9,FALSE),""))</f>
        <v>No</v>
      </c>
      <c r="N723" s="71">
        <f t="shared" si="3"/>
        <v>0</v>
      </c>
      <c r="O723" s="71">
        <f t="shared" si="4"/>
        <v>0</v>
      </c>
    </row>
    <row r="724" ht="15.75" customHeight="1">
      <c r="A724" s="17">
        <v>46023.0</v>
      </c>
      <c r="B724" s="44" t="s">
        <v>270</v>
      </c>
      <c r="C724" s="44" t="s">
        <v>30</v>
      </c>
      <c r="D724" s="45" t="s">
        <v>295</v>
      </c>
      <c r="E724" s="19">
        <f>IF($D724&lt;&gt;"Entregado",0,IF($C724="","",VLOOKUP($C724,'DATA DE TARIFA'!$A$4:$C$68,2,FALSE)/1.18))</f>
        <v>8.474576271</v>
      </c>
      <c r="F724" s="19">
        <f>IF($C724="","",IF($D724="",0,VLOOKUP($C724,'DATA DE TARIFA'!$A$4:$C$68,3,FALSE)))</f>
        <v>4.5</v>
      </c>
      <c r="G724" s="66">
        <v>0.0</v>
      </c>
      <c r="H724" s="19">
        <f t="shared" si="1"/>
        <v>8.474576271</v>
      </c>
      <c r="I724" s="19">
        <f t="shared" si="2"/>
        <v>4.5</v>
      </c>
      <c r="J724" s="67"/>
      <c r="K724" s="44" t="str">
        <f>IF($B724="","",IFERROR(VLOOKUP($B724,Tiendas!$A$4:$B$176,2,FALSE),""))</f>
        <v>SANDRA</v>
      </c>
      <c r="L724" s="68" t="s">
        <v>296</v>
      </c>
      <c r="M724" s="44" t="str">
        <f>IF($B724="","",IFERROR(VLOOKUP($B724,Tiendas!$A$4:$I$176,9,FALSE),""))</f>
        <v>No</v>
      </c>
      <c r="N724" s="71">
        <f t="shared" si="3"/>
        <v>0</v>
      </c>
      <c r="O724" s="71">
        <f t="shared" si="4"/>
        <v>0</v>
      </c>
    </row>
    <row r="725" ht="15.75" customHeight="1">
      <c r="A725" s="17">
        <v>46023.0</v>
      </c>
      <c r="B725" s="44" t="s">
        <v>267</v>
      </c>
      <c r="C725" s="44" t="s">
        <v>36</v>
      </c>
      <c r="D725" s="45" t="s">
        <v>295</v>
      </c>
      <c r="E725" s="19">
        <f>IF($D725&lt;&gt;"Entregado",0,IF($C725="","",VLOOKUP($C725,'DATA DE TARIFA'!$A$4:$C$68,2,FALSE)/1.18))</f>
        <v>10.16949153</v>
      </c>
      <c r="F725" s="19">
        <f>IF($C725="","",IF($D725="",0,VLOOKUP($C725,'DATA DE TARIFA'!$A$4:$C$68,3,FALSE)))</f>
        <v>4.5</v>
      </c>
      <c r="G725" s="66">
        <v>0.0</v>
      </c>
      <c r="H725" s="19">
        <f t="shared" si="1"/>
        <v>10.16949153</v>
      </c>
      <c r="I725" s="19">
        <f t="shared" si="2"/>
        <v>4.5</v>
      </c>
      <c r="J725" s="67"/>
      <c r="K725" s="44" t="str">
        <f>IF($B725="","",IFERROR(VLOOKUP($B725,Tiendas!$A$4:$B$176,2,FALSE),""))</f>
        <v>SANDRA</v>
      </c>
      <c r="L725" s="68" t="s">
        <v>296</v>
      </c>
      <c r="M725" s="44" t="str">
        <f>IF($B725="","",IFERROR(VLOOKUP($B725,Tiendas!$A$4:$I$176,9,FALSE),""))</f>
        <v>No</v>
      </c>
      <c r="N725" s="71">
        <f t="shared" si="3"/>
        <v>0</v>
      </c>
      <c r="O725" s="71">
        <f t="shared" si="4"/>
        <v>0</v>
      </c>
    </row>
    <row r="726" ht="15.75" customHeight="1">
      <c r="A726" s="17">
        <v>46023.0</v>
      </c>
      <c r="B726" s="44" t="s">
        <v>267</v>
      </c>
      <c r="C726" s="44" t="s">
        <v>69</v>
      </c>
      <c r="D726" s="45" t="s">
        <v>295</v>
      </c>
      <c r="E726" s="19">
        <f>IF($D726&lt;&gt;"Entregado",0,IF($C726="","",VLOOKUP($C726,'DATA DE TARIFA'!$A$4:$C$68,2,FALSE)/1.18))</f>
        <v>8.474576271</v>
      </c>
      <c r="F726" s="19">
        <f>IF($C726="","",IF($D726="",0,VLOOKUP($C726,'DATA DE TARIFA'!$A$4:$C$68,3,FALSE)))</f>
        <v>4</v>
      </c>
      <c r="G726" s="66">
        <v>0.0</v>
      </c>
      <c r="H726" s="19">
        <f t="shared" si="1"/>
        <v>8.474576271</v>
      </c>
      <c r="I726" s="19">
        <f t="shared" si="2"/>
        <v>4</v>
      </c>
      <c r="J726" s="67"/>
      <c r="K726" s="44" t="str">
        <f>IF($B726="","",IFERROR(VLOOKUP($B726,Tiendas!$A$4:$B$176,2,FALSE),""))</f>
        <v>SANDRA</v>
      </c>
      <c r="L726" s="68" t="s">
        <v>296</v>
      </c>
      <c r="M726" s="44" t="str">
        <f>IF($B726="","",IFERROR(VLOOKUP($B726,Tiendas!$A$4:$I$176,9,FALSE),""))</f>
        <v>No</v>
      </c>
      <c r="N726" s="71">
        <f t="shared" si="3"/>
        <v>0</v>
      </c>
      <c r="O726" s="71">
        <f t="shared" si="4"/>
        <v>0</v>
      </c>
    </row>
    <row r="727" ht="15.75" customHeight="1">
      <c r="A727" s="17">
        <v>46023.0</v>
      </c>
      <c r="B727" s="44" t="s">
        <v>267</v>
      </c>
      <c r="C727" s="44" t="s">
        <v>34</v>
      </c>
      <c r="D727" s="45" t="s">
        <v>295</v>
      </c>
      <c r="E727" s="19">
        <f>IF($D727&lt;&gt;"Entregado",0,IF($C727="","",VLOOKUP($C727,'DATA DE TARIFA'!$A$4:$C$68,2,FALSE)/1.18))</f>
        <v>10.16949153</v>
      </c>
      <c r="F727" s="19">
        <f>IF($C727="","",IF($D727="",0,VLOOKUP($C727,'DATA DE TARIFA'!$A$4:$C$68,3,FALSE)))</f>
        <v>4.5</v>
      </c>
      <c r="G727" s="66">
        <v>0.0</v>
      </c>
      <c r="H727" s="19">
        <f t="shared" si="1"/>
        <v>10.16949153</v>
      </c>
      <c r="I727" s="19">
        <f t="shared" si="2"/>
        <v>4.5</v>
      </c>
      <c r="J727" s="67"/>
      <c r="K727" s="44" t="str">
        <f>IF($B727="","",IFERROR(VLOOKUP($B727,Tiendas!$A$4:$B$176,2,FALSE),""))</f>
        <v>SANDRA</v>
      </c>
      <c r="L727" s="68" t="s">
        <v>296</v>
      </c>
      <c r="M727" s="44" t="str">
        <f>IF($B727="","",IFERROR(VLOOKUP($B727,Tiendas!$A$4:$I$176,9,FALSE),""))</f>
        <v>No</v>
      </c>
      <c r="N727" s="71">
        <f t="shared" si="3"/>
        <v>0</v>
      </c>
      <c r="O727" s="71">
        <f t="shared" si="4"/>
        <v>0</v>
      </c>
    </row>
    <row r="728" ht="15.75" customHeight="1">
      <c r="A728" s="17">
        <v>46023.0</v>
      </c>
      <c r="B728" s="44" t="s">
        <v>267</v>
      </c>
      <c r="C728" s="44" t="s">
        <v>34</v>
      </c>
      <c r="D728" s="45" t="s">
        <v>295</v>
      </c>
      <c r="E728" s="19">
        <f>IF($D728&lt;&gt;"Entregado",0,IF($C728="","",VLOOKUP($C728,'DATA DE TARIFA'!$A$4:$C$68,2,FALSE)/1.18))</f>
        <v>10.16949153</v>
      </c>
      <c r="F728" s="19">
        <f>IF($C728="","",IF($D728="",0,VLOOKUP($C728,'DATA DE TARIFA'!$A$4:$C$68,3,FALSE)))</f>
        <v>4.5</v>
      </c>
      <c r="G728" s="66">
        <v>0.0</v>
      </c>
      <c r="H728" s="19">
        <f t="shared" si="1"/>
        <v>10.16949153</v>
      </c>
      <c r="I728" s="19">
        <f t="shared" si="2"/>
        <v>4.5</v>
      </c>
      <c r="J728" s="67"/>
      <c r="K728" s="44" t="str">
        <f>IF($B728="","",IFERROR(VLOOKUP($B728,Tiendas!$A$4:$B$176,2,FALSE),""))</f>
        <v>SANDRA</v>
      </c>
      <c r="L728" s="68" t="s">
        <v>296</v>
      </c>
      <c r="M728" s="44" t="str">
        <f>IF($B728="","",IFERROR(VLOOKUP($B728,Tiendas!$A$4:$I$176,9,FALSE),""))</f>
        <v>No</v>
      </c>
      <c r="N728" s="71">
        <f t="shared" si="3"/>
        <v>0</v>
      </c>
      <c r="O728" s="71">
        <f t="shared" si="4"/>
        <v>0</v>
      </c>
    </row>
    <row r="729" ht="15.75" customHeight="1">
      <c r="A729" s="17">
        <v>46023.0</v>
      </c>
      <c r="B729" s="44" t="s">
        <v>267</v>
      </c>
      <c r="C729" s="44" t="s">
        <v>70</v>
      </c>
      <c r="D729" s="45" t="s">
        <v>295</v>
      </c>
      <c r="E729" s="19">
        <f>IF($D729&lt;&gt;"Entregado",0,IF($C729="","",VLOOKUP($C729,'DATA DE TARIFA'!$A$4:$C$68,2,FALSE)/1.18))</f>
        <v>8.474576271</v>
      </c>
      <c r="F729" s="19">
        <f>IF($C729="","",IF($D729="",0,VLOOKUP($C729,'DATA DE TARIFA'!$A$4:$C$68,3,FALSE)))</f>
        <v>4</v>
      </c>
      <c r="G729" s="66">
        <v>0.0</v>
      </c>
      <c r="H729" s="19">
        <f t="shared" si="1"/>
        <v>8.474576271</v>
      </c>
      <c r="I729" s="19">
        <f t="shared" si="2"/>
        <v>4</v>
      </c>
      <c r="J729" s="67"/>
      <c r="K729" s="44" t="str">
        <f>IF($B729="","",IFERROR(VLOOKUP($B729,Tiendas!$A$4:$B$176,2,FALSE),""))</f>
        <v>SANDRA</v>
      </c>
      <c r="L729" s="68" t="s">
        <v>296</v>
      </c>
      <c r="M729" s="44" t="str">
        <f>IF($B729="","",IFERROR(VLOOKUP($B729,Tiendas!$A$4:$I$176,9,FALSE),""))</f>
        <v>No</v>
      </c>
      <c r="N729" s="71">
        <f t="shared" si="3"/>
        <v>0</v>
      </c>
      <c r="O729" s="71">
        <f t="shared" si="4"/>
        <v>0</v>
      </c>
    </row>
    <row r="730" ht="15.75" customHeight="1">
      <c r="A730" s="17">
        <v>46023.0</v>
      </c>
      <c r="B730" s="44" t="s">
        <v>271</v>
      </c>
      <c r="C730" s="44" t="s">
        <v>34</v>
      </c>
      <c r="D730" s="45" t="s">
        <v>297</v>
      </c>
      <c r="E730" s="19">
        <f>IF($D730&lt;&gt;"Entregado",0,IF($C730="","",VLOOKUP($C730,'DATA DE TARIFA'!$A$4:$C$68,2,FALSE)/1.18))</f>
        <v>0</v>
      </c>
      <c r="F730" s="19">
        <f>IF($C730="","",IF($D730="",0,VLOOKUP($C730,'DATA DE TARIFA'!$A$4:$C$68,3,FALSE)))</f>
        <v>4.5</v>
      </c>
      <c r="G730" s="66">
        <v>0.0</v>
      </c>
      <c r="H730" s="19">
        <f t="shared" si="1"/>
        <v>0</v>
      </c>
      <c r="I730" s="19">
        <f t="shared" si="2"/>
        <v>4.5</v>
      </c>
      <c r="J730" s="67"/>
      <c r="K730" s="44" t="str">
        <f>IF($B730="","",IFERROR(VLOOKUP($B730,Tiendas!$A$4:$B$176,2,FALSE),""))</f>
        <v>JORDAN</v>
      </c>
      <c r="L730" s="68" t="s">
        <v>296</v>
      </c>
      <c r="M730" s="44" t="str">
        <f>IF($B730="","",IFERROR(VLOOKUP($B730,Tiendas!$A$4:$I$176,9,FALSE),""))</f>
        <v>Si</v>
      </c>
      <c r="N730" s="71">
        <f t="shared" si="3"/>
        <v>0</v>
      </c>
      <c r="O730" s="71">
        <f t="shared" si="4"/>
        <v>0</v>
      </c>
    </row>
    <row r="731" ht="15.75" customHeight="1">
      <c r="A731" s="17">
        <v>46023.0</v>
      </c>
      <c r="B731" s="44" t="s">
        <v>271</v>
      </c>
      <c r="C731" s="44" t="s">
        <v>47</v>
      </c>
      <c r="D731" s="45" t="s">
        <v>297</v>
      </c>
      <c r="E731" s="19">
        <f>IF($D731&lt;&gt;"Entregado",0,IF($C731="","",VLOOKUP($C731,'DATA DE TARIFA'!$A$4:$C$68,2,FALSE)/1.18))</f>
        <v>0</v>
      </c>
      <c r="F731" s="19">
        <f>IF($C731="","",IF($D731="",0,VLOOKUP($C731,'DATA DE TARIFA'!$A$4:$C$68,3,FALSE)))</f>
        <v>5.5</v>
      </c>
      <c r="G731" s="66">
        <v>0.0</v>
      </c>
      <c r="H731" s="19">
        <f t="shared" si="1"/>
        <v>0</v>
      </c>
      <c r="I731" s="19">
        <f t="shared" si="2"/>
        <v>5.5</v>
      </c>
      <c r="J731" s="67"/>
      <c r="K731" s="44" t="str">
        <f>IF($B731="","",IFERROR(VLOOKUP($B731,Tiendas!$A$4:$B$176,2,FALSE),""))</f>
        <v>JORDAN</v>
      </c>
      <c r="L731" s="68" t="s">
        <v>296</v>
      </c>
      <c r="M731" s="44" t="str">
        <f>IF($B731="","",IFERROR(VLOOKUP($B731,Tiendas!$A$4:$I$176,9,FALSE),""))</f>
        <v>Si</v>
      </c>
      <c r="N731" s="71">
        <f t="shared" si="3"/>
        <v>0</v>
      </c>
      <c r="O731" s="71">
        <f t="shared" si="4"/>
        <v>0</v>
      </c>
    </row>
    <row r="732" ht="15.75" customHeight="1">
      <c r="A732" s="17">
        <v>46023.0</v>
      </c>
      <c r="B732" s="44" t="s">
        <v>271</v>
      </c>
      <c r="C732" s="44" t="s">
        <v>47</v>
      </c>
      <c r="D732" s="45" t="s">
        <v>297</v>
      </c>
      <c r="E732" s="19">
        <f>IF($D732&lt;&gt;"Entregado",0,IF($C732="","",VLOOKUP($C732,'DATA DE TARIFA'!$A$4:$C$68,2,FALSE)/1.18))</f>
        <v>0</v>
      </c>
      <c r="F732" s="19">
        <f>IF($C732="","",IF($D732="",0,VLOOKUP($C732,'DATA DE TARIFA'!$A$4:$C$68,3,FALSE)))</f>
        <v>5.5</v>
      </c>
      <c r="G732" s="66">
        <v>0.0</v>
      </c>
      <c r="H732" s="19">
        <f t="shared" si="1"/>
        <v>0</v>
      </c>
      <c r="I732" s="19">
        <f t="shared" si="2"/>
        <v>5.5</v>
      </c>
      <c r="J732" s="67"/>
      <c r="K732" s="44" t="str">
        <f>IF($B732="","",IFERROR(VLOOKUP($B732,Tiendas!$A$4:$B$176,2,FALSE),""))</f>
        <v>JORDAN</v>
      </c>
      <c r="L732" s="68" t="s">
        <v>296</v>
      </c>
      <c r="M732" s="44" t="str">
        <f>IF($B732="","",IFERROR(VLOOKUP($B732,Tiendas!$A$4:$I$176,9,FALSE),""))</f>
        <v>Si</v>
      </c>
      <c r="N732" s="71">
        <f t="shared" si="3"/>
        <v>0</v>
      </c>
      <c r="O732" s="71">
        <f t="shared" si="4"/>
        <v>0</v>
      </c>
    </row>
    <row r="733" ht="15.75" customHeight="1">
      <c r="A733" s="17">
        <v>46023.0</v>
      </c>
      <c r="B733" s="44" t="s">
        <v>271</v>
      </c>
      <c r="C733" s="44" t="s">
        <v>74</v>
      </c>
      <c r="D733" s="45" t="s">
        <v>297</v>
      </c>
      <c r="E733" s="19">
        <f>IF($D733&lt;&gt;"Entregado",0,IF($C733="","",VLOOKUP($C733,'DATA DE TARIFA'!$A$4:$C$68,2,FALSE)/1.18))</f>
        <v>0</v>
      </c>
      <c r="F733" s="19">
        <f>IF($C733="","",IF($D733="",0,VLOOKUP($C733,'DATA DE TARIFA'!$A$4:$C$68,3,FALSE)))</f>
        <v>5.5</v>
      </c>
      <c r="G733" s="66">
        <v>0.0</v>
      </c>
      <c r="H733" s="19">
        <f t="shared" si="1"/>
        <v>0</v>
      </c>
      <c r="I733" s="19">
        <f t="shared" si="2"/>
        <v>5.5</v>
      </c>
      <c r="J733" s="67"/>
      <c r="K733" s="44" t="str">
        <f>IF($B733="","",IFERROR(VLOOKUP($B733,Tiendas!$A$4:$B$176,2,FALSE),""))</f>
        <v>JORDAN</v>
      </c>
      <c r="L733" s="68" t="s">
        <v>296</v>
      </c>
      <c r="M733" s="44" t="str">
        <f>IF($B733="","",IFERROR(VLOOKUP($B733,Tiendas!$A$4:$I$176,9,FALSE),""))</f>
        <v>Si</v>
      </c>
      <c r="N733" s="71">
        <f t="shared" si="3"/>
        <v>0</v>
      </c>
      <c r="O733" s="71">
        <f t="shared" si="4"/>
        <v>0</v>
      </c>
    </row>
    <row r="734" ht="15.75" customHeight="1">
      <c r="A734" s="17">
        <v>46023.0</v>
      </c>
      <c r="B734" s="44" t="s">
        <v>271</v>
      </c>
      <c r="C734" s="44" t="s">
        <v>51</v>
      </c>
      <c r="D734" s="45" t="s">
        <v>295</v>
      </c>
      <c r="E734" s="19">
        <f>IF($D734&lt;&gt;"Entregado",0,IF($C734="","",VLOOKUP($C734,'DATA DE TARIFA'!$A$4:$C$68,2,FALSE)/1.18))</f>
        <v>10.16949153</v>
      </c>
      <c r="F734" s="19">
        <f>IF($C734="","",IF($D734="",0,VLOOKUP($C734,'DATA DE TARIFA'!$A$4:$C$68,3,FALSE)))</f>
        <v>5.5</v>
      </c>
      <c r="G734" s="66">
        <v>0.0</v>
      </c>
      <c r="H734" s="19">
        <f t="shared" si="1"/>
        <v>10.16949153</v>
      </c>
      <c r="I734" s="19">
        <f t="shared" si="2"/>
        <v>5.5</v>
      </c>
      <c r="J734" s="67"/>
      <c r="K734" s="44" t="str">
        <f>IF($B734="","",IFERROR(VLOOKUP($B734,Tiendas!$A$4:$B$176,2,FALSE),""))</f>
        <v>JORDAN</v>
      </c>
      <c r="L734" s="68" t="s">
        <v>296</v>
      </c>
      <c r="M734" s="44" t="str">
        <f>IF($B734="","",IFERROR(VLOOKUP($B734,Tiendas!$A$4:$I$176,9,FALSE),""))</f>
        <v>Si</v>
      </c>
      <c r="N734" s="71">
        <f t="shared" si="3"/>
        <v>0</v>
      </c>
      <c r="O734" s="71">
        <f t="shared" si="4"/>
        <v>0</v>
      </c>
    </row>
    <row r="735" ht="15.75" customHeight="1">
      <c r="A735" s="17">
        <v>46023.0</v>
      </c>
      <c r="B735" s="44" t="s">
        <v>271</v>
      </c>
      <c r="C735" s="44" t="s">
        <v>51</v>
      </c>
      <c r="D735" s="45" t="s">
        <v>295</v>
      </c>
      <c r="E735" s="19">
        <f>IF($D735&lt;&gt;"Entregado",0,IF($C735="","",VLOOKUP($C735,'DATA DE TARIFA'!$A$4:$C$68,2,FALSE)/1.18))</f>
        <v>10.16949153</v>
      </c>
      <c r="F735" s="19">
        <f>IF($C735="","",IF($D735="",0,VLOOKUP($C735,'DATA DE TARIFA'!$A$4:$C$68,3,FALSE)))</f>
        <v>5.5</v>
      </c>
      <c r="G735" s="66">
        <v>0.0</v>
      </c>
      <c r="H735" s="19">
        <f t="shared" si="1"/>
        <v>10.16949153</v>
      </c>
      <c r="I735" s="19">
        <f t="shared" si="2"/>
        <v>5.5</v>
      </c>
      <c r="J735" s="67"/>
      <c r="K735" s="44" t="str">
        <f>IF($B735="","",IFERROR(VLOOKUP($B735,Tiendas!$A$4:$B$176,2,FALSE),""))</f>
        <v>JORDAN</v>
      </c>
      <c r="L735" s="68" t="s">
        <v>296</v>
      </c>
      <c r="M735" s="44" t="str">
        <f>IF($B735="","",IFERROR(VLOOKUP($B735,Tiendas!$A$4:$I$176,9,FALSE),""))</f>
        <v>Si</v>
      </c>
      <c r="N735" s="71">
        <f t="shared" si="3"/>
        <v>0</v>
      </c>
      <c r="O735" s="71">
        <f t="shared" si="4"/>
        <v>0</v>
      </c>
    </row>
    <row r="736" ht="15.75" customHeight="1">
      <c r="A736" s="17">
        <v>46023.0</v>
      </c>
      <c r="B736" s="44" t="s">
        <v>271</v>
      </c>
      <c r="C736" s="44" t="s">
        <v>47</v>
      </c>
      <c r="D736" s="45" t="s">
        <v>295</v>
      </c>
      <c r="E736" s="19">
        <f>IF($D736&lt;&gt;"Entregado",0,IF($C736="","",VLOOKUP($C736,'DATA DE TARIFA'!$A$4:$C$68,2,FALSE)/1.18))</f>
        <v>10.16949153</v>
      </c>
      <c r="F736" s="19">
        <f>IF($C736="","",IF($D736="",0,VLOOKUP($C736,'DATA DE TARIFA'!$A$4:$C$68,3,FALSE)))</f>
        <v>5.5</v>
      </c>
      <c r="G736" s="66">
        <v>0.0</v>
      </c>
      <c r="H736" s="19">
        <f t="shared" si="1"/>
        <v>10.16949153</v>
      </c>
      <c r="I736" s="19">
        <f t="shared" si="2"/>
        <v>5.5</v>
      </c>
      <c r="J736" s="67"/>
      <c r="K736" s="44" t="str">
        <f>IF($B736="","",IFERROR(VLOOKUP($B736,Tiendas!$A$4:$B$176,2,FALSE),""))</f>
        <v>JORDAN</v>
      </c>
      <c r="L736" s="68" t="s">
        <v>296</v>
      </c>
      <c r="M736" s="44" t="str">
        <f>IF($B736="","",IFERROR(VLOOKUP($B736,Tiendas!$A$4:$I$176,9,FALSE),""))</f>
        <v>Si</v>
      </c>
      <c r="N736" s="71">
        <f t="shared" si="3"/>
        <v>0</v>
      </c>
      <c r="O736" s="71">
        <f t="shared" si="4"/>
        <v>0</v>
      </c>
    </row>
    <row r="737" ht="15.75" customHeight="1">
      <c r="A737" s="17">
        <v>46023.0</v>
      </c>
      <c r="B737" s="44" t="s">
        <v>271</v>
      </c>
      <c r="C737" s="44" t="s">
        <v>47</v>
      </c>
      <c r="D737" s="45" t="s">
        <v>295</v>
      </c>
      <c r="E737" s="19">
        <f>IF($D737&lt;&gt;"Entregado",0,IF($C737="","",VLOOKUP($C737,'DATA DE TARIFA'!$A$4:$C$68,2,FALSE)/1.18))</f>
        <v>10.16949153</v>
      </c>
      <c r="F737" s="19">
        <f>IF($C737="","",IF($D737="",0,VLOOKUP($C737,'DATA DE TARIFA'!$A$4:$C$68,3,FALSE)))</f>
        <v>5.5</v>
      </c>
      <c r="G737" s="66">
        <v>0.0</v>
      </c>
      <c r="H737" s="19">
        <f t="shared" si="1"/>
        <v>10.16949153</v>
      </c>
      <c r="I737" s="19">
        <f t="shared" si="2"/>
        <v>5.5</v>
      </c>
      <c r="J737" s="67"/>
      <c r="K737" s="44" t="str">
        <f>IF($B737="","",IFERROR(VLOOKUP($B737,Tiendas!$A$4:$B$176,2,FALSE),""))</f>
        <v>JORDAN</v>
      </c>
      <c r="L737" s="68" t="s">
        <v>296</v>
      </c>
      <c r="M737" s="44" t="str">
        <f>IF($B737="","",IFERROR(VLOOKUP($B737,Tiendas!$A$4:$I$176,9,FALSE),""))</f>
        <v>Si</v>
      </c>
      <c r="N737" s="71">
        <f t="shared" si="3"/>
        <v>0</v>
      </c>
      <c r="O737" s="71">
        <f t="shared" si="4"/>
        <v>0</v>
      </c>
    </row>
    <row r="738" ht="15.75" customHeight="1">
      <c r="A738" s="17">
        <v>46023.0</v>
      </c>
      <c r="B738" s="44" t="s">
        <v>271</v>
      </c>
      <c r="C738" s="44" t="s">
        <v>47</v>
      </c>
      <c r="D738" s="45" t="s">
        <v>295</v>
      </c>
      <c r="E738" s="19">
        <f>IF($D738&lt;&gt;"Entregado",0,IF($C738="","",VLOOKUP($C738,'DATA DE TARIFA'!$A$4:$C$68,2,FALSE)/1.18))</f>
        <v>10.16949153</v>
      </c>
      <c r="F738" s="19">
        <f>IF($C738="","",IF($D738="",0,VLOOKUP($C738,'DATA DE TARIFA'!$A$4:$C$68,3,FALSE)))</f>
        <v>5.5</v>
      </c>
      <c r="G738" s="66">
        <v>0.0</v>
      </c>
      <c r="H738" s="19">
        <f t="shared" si="1"/>
        <v>10.16949153</v>
      </c>
      <c r="I738" s="19">
        <f t="shared" si="2"/>
        <v>5.5</v>
      </c>
      <c r="J738" s="67"/>
      <c r="K738" s="44" t="str">
        <f>IF($B738="","",IFERROR(VLOOKUP($B738,Tiendas!$A$4:$B$176,2,FALSE),""))</f>
        <v>JORDAN</v>
      </c>
      <c r="L738" s="68" t="s">
        <v>296</v>
      </c>
      <c r="M738" s="44" t="str">
        <f>IF($B738="","",IFERROR(VLOOKUP($B738,Tiendas!$A$4:$I$176,9,FALSE),""))</f>
        <v>Si</v>
      </c>
      <c r="N738" s="71">
        <f t="shared" si="3"/>
        <v>0</v>
      </c>
      <c r="O738" s="71">
        <f t="shared" si="4"/>
        <v>0</v>
      </c>
    </row>
    <row r="739" ht="15.75" customHeight="1">
      <c r="A739" s="17">
        <v>46023.0</v>
      </c>
      <c r="B739" s="44" t="s">
        <v>271</v>
      </c>
      <c r="C739" s="44" t="s">
        <v>47</v>
      </c>
      <c r="D739" s="45" t="s">
        <v>295</v>
      </c>
      <c r="E739" s="19">
        <f>IF($D739&lt;&gt;"Entregado",0,IF($C739="","",VLOOKUP($C739,'DATA DE TARIFA'!$A$4:$C$68,2,FALSE)/1.18))</f>
        <v>10.16949153</v>
      </c>
      <c r="F739" s="19">
        <f>IF($C739="","",IF($D739="",0,VLOOKUP($C739,'DATA DE TARIFA'!$A$4:$C$68,3,FALSE)))</f>
        <v>5.5</v>
      </c>
      <c r="G739" s="66">
        <v>0.0</v>
      </c>
      <c r="H739" s="19">
        <f t="shared" si="1"/>
        <v>10.16949153</v>
      </c>
      <c r="I739" s="19">
        <f t="shared" si="2"/>
        <v>5.5</v>
      </c>
      <c r="J739" s="67"/>
      <c r="K739" s="44" t="str">
        <f>IF($B739="","",IFERROR(VLOOKUP($B739,Tiendas!$A$4:$B$176,2,FALSE),""))</f>
        <v>JORDAN</v>
      </c>
      <c r="L739" s="68" t="s">
        <v>296</v>
      </c>
      <c r="M739" s="44" t="str">
        <f>IF($B739="","",IFERROR(VLOOKUP($B739,Tiendas!$A$4:$I$176,9,FALSE),""))</f>
        <v>Si</v>
      </c>
      <c r="N739" s="71">
        <f t="shared" si="3"/>
        <v>0</v>
      </c>
      <c r="O739" s="71">
        <f t="shared" si="4"/>
        <v>0</v>
      </c>
    </row>
    <row r="740" ht="15.75" customHeight="1">
      <c r="A740" s="17">
        <v>46023.0</v>
      </c>
      <c r="B740" s="44" t="s">
        <v>271</v>
      </c>
      <c r="C740" s="44" t="s">
        <v>47</v>
      </c>
      <c r="D740" s="45" t="s">
        <v>295</v>
      </c>
      <c r="E740" s="19">
        <f>IF($D740&lt;&gt;"Entregado",0,IF($C740="","",VLOOKUP($C740,'DATA DE TARIFA'!$A$4:$C$68,2,FALSE)/1.18))</f>
        <v>10.16949153</v>
      </c>
      <c r="F740" s="19">
        <f>IF($C740="","",IF($D740="",0,VLOOKUP($C740,'DATA DE TARIFA'!$A$4:$C$68,3,FALSE)))</f>
        <v>5.5</v>
      </c>
      <c r="G740" s="66">
        <v>0.0</v>
      </c>
      <c r="H740" s="19">
        <f t="shared" si="1"/>
        <v>10.16949153</v>
      </c>
      <c r="I740" s="19">
        <f t="shared" si="2"/>
        <v>5.5</v>
      </c>
      <c r="J740" s="67"/>
      <c r="K740" s="44" t="str">
        <f>IF($B740="","",IFERROR(VLOOKUP($B740,Tiendas!$A$4:$B$176,2,FALSE),""))</f>
        <v>JORDAN</v>
      </c>
      <c r="L740" s="68" t="s">
        <v>296</v>
      </c>
      <c r="M740" s="44" t="str">
        <f>IF($B740="","",IFERROR(VLOOKUP($B740,Tiendas!$A$4:$I$176,9,FALSE),""))</f>
        <v>Si</v>
      </c>
      <c r="N740" s="71">
        <f t="shared" si="3"/>
        <v>0</v>
      </c>
      <c r="O740" s="71">
        <f t="shared" si="4"/>
        <v>0</v>
      </c>
    </row>
    <row r="741" ht="15.75" customHeight="1">
      <c r="A741" s="17">
        <v>46023.0</v>
      </c>
      <c r="B741" s="44" t="s">
        <v>271</v>
      </c>
      <c r="C741" s="44" t="s">
        <v>47</v>
      </c>
      <c r="D741" s="45" t="s">
        <v>295</v>
      </c>
      <c r="E741" s="19">
        <f>IF($D741&lt;&gt;"Entregado",0,IF($C741="","",VLOOKUP($C741,'DATA DE TARIFA'!$A$4:$C$68,2,FALSE)/1.18))</f>
        <v>10.16949153</v>
      </c>
      <c r="F741" s="19">
        <f>IF($C741="","",IF($D741="",0,VLOOKUP($C741,'DATA DE TARIFA'!$A$4:$C$68,3,FALSE)))</f>
        <v>5.5</v>
      </c>
      <c r="G741" s="66">
        <v>0.0</v>
      </c>
      <c r="H741" s="19">
        <f t="shared" si="1"/>
        <v>10.16949153</v>
      </c>
      <c r="I741" s="19">
        <f t="shared" si="2"/>
        <v>5.5</v>
      </c>
      <c r="J741" s="67"/>
      <c r="K741" s="44" t="str">
        <f>IF($B741="","",IFERROR(VLOOKUP($B741,Tiendas!$A$4:$B$176,2,FALSE),""))</f>
        <v>JORDAN</v>
      </c>
      <c r="L741" s="68" t="s">
        <v>296</v>
      </c>
      <c r="M741" s="44" t="str">
        <f>IF($B741="","",IFERROR(VLOOKUP($B741,Tiendas!$A$4:$I$176,9,FALSE),""))</f>
        <v>Si</v>
      </c>
      <c r="N741" s="71">
        <f t="shared" si="3"/>
        <v>0</v>
      </c>
      <c r="O741" s="71">
        <f t="shared" si="4"/>
        <v>0</v>
      </c>
    </row>
    <row r="742" ht="15.75" customHeight="1">
      <c r="A742" s="17">
        <v>46023.0</v>
      </c>
      <c r="B742" s="44" t="s">
        <v>271</v>
      </c>
      <c r="C742" s="44" t="s">
        <v>46</v>
      </c>
      <c r="D742" s="45" t="s">
        <v>295</v>
      </c>
      <c r="E742" s="19">
        <f>IF($D742&lt;&gt;"Entregado",0,IF($C742="","",VLOOKUP($C742,'DATA DE TARIFA'!$A$4:$C$68,2,FALSE)/1.18))</f>
        <v>10.16949153</v>
      </c>
      <c r="F742" s="19">
        <f>IF($C742="","",IF($D742="",0,VLOOKUP($C742,'DATA DE TARIFA'!$A$4:$C$68,3,FALSE)))</f>
        <v>4.5</v>
      </c>
      <c r="G742" s="66">
        <v>0.0</v>
      </c>
      <c r="H742" s="19">
        <f t="shared" si="1"/>
        <v>10.16949153</v>
      </c>
      <c r="I742" s="19">
        <f t="shared" si="2"/>
        <v>4.5</v>
      </c>
      <c r="J742" s="67"/>
      <c r="K742" s="44" t="str">
        <f>IF($B742="","",IFERROR(VLOOKUP($B742,Tiendas!$A$4:$B$176,2,FALSE),""))</f>
        <v>JORDAN</v>
      </c>
      <c r="L742" s="68" t="s">
        <v>296</v>
      </c>
      <c r="M742" s="44" t="str">
        <f>IF($B742="","",IFERROR(VLOOKUP($B742,Tiendas!$A$4:$I$176,9,FALSE),""))</f>
        <v>Si</v>
      </c>
      <c r="N742" s="71">
        <f t="shared" si="3"/>
        <v>0</v>
      </c>
      <c r="O742" s="71">
        <f t="shared" si="4"/>
        <v>0</v>
      </c>
    </row>
    <row r="743" ht="15.75" customHeight="1">
      <c r="A743" s="17">
        <v>46023.0</v>
      </c>
      <c r="B743" s="44" t="s">
        <v>271</v>
      </c>
      <c r="C743" s="44" t="s">
        <v>76</v>
      </c>
      <c r="D743" s="45" t="s">
        <v>295</v>
      </c>
      <c r="E743" s="19">
        <f>IF($D743&lt;&gt;"Entregado",0,IF($C743="","",VLOOKUP($C743,'DATA DE TARIFA'!$A$4:$C$68,2,FALSE)/1.18))</f>
        <v>10.16949153</v>
      </c>
      <c r="F743" s="19">
        <f>IF($C743="","",IF($D743="",0,VLOOKUP($C743,'DATA DE TARIFA'!$A$4:$C$68,3,FALSE)))</f>
        <v>4.5</v>
      </c>
      <c r="G743" s="66">
        <v>0.0</v>
      </c>
      <c r="H743" s="19">
        <f t="shared" si="1"/>
        <v>10.16949153</v>
      </c>
      <c r="I743" s="19">
        <f t="shared" si="2"/>
        <v>4.5</v>
      </c>
      <c r="J743" s="67"/>
      <c r="K743" s="44" t="str">
        <f>IF($B743="","",IFERROR(VLOOKUP($B743,Tiendas!$A$4:$B$176,2,FALSE),""))</f>
        <v>JORDAN</v>
      </c>
      <c r="L743" s="68" t="s">
        <v>296</v>
      </c>
      <c r="M743" s="44" t="str">
        <f>IF($B743="","",IFERROR(VLOOKUP($B743,Tiendas!$A$4:$I$176,9,FALSE),""))</f>
        <v>Si</v>
      </c>
      <c r="N743" s="71">
        <f t="shared" si="3"/>
        <v>0</v>
      </c>
      <c r="O743" s="71">
        <f t="shared" si="4"/>
        <v>0</v>
      </c>
    </row>
    <row r="744" ht="15.75" customHeight="1">
      <c r="A744" s="17">
        <v>46023.0</v>
      </c>
      <c r="B744" s="44" t="s">
        <v>271</v>
      </c>
      <c r="C744" s="44" t="s">
        <v>65</v>
      </c>
      <c r="D744" s="45" t="s">
        <v>295</v>
      </c>
      <c r="E744" s="19">
        <f>IF($D744&lt;&gt;"Entregado",0,IF($C744="","",VLOOKUP($C744,'DATA DE TARIFA'!$A$4:$C$68,2,FALSE)/1.18))</f>
        <v>10.16949153</v>
      </c>
      <c r="F744" s="19">
        <f>IF($C744="","",IF($D744="",0,VLOOKUP($C744,'DATA DE TARIFA'!$A$4:$C$68,3,FALSE)))</f>
        <v>4.5</v>
      </c>
      <c r="G744" s="66">
        <v>0.0</v>
      </c>
      <c r="H744" s="19">
        <f t="shared" si="1"/>
        <v>10.16949153</v>
      </c>
      <c r="I744" s="19">
        <f t="shared" si="2"/>
        <v>4.5</v>
      </c>
      <c r="J744" s="67"/>
      <c r="K744" s="44" t="str">
        <f>IF($B744="","",IFERROR(VLOOKUP($B744,Tiendas!$A$4:$B$176,2,FALSE),""))</f>
        <v>JORDAN</v>
      </c>
      <c r="L744" s="68" t="s">
        <v>296</v>
      </c>
      <c r="M744" s="44" t="str">
        <f>IF($B744="","",IFERROR(VLOOKUP($B744,Tiendas!$A$4:$I$176,9,FALSE),""))</f>
        <v>Si</v>
      </c>
      <c r="N744" s="71">
        <f t="shared" si="3"/>
        <v>0</v>
      </c>
      <c r="O744" s="71">
        <f t="shared" si="4"/>
        <v>0</v>
      </c>
    </row>
    <row r="745" ht="15.75" customHeight="1">
      <c r="A745" s="17">
        <v>46023.0</v>
      </c>
      <c r="B745" s="44" t="s">
        <v>271</v>
      </c>
      <c r="C745" s="44" t="s">
        <v>65</v>
      </c>
      <c r="D745" s="45" t="s">
        <v>295</v>
      </c>
      <c r="E745" s="19">
        <f>IF($D745&lt;&gt;"Entregado",0,IF($C745="","",VLOOKUP($C745,'DATA DE TARIFA'!$A$4:$C$68,2,FALSE)/1.18))</f>
        <v>10.16949153</v>
      </c>
      <c r="F745" s="19">
        <f>IF($C745="","",IF($D745="",0,VLOOKUP($C745,'DATA DE TARIFA'!$A$4:$C$68,3,FALSE)))</f>
        <v>4.5</v>
      </c>
      <c r="G745" s="66">
        <v>0.0</v>
      </c>
      <c r="H745" s="19">
        <f t="shared" si="1"/>
        <v>10.16949153</v>
      </c>
      <c r="I745" s="19">
        <f t="shared" si="2"/>
        <v>4.5</v>
      </c>
      <c r="J745" s="67"/>
      <c r="K745" s="44" t="str">
        <f>IF($B745="","",IFERROR(VLOOKUP($B745,Tiendas!$A$4:$B$176,2,FALSE),""))</f>
        <v>JORDAN</v>
      </c>
      <c r="L745" s="68" t="s">
        <v>296</v>
      </c>
      <c r="M745" s="44" t="str">
        <f>IF($B745="","",IFERROR(VLOOKUP($B745,Tiendas!$A$4:$I$176,9,FALSE),""))</f>
        <v>Si</v>
      </c>
      <c r="N745" s="71">
        <f t="shared" si="3"/>
        <v>0</v>
      </c>
      <c r="O745" s="71">
        <f t="shared" si="4"/>
        <v>0</v>
      </c>
    </row>
    <row r="746" ht="15.75" customHeight="1">
      <c r="A746" s="17">
        <v>46023.0</v>
      </c>
      <c r="B746" s="44" t="s">
        <v>271</v>
      </c>
      <c r="C746" s="44" t="s">
        <v>74</v>
      </c>
      <c r="D746" s="45" t="s">
        <v>295</v>
      </c>
      <c r="E746" s="19">
        <f>IF($D746&lt;&gt;"Entregado",0,IF($C746="","",VLOOKUP($C746,'DATA DE TARIFA'!$A$4:$C$68,2,FALSE)/1.18))</f>
        <v>10.16949153</v>
      </c>
      <c r="F746" s="19">
        <f>IF($C746="","",IF($D746="",0,VLOOKUP($C746,'DATA DE TARIFA'!$A$4:$C$68,3,FALSE)))</f>
        <v>5.5</v>
      </c>
      <c r="G746" s="66">
        <v>0.0</v>
      </c>
      <c r="H746" s="19">
        <f t="shared" si="1"/>
        <v>10.16949153</v>
      </c>
      <c r="I746" s="19">
        <f t="shared" si="2"/>
        <v>5.5</v>
      </c>
      <c r="J746" s="67"/>
      <c r="K746" s="44" t="str">
        <f>IF($B746="","",IFERROR(VLOOKUP($B746,Tiendas!$A$4:$B$176,2,FALSE),""))</f>
        <v>JORDAN</v>
      </c>
      <c r="L746" s="68" t="s">
        <v>296</v>
      </c>
      <c r="M746" s="44" t="str">
        <f>IF($B746="","",IFERROR(VLOOKUP($B746,Tiendas!$A$4:$I$176,9,FALSE),""))</f>
        <v>Si</v>
      </c>
      <c r="N746" s="71">
        <f t="shared" si="3"/>
        <v>0</v>
      </c>
      <c r="O746" s="71">
        <f t="shared" si="4"/>
        <v>0</v>
      </c>
    </row>
    <row r="747" ht="15.75" customHeight="1">
      <c r="A747" s="17">
        <v>46023.0</v>
      </c>
      <c r="B747" s="44" t="s">
        <v>271</v>
      </c>
      <c r="C747" s="44" t="s">
        <v>85</v>
      </c>
      <c r="D747" s="45" t="s">
        <v>295</v>
      </c>
      <c r="E747" s="19">
        <f>IF($D747&lt;&gt;"Entregado",0,IF($C747="","",VLOOKUP($C747,'DATA DE TARIFA'!$A$4:$C$68,2,FALSE)/1.18))</f>
        <v>14.40677966</v>
      </c>
      <c r="F747" s="19">
        <f>IF($C747="","",IF($D747="",0,VLOOKUP($C747,'DATA DE TARIFA'!$A$4:$C$68,3,FALSE)))</f>
        <v>8.5</v>
      </c>
      <c r="G747" s="66">
        <v>0.0</v>
      </c>
      <c r="H747" s="19">
        <f t="shared" si="1"/>
        <v>14.40677966</v>
      </c>
      <c r="I747" s="19">
        <f t="shared" si="2"/>
        <v>8.5</v>
      </c>
      <c r="J747" s="67"/>
      <c r="K747" s="44" t="str">
        <f>IF($B747="","",IFERROR(VLOOKUP($B747,Tiendas!$A$4:$B$176,2,FALSE),""))</f>
        <v>JORDAN</v>
      </c>
      <c r="L747" s="68" t="s">
        <v>296</v>
      </c>
      <c r="M747" s="44" t="str">
        <f>IF($B747="","",IFERROR(VLOOKUP($B747,Tiendas!$A$4:$I$176,9,FALSE),""))</f>
        <v>Si</v>
      </c>
      <c r="N747" s="71">
        <f t="shared" si="3"/>
        <v>0</v>
      </c>
      <c r="O747" s="71">
        <f t="shared" si="4"/>
        <v>0</v>
      </c>
    </row>
    <row r="748" ht="15.75" customHeight="1">
      <c r="A748" s="17">
        <v>46023.0</v>
      </c>
      <c r="B748" s="44" t="s">
        <v>271</v>
      </c>
      <c r="C748" s="44" t="s">
        <v>82</v>
      </c>
      <c r="D748" s="45" t="s">
        <v>295</v>
      </c>
      <c r="E748" s="19">
        <f>IF($D748&lt;&gt;"Entregado",0,IF($C748="","",VLOOKUP($C748,'DATA DE TARIFA'!$A$4:$C$68,2,FALSE)/1.18))</f>
        <v>11.86440678</v>
      </c>
      <c r="F748" s="19">
        <f>IF($C748="","",IF($D748="",0,VLOOKUP($C748,'DATA DE TARIFA'!$A$4:$C$68,3,FALSE)))</f>
        <v>8.5</v>
      </c>
      <c r="G748" s="66">
        <v>0.0</v>
      </c>
      <c r="H748" s="19">
        <f t="shared" si="1"/>
        <v>11.86440678</v>
      </c>
      <c r="I748" s="19">
        <f t="shared" si="2"/>
        <v>8.5</v>
      </c>
      <c r="J748" s="67"/>
      <c r="K748" s="44" t="str">
        <f>IF($B748="","",IFERROR(VLOOKUP($B748,Tiendas!$A$4:$B$176,2,FALSE),""))</f>
        <v>JORDAN</v>
      </c>
      <c r="L748" s="68" t="s">
        <v>296</v>
      </c>
      <c r="M748" s="44" t="str">
        <f>IF($B748="","",IFERROR(VLOOKUP($B748,Tiendas!$A$4:$I$176,9,FALSE),""))</f>
        <v>Si</v>
      </c>
      <c r="N748" s="71">
        <f t="shared" si="3"/>
        <v>0</v>
      </c>
      <c r="O748" s="71">
        <f t="shared" si="4"/>
        <v>0</v>
      </c>
    </row>
    <row r="749" ht="15.75" customHeight="1">
      <c r="A749" s="17">
        <v>46023.0</v>
      </c>
      <c r="B749" s="44" t="s">
        <v>271</v>
      </c>
      <c r="C749" s="44" t="s">
        <v>36</v>
      </c>
      <c r="D749" s="45" t="s">
        <v>295</v>
      </c>
      <c r="E749" s="19">
        <f>IF($D749&lt;&gt;"Entregado",0,IF($C749="","",VLOOKUP($C749,'DATA DE TARIFA'!$A$4:$C$68,2,FALSE)/1.18))</f>
        <v>10.16949153</v>
      </c>
      <c r="F749" s="19">
        <f>IF($C749="","",IF($D749="",0,VLOOKUP($C749,'DATA DE TARIFA'!$A$4:$C$68,3,FALSE)))</f>
        <v>4.5</v>
      </c>
      <c r="G749" s="66">
        <v>0.0</v>
      </c>
      <c r="H749" s="19">
        <f t="shared" si="1"/>
        <v>10.16949153</v>
      </c>
      <c r="I749" s="19">
        <f t="shared" si="2"/>
        <v>4.5</v>
      </c>
      <c r="J749" s="67"/>
      <c r="K749" s="44" t="str">
        <f>IF($B749="","",IFERROR(VLOOKUP($B749,Tiendas!$A$4:$B$176,2,FALSE),""))</f>
        <v>JORDAN</v>
      </c>
      <c r="L749" s="68" t="s">
        <v>296</v>
      </c>
      <c r="M749" s="44" t="str">
        <f>IF($B749="","",IFERROR(VLOOKUP($B749,Tiendas!$A$4:$I$176,9,FALSE),""))</f>
        <v>Si</v>
      </c>
      <c r="N749" s="71">
        <f t="shared" si="3"/>
        <v>0</v>
      </c>
      <c r="O749" s="71">
        <f t="shared" si="4"/>
        <v>0</v>
      </c>
    </row>
    <row r="750" ht="15.75" customHeight="1">
      <c r="A750" s="17">
        <v>46023.0</v>
      </c>
      <c r="B750" s="44" t="s">
        <v>271</v>
      </c>
      <c r="C750" s="44" t="s">
        <v>75</v>
      </c>
      <c r="D750" s="45" t="s">
        <v>295</v>
      </c>
      <c r="E750" s="19">
        <f>IF($D750&lt;&gt;"Entregado",0,IF($C750="","",VLOOKUP($C750,'DATA DE TARIFA'!$A$4:$C$68,2,FALSE)/1.18))</f>
        <v>10.16949153</v>
      </c>
      <c r="F750" s="19">
        <f>IF($C750="","",IF($D750="",0,VLOOKUP($C750,'DATA DE TARIFA'!$A$4:$C$68,3,FALSE)))</f>
        <v>4.5</v>
      </c>
      <c r="G750" s="66">
        <v>0.0</v>
      </c>
      <c r="H750" s="19">
        <f t="shared" si="1"/>
        <v>10.16949153</v>
      </c>
      <c r="I750" s="19">
        <f t="shared" si="2"/>
        <v>4.5</v>
      </c>
      <c r="J750" s="67"/>
      <c r="K750" s="44" t="str">
        <f>IF($B750="","",IFERROR(VLOOKUP($B750,Tiendas!$A$4:$B$176,2,FALSE),""))</f>
        <v>JORDAN</v>
      </c>
      <c r="L750" s="68" t="s">
        <v>296</v>
      </c>
      <c r="M750" s="44" t="str">
        <f>IF($B750="","",IFERROR(VLOOKUP($B750,Tiendas!$A$4:$I$176,9,FALSE),""))</f>
        <v>Si</v>
      </c>
      <c r="N750" s="71">
        <f t="shared" si="3"/>
        <v>0</v>
      </c>
      <c r="O750" s="71">
        <f t="shared" si="4"/>
        <v>0</v>
      </c>
    </row>
    <row r="751" ht="15.75" customHeight="1">
      <c r="A751" s="17">
        <v>46023.0</v>
      </c>
      <c r="B751" s="44" t="s">
        <v>271</v>
      </c>
      <c r="C751" s="44" t="s">
        <v>75</v>
      </c>
      <c r="D751" s="45" t="s">
        <v>295</v>
      </c>
      <c r="E751" s="19">
        <f>IF($D751&lt;&gt;"Entregado",0,IF($C751="","",VLOOKUP($C751,'DATA DE TARIFA'!$A$4:$C$68,2,FALSE)/1.18))</f>
        <v>10.16949153</v>
      </c>
      <c r="F751" s="19">
        <f>IF($C751="","",IF($D751="",0,VLOOKUP($C751,'DATA DE TARIFA'!$A$4:$C$68,3,FALSE)))</f>
        <v>4.5</v>
      </c>
      <c r="G751" s="66">
        <v>0.0</v>
      </c>
      <c r="H751" s="19">
        <f t="shared" si="1"/>
        <v>10.16949153</v>
      </c>
      <c r="I751" s="19">
        <f t="shared" si="2"/>
        <v>4.5</v>
      </c>
      <c r="J751" s="67"/>
      <c r="K751" s="44" t="str">
        <f>IF($B751="","",IFERROR(VLOOKUP($B751,Tiendas!$A$4:$B$176,2,FALSE),""))</f>
        <v>JORDAN</v>
      </c>
      <c r="L751" s="68" t="s">
        <v>296</v>
      </c>
      <c r="M751" s="44" t="str">
        <f>IF($B751="","",IFERROR(VLOOKUP($B751,Tiendas!$A$4:$I$176,9,FALSE),""))</f>
        <v>Si</v>
      </c>
      <c r="N751" s="71">
        <f t="shared" si="3"/>
        <v>0</v>
      </c>
      <c r="O751" s="71">
        <f t="shared" si="4"/>
        <v>0</v>
      </c>
    </row>
    <row r="752" ht="15.75" customHeight="1">
      <c r="A752" s="17">
        <v>46023.0</v>
      </c>
      <c r="B752" s="44" t="s">
        <v>271</v>
      </c>
      <c r="C752" s="44" t="s">
        <v>21</v>
      </c>
      <c r="D752" s="45" t="s">
        <v>295</v>
      </c>
      <c r="E752" s="19">
        <f>IF($D752&lt;&gt;"Entregado",0,IF($C752="","",VLOOKUP($C752,'DATA DE TARIFA'!$A$4:$C$68,2,FALSE)/1.18))</f>
        <v>10.16949153</v>
      </c>
      <c r="F752" s="19">
        <f>IF($C752="","",IF($D752="",0,VLOOKUP($C752,'DATA DE TARIFA'!$A$4:$C$68,3,FALSE)))</f>
        <v>4.5</v>
      </c>
      <c r="G752" s="66">
        <v>0.0</v>
      </c>
      <c r="H752" s="19">
        <f t="shared" si="1"/>
        <v>10.16949153</v>
      </c>
      <c r="I752" s="19">
        <f t="shared" si="2"/>
        <v>4.5</v>
      </c>
      <c r="J752" s="67"/>
      <c r="K752" s="44" t="str">
        <f>IF($B752="","",IFERROR(VLOOKUP($B752,Tiendas!$A$4:$B$176,2,FALSE),""))</f>
        <v>JORDAN</v>
      </c>
      <c r="L752" s="68" t="s">
        <v>296</v>
      </c>
      <c r="M752" s="44" t="str">
        <f>IF($B752="","",IFERROR(VLOOKUP($B752,Tiendas!$A$4:$I$176,9,FALSE),""))</f>
        <v>Si</v>
      </c>
      <c r="N752" s="71">
        <f t="shared" si="3"/>
        <v>0</v>
      </c>
      <c r="O752" s="71">
        <f t="shared" si="4"/>
        <v>0</v>
      </c>
    </row>
    <row r="753" ht="15.75" customHeight="1">
      <c r="A753" s="17">
        <v>46023.0</v>
      </c>
      <c r="B753" s="44" t="s">
        <v>271</v>
      </c>
      <c r="C753" s="44" t="s">
        <v>34</v>
      </c>
      <c r="D753" s="45" t="s">
        <v>295</v>
      </c>
      <c r="E753" s="19">
        <f>IF($D753&lt;&gt;"Entregado",0,IF($C753="","",VLOOKUP($C753,'DATA DE TARIFA'!$A$4:$C$68,2,FALSE)/1.18))</f>
        <v>10.16949153</v>
      </c>
      <c r="F753" s="19">
        <f>IF($C753="","",IF($D753="",0,VLOOKUP($C753,'DATA DE TARIFA'!$A$4:$C$68,3,FALSE)))</f>
        <v>4.5</v>
      </c>
      <c r="G753" s="66">
        <v>0.0</v>
      </c>
      <c r="H753" s="19">
        <f t="shared" si="1"/>
        <v>10.16949153</v>
      </c>
      <c r="I753" s="19">
        <f t="shared" si="2"/>
        <v>4.5</v>
      </c>
      <c r="J753" s="67"/>
      <c r="K753" s="44" t="str">
        <f>IF($B753="","",IFERROR(VLOOKUP($B753,Tiendas!$A$4:$B$176,2,FALSE),""))</f>
        <v>JORDAN</v>
      </c>
      <c r="L753" s="68" t="s">
        <v>296</v>
      </c>
      <c r="M753" s="44" t="str">
        <f>IF($B753="","",IFERROR(VLOOKUP($B753,Tiendas!$A$4:$I$176,9,FALSE),""))</f>
        <v>Si</v>
      </c>
      <c r="N753" s="71">
        <f t="shared" si="3"/>
        <v>0</v>
      </c>
      <c r="O753" s="71">
        <f t="shared" si="4"/>
        <v>0</v>
      </c>
    </row>
    <row r="754" ht="15.75" customHeight="1">
      <c r="A754" s="17">
        <v>46023.0</v>
      </c>
      <c r="B754" s="44" t="s">
        <v>271</v>
      </c>
      <c r="C754" s="44" t="s">
        <v>24</v>
      </c>
      <c r="D754" s="45" t="s">
        <v>295</v>
      </c>
      <c r="E754" s="19">
        <f>IF($D754&lt;&gt;"Entregado",0,IF($C754="","",VLOOKUP($C754,'DATA DE TARIFA'!$A$4:$C$68,2,FALSE)/1.18))</f>
        <v>8.474576271</v>
      </c>
      <c r="F754" s="19">
        <f>IF($C754="","",IF($D754="",0,VLOOKUP($C754,'DATA DE TARIFA'!$A$4:$C$68,3,FALSE)))</f>
        <v>4.5</v>
      </c>
      <c r="G754" s="66">
        <v>0.0</v>
      </c>
      <c r="H754" s="19">
        <f t="shared" si="1"/>
        <v>8.474576271</v>
      </c>
      <c r="I754" s="19">
        <f t="shared" si="2"/>
        <v>4.5</v>
      </c>
      <c r="J754" s="67"/>
      <c r="K754" s="44" t="str">
        <f>IF($B754="","",IFERROR(VLOOKUP($B754,Tiendas!$A$4:$B$176,2,FALSE),""))</f>
        <v>JORDAN</v>
      </c>
      <c r="L754" s="68" t="s">
        <v>296</v>
      </c>
      <c r="M754" s="44" t="str">
        <f>IF($B754="","",IFERROR(VLOOKUP($B754,Tiendas!$A$4:$I$176,9,FALSE),""))</f>
        <v>Si</v>
      </c>
      <c r="N754" s="71">
        <f t="shared" si="3"/>
        <v>0</v>
      </c>
      <c r="O754" s="71">
        <f t="shared" si="4"/>
        <v>0</v>
      </c>
    </row>
    <row r="755" ht="15.75" customHeight="1">
      <c r="A755" s="17">
        <v>46023.0</v>
      </c>
      <c r="B755" s="44" t="s">
        <v>271</v>
      </c>
      <c r="C755" s="44" t="s">
        <v>69</v>
      </c>
      <c r="D755" s="45" t="s">
        <v>295</v>
      </c>
      <c r="E755" s="19">
        <f>IF($D755&lt;&gt;"Entregado",0,IF($C755="","",VLOOKUP($C755,'DATA DE TARIFA'!$A$4:$C$68,2,FALSE)/1.18))</f>
        <v>8.474576271</v>
      </c>
      <c r="F755" s="19">
        <f>IF($C755="","",IF($D755="",0,VLOOKUP($C755,'DATA DE TARIFA'!$A$4:$C$68,3,FALSE)))</f>
        <v>4</v>
      </c>
      <c r="G755" s="66">
        <v>0.0</v>
      </c>
      <c r="H755" s="19">
        <f t="shared" si="1"/>
        <v>8.474576271</v>
      </c>
      <c r="I755" s="19">
        <f t="shared" si="2"/>
        <v>4</v>
      </c>
      <c r="J755" s="67"/>
      <c r="K755" s="44" t="str">
        <f>IF($B755="","",IFERROR(VLOOKUP($B755,Tiendas!$A$4:$B$176,2,FALSE),""))</f>
        <v>JORDAN</v>
      </c>
      <c r="L755" s="68" t="s">
        <v>296</v>
      </c>
      <c r="M755" s="44" t="str">
        <f>IF($B755="","",IFERROR(VLOOKUP($B755,Tiendas!$A$4:$I$176,9,FALSE),""))</f>
        <v>Si</v>
      </c>
      <c r="N755" s="71">
        <f t="shared" si="3"/>
        <v>0</v>
      </c>
      <c r="O755" s="71">
        <f t="shared" si="4"/>
        <v>0</v>
      </c>
    </row>
    <row r="756" ht="15.75" customHeight="1">
      <c r="A756" s="17">
        <v>46023.0</v>
      </c>
      <c r="B756" s="44" t="s">
        <v>271</v>
      </c>
      <c r="C756" s="44" t="s">
        <v>24</v>
      </c>
      <c r="D756" s="45" t="s">
        <v>295</v>
      </c>
      <c r="E756" s="19">
        <f>IF($D756&lt;&gt;"Entregado",0,IF($C756="","",VLOOKUP($C756,'DATA DE TARIFA'!$A$4:$C$68,2,FALSE)/1.18))</f>
        <v>8.474576271</v>
      </c>
      <c r="F756" s="19">
        <f>IF($C756="","",IF($D756="",0,VLOOKUP($C756,'DATA DE TARIFA'!$A$4:$C$68,3,FALSE)))</f>
        <v>4.5</v>
      </c>
      <c r="G756" s="66">
        <v>0.0</v>
      </c>
      <c r="H756" s="19">
        <f t="shared" si="1"/>
        <v>8.474576271</v>
      </c>
      <c r="I756" s="19">
        <f t="shared" si="2"/>
        <v>4.5</v>
      </c>
      <c r="J756" s="67"/>
      <c r="K756" s="44" t="str">
        <f>IF($B756="","",IFERROR(VLOOKUP($B756,Tiendas!$A$4:$B$176,2,FALSE),""))</f>
        <v>JORDAN</v>
      </c>
      <c r="L756" s="68" t="s">
        <v>296</v>
      </c>
      <c r="M756" s="44" t="str">
        <f>IF($B756="","",IFERROR(VLOOKUP($B756,Tiendas!$A$4:$I$176,9,FALSE),""))</f>
        <v>Si</v>
      </c>
      <c r="N756" s="71">
        <f t="shared" si="3"/>
        <v>0</v>
      </c>
      <c r="O756" s="71">
        <f t="shared" si="4"/>
        <v>0</v>
      </c>
    </row>
    <row r="757" ht="15.75" customHeight="1">
      <c r="A757" s="17">
        <v>46023.0</v>
      </c>
      <c r="B757" s="44" t="s">
        <v>271</v>
      </c>
      <c r="C757" s="44" t="s">
        <v>46</v>
      </c>
      <c r="D757" s="45" t="s">
        <v>295</v>
      </c>
      <c r="E757" s="19">
        <f>IF($D757&lt;&gt;"Entregado",0,IF($C757="","",VLOOKUP($C757,'DATA DE TARIFA'!$A$4:$C$68,2,FALSE)/1.18))</f>
        <v>10.16949153</v>
      </c>
      <c r="F757" s="19">
        <f>IF($C757="","",IF($D757="",0,VLOOKUP($C757,'DATA DE TARIFA'!$A$4:$C$68,3,FALSE)))</f>
        <v>4.5</v>
      </c>
      <c r="G757" s="66">
        <v>0.0</v>
      </c>
      <c r="H757" s="19">
        <f t="shared" si="1"/>
        <v>10.16949153</v>
      </c>
      <c r="I757" s="19">
        <f t="shared" si="2"/>
        <v>4.5</v>
      </c>
      <c r="J757" s="67"/>
      <c r="K757" s="44" t="str">
        <f>IF($B757="","",IFERROR(VLOOKUP($B757,Tiendas!$A$4:$B$176,2,FALSE),""))</f>
        <v>JORDAN</v>
      </c>
      <c r="L757" s="68" t="s">
        <v>296</v>
      </c>
      <c r="M757" s="44" t="str">
        <f>IF($B757="","",IFERROR(VLOOKUP($B757,Tiendas!$A$4:$I$176,9,FALSE),""))</f>
        <v>Si</v>
      </c>
      <c r="N757" s="71">
        <f t="shared" si="3"/>
        <v>0</v>
      </c>
      <c r="O757" s="71">
        <f t="shared" si="4"/>
        <v>0</v>
      </c>
    </row>
    <row r="758" ht="15.75" customHeight="1">
      <c r="A758" s="17">
        <v>46023.0</v>
      </c>
      <c r="B758" s="44" t="s">
        <v>271</v>
      </c>
      <c r="C758" s="44" t="s">
        <v>63</v>
      </c>
      <c r="D758" s="45" t="s">
        <v>295</v>
      </c>
      <c r="E758" s="19">
        <f>IF($D758&lt;&gt;"Entregado",0,IF($C758="","",VLOOKUP($C758,'DATA DE TARIFA'!$A$4:$C$68,2,FALSE)/1.18))</f>
        <v>8.474576271</v>
      </c>
      <c r="F758" s="19">
        <f>IF($C758="","",IF($D758="",0,VLOOKUP($C758,'DATA DE TARIFA'!$A$4:$C$68,3,FALSE)))</f>
        <v>4</v>
      </c>
      <c r="G758" s="66">
        <v>0.0</v>
      </c>
      <c r="H758" s="19">
        <f t="shared" si="1"/>
        <v>8.474576271</v>
      </c>
      <c r="I758" s="19">
        <f t="shared" si="2"/>
        <v>4</v>
      </c>
      <c r="J758" s="67"/>
      <c r="K758" s="44" t="str">
        <f>IF($B758="","",IFERROR(VLOOKUP($B758,Tiendas!$A$4:$B$176,2,FALSE),""))</f>
        <v>JORDAN</v>
      </c>
      <c r="L758" s="68" t="s">
        <v>296</v>
      </c>
      <c r="M758" s="44" t="str">
        <f>IF($B758="","",IFERROR(VLOOKUP($B758,Tiendas!$A$4:$I$176,9,FALSE),""))</f>
        <v>Si</v>
      </c>
      <c r="N758" s="71">
        <f t="shared" si="3"/>
        <v>0</v>
      </c>
      <c r="O758" s="71">
        <f t="shared" si="4"/>
        <v>0</v>
      </c>
    </row>
    <row r="759" ht="15.75" customHeight="1">
      <c r="A759" s="17">
        <v>46023.0</v>
      </c>
      <c r="B759" s="44" t="s">
        <v>271</v>
      </c>
      <c r="C759" s="44" t="s">
        <v>58</v>
      </c>
      <c r="D759" s="45" t="s">
        <v>295</v>
      </c>
      <c r="E759" s="19">
        <f>IF($D759&lt;&gt;"Entregado",0,IF($C759="","",VLOOKUP($C759,'DATA DE TARIFA'!$A$4:$C$68,2,FALSE)/1.18))</f>
        <v>8.474576271</v>
      </c>
      <c r="F759" s="19">
        <f>IF($C759="","",IF($D759="",0,VLOOKUP($C759,'DATA DE TARIFA'!$A$4:$C$68,3,FALSE)))</f>
        <v>4</v>
      </c>
      <c r="G759" s="66">
        <v>0.0</v>
      </c>
      <c r="H759" s="19">
        <f t="shared" si="1"/>
        <v>8.474576271</v>
      </c>
      <c r="I759" s="19">
        <f t="shared" si="2"/>
        <v>4</v>
      </c>
      <c r="J759" s="67"/>
      <c r="K759" s="44" t="str">
        <f>IF($B759="","",IFERROR(VLOOKUP($B759,Tiendas!$A$4:$B$176,2,FALSE),""))</f>
        <v>JORDAN</v>
      </c>
      <c r="L759" s="68" t="s">
        <v>296</v>
      </c>
      <c r="M759" s="44" t="str">
        <f>IF($B759="","",IFERROR(VLOOKUP($B759,Tiendas!$A$4:$I$176,9,FALSE),""))</f>
        <v>Si</v>
      </c>
      <c r="N759" s="71">
        <f t="shared" si="3"/>
        <v>0</v>
      </c>
      <c r="O759" s="71">
        <f t="shared" si="4"/>
        <v>0</v>
      </c>
    </row>
    <row r="760" ht="15.75" customHeight="1">
      <c r="A760" s="17">
        <v>46023.0</v>
      </c>
      <c r="B760" s="44" t="s">
        <v>271</v>
      </c>
      <c r="C760" s="44" t="s">
        <v>40</v>
      </c>
      <c r="D760" s="45" t="s">
        <v>295</v>
      </c>
      <c r="E760" s="19">
        <f>IF($D760&lt;&gt;"Entregado",0,IF($C760="","",VLOOKUP($C760,'DATA DE TARIFA'!$A$4:$C$68,2,FALSE)/1.18))</f>
        <v>8.474576271</v>
      </c>
      <c r="F760" s="19">
        <f>IF($C760="","",IF($D760="",0,VLOOKUP($C760,'DATA DE TARIFA'!$A$4:$C$68,3,FALSE)))</f>
        <v>4</v>
      </c>
      <c r="G760" s="66">
        <v>0.0</v>
      </c>
      <c r="H760" s="19">
        <f t="shared" si="1"/>
        <v>8.474576271</v>
      </c>
      <c r="I760" s="19">
        <f t="shared" si="2"/>
        <v>4</v>
      </c>
      <c r="J760" s="67"/>
      <c r="K760" s="44" t="str">
        <f>IF($B760="","",IFERROR(VLOOKUP($B760,Tiendas!$A$4:$B$176,2,FALSE),""))</f>
        <v>JORDAN</v>
      </c>
      <c r="L760" s="68" t="s">
        <v>296</v>
      </c>
      <c r="M760" s="44" t="str">
        <f>IF($B760="","",IFERROR(VLOOKUP($B760,Tiendas!$A$4:$I$176,9,FALSE),""))</f>
        <v>Si</v>
      </c>
      <c r="N760" s="71">
        <f t="shared" si="3"/>
        <v>0</v>
      </c>
      <c r="O760" s="71">
        <f t="shared" si="4"/>
        <v>0</v>
      </c>
    </row>
    <row r="761" ht="15.75" customHeight="1">
      <c r="A761" s="17">
        <v>46023.0</v>
      </c>
      <c r="B761" s="44" t="s">
        <v>271</v>
      </c>
      <c r="C761" s="44" t="s">
        <v>40</v>
      </c>
      <c r="D761" s="45" t="s">
        <v>295</v>
      </c>
      <c r="E761" s="19">
        <f>IF($D761&lt;&gt;"Entregado",0,IF($C761="","",VLOOKUP($C761,'DATA DE TARIFA'!$A$4:$C$68,2,FALSE)/1.18))</f>
        <v>8.474576271</v>
      </c>
      <c r="F761" s="19">
        <f>IF($C761="","",IF($D761="",0,VLOOKUP($C761,'DATA DE TARIFA'!$A$4:$C$68,3,FALSE)))</f>
        <v>4</v>
      </c>
      <c r="G761" s="66">
        <v>0.0</v>
      </c>
      <c r="H761" s="19">
        <f t="shared" si="1"/>
        <v>8.474576271</v>
      </c>
      <c r="I761" s="19">
        <f t="shared" si="2"/>
        <v>4</v>
      </c>
      <c r="J761" s="67"/>
      <c r="K761" s="44" t="str">
        <f>IF($B761="","",IFERROR(VLOOKUP($B761,Tiendas!$A$4:$B$176,2,FALSE),""))</f>
        <v>JORDAN</v>
      </c>
      <c r="L761" s="68" t="s">
        <v>296</v>
      </c>
      <c r="M761" s="44" t="str">
        <f>IF($B761="","",IFERROR(VLOOKUP($B761,Tiendas!$A$4:$I$176,9,FALSE),""))</f>
        <v>Si</v>
      </c>
      <c r="N761" s="71">
        <f t="shared" si="3"/>
        <v>0</v>
      </c>
      <c r="O761" s="71">
        <f t="shared" si="4"/>
        <v>0</v>
      </c>
    </row>
    <row r="762" ht="15.75" customHeight="1">
      <c r="A762" s="17">
        <v>46023.0</v>
      </c>
      <c r="B762" s="44" t="s">
        <v>271</v>
      </c>
      <c r="C762" s="44" t="s">
        <v>65</v>
      </c>
      <c r="D762" s="45" t="s">
        <v>295</v>
      </c>
      <c r="E762" s="19">
        <f>IF($D762&lt;&gt;"Entregado",0,IF($C762="","",VLOOKUP($C762,'DATA DE TARIFA'!$A$4:$C$68,2,FALSE)/1.18))</f>
        <v>10.16949153</v>
      </c>
      <c r="F762" s="19">
        <f>IF($C762="","",IF($D762="",0,VLOOKUP($C762,'DATA DE TARIFA'!$A$4:$C$68,3,FALSE)))</f>
        <v>4.5</v>
      </c>
      <c r="G762" s="66">
        <v>0.0</v>
      </c>
      <c r="H762" s="19">
        <f t="shared" si="1"/>
        <v>10.16949153</v>
      </c>
      <c r="I762" s="19">
        <f t="shared" si="2"/>
        <v>4.5</v>
      </c>
      <c r="J762" s="67"/>
      <c r="K762" s="44" t="str">
        <f>IF($B762="","",IFERROR(VLOOKUP($B762,Tiendas!$A$4:$B$176,2,FALSE),""))</f>
        <v>JORDAN</v>
      </c>
      <c r="L762" s="68" t="s">
        <v>296</v>
      </c>
      <c r="M762" s="44" t="str">
        <f>IF($B762="","",IFERROR(VLOOKUP($B762,Tiendas!$A$4:$I$176,9,FALSE),""))</f>
        <v>Si</v>
      </c>
      <c r="N762" s="71">
        <f t="shared" si="3"/>
        <v>0</v>
      </c>
      <c r="O762" s="71">
        <f t="shared" si="4"/>
        <v>0</v>
      </c>
    </row>
    <row r="763" ht="15.75" customHeight="1">
      <c r="A763" s="17">
        <v>46023.0</v>
      </c>
      <c r="B763" s="44" t="s">
        <v>271</v>
      </c>
      <c r="C763" s="44" t="s">
        <v>65</v>
      </c>
      <c r="D763" s="45" t="s">
        <v>295</v>
      </c>
      <c r="E763" s="19">
        <f>IF($D763&lt;&gt;"Entregado",0,IF($C763="","",VLOOKUP($C763,'DATA DE TARIFA'!$A$4:$C$68,2,FALSE)/1.18))</f>
        <v>10.16949153</v>
      </c>
      <c r="F763" s="19">
        <f>IF($C763="","",IF($D763="",0,VLOOKUP($C763,'DATA DE TARIFA'!$A$4:$C$68,3,FALSE)))</f>
        <v>4.5</v>
      </c>
      <c r="G763" s="66">
        <v>0.0</v>
      </c>
      <c r="H763" s="19">
        <f t="shared" si="1"/>
        <v>10.16949153</v>
      </c>
      <c r="I763" s="19">
        <f t="shared" si="2"/>
        <v>4.5</v>
      </c>
      <c r="J763" s="67"/>
      <c r="K763" s="44" t="str">
        <f>IF($B763="","",IFERROR(VLOOKUP($B763,Tiendas!$A$4:$B$176,2,FALSE),""))</f>
        <v>JORDAN</v>
      </c>
      <c r="L763" s="68" t="s">
        <v>296</v>
      </c>
      <c r="M763" s="44" t="str">
        <f>IF($B763="","",IFERROR(VLOOKUP($B763,Tiendas!$A$4:$I$176,9,FALSE),""))</f>
        <v>Si</v>
      </c>
      <c r="N763" s="71">
        <f t="shared" si="3"/>
        <v>0</v>
      </c>
      <c r="O763" s="71">
        <f t="shared" si="4"/>
        <v>0</v>
      </c>
    </row>
    <row r="764" ht="15.75" customHeight="1">
      <c r="A764" s="17">
        <v>46023.0</v>
      </c>
      <c r="B764" s="44" t="s">
        <v>271</v>
      </c>
      <c r="C764" s="44" t="s">
        <v>40</v>
      </c>
      <c r="D764" s="45" t="s">
        <v>295</v>
      </c>
      <c r="E764" s="19">
        <f>IF($D764&lt;&gt;"Entregado",0,IF($C764="","",VLOOKUP($C764,'DATA DE TARIFA'!$A$4:$C$68,2,FALSE)/1.18))</f>
        <v>8.474576271</v>
      </c>
      <c r="F764" s="19">
        <f>IF($C764="","",IF($D764="",0,VLOOKUP($C764,'DATA DE TARIFA'!$A$4:$C$68,3,FALSE)))</f>
        <v>4</v>
      </c>
      <c r="G764" s="66">
        <v>0.0</v>
      </c>
      <c r="H764" s="19">
        <f t="shared" si="1"/>
        <v>8.474576271</v>
      </c>
      <c r="I764" s="19">
        <f t="shared" si="2"/>
        <v>4</v>
      </c>
      <c r="J764" s="67"/>
      <c r="K764" s="44" t="str">
        <f>IF($B764="","",IFERROR(VLOOKUP($B764,Tiendas!$A$4:$B$176,2,FALSE),""))</f>
        <v>JORDAN</v>
      </c>
      <c r="L764" s="68" t="s">
        <v>296</v>
      </c>
      <c r="M764" s="44" t="str">
        <f>IF($B764="","",IFERROR(VLOOKUP($B764,Tiendas!$A$4:$I$176,9,FALSE),""))</f>
        <v>Si</v>
      </c>
      <c r="N764" s="71">
        <f t="shared" si="3"/>
        <v>0</v>
      </c>
      <c r="O764" s="71">
        <f t="shared" si="4"/>
        <v>0</v>
      </c>
    </row>
    <row r="765" ht="15.75" customHeight="1">
      <c r="A765" s="17">
        <v>46023.0</v>
      </c>
      <c r="B765" s="44" t="s">
        <v>271</v>
      </c>
      <c r="C765" s="44" t="s">
        <v>36</v>
      </c>
      <c r="D765" s="45" t="s">
        <v>295</v>
      </c>
      <c r="E765" s="19">
        <f>IF($D765&lt;&gt;"Entregado",0,IF($C765="","",VLOOKUP($C765,'DATA DE TARIFA'!$A$4:$C$68,2,FALSE)/1.18))</f>
        <v>10.16949153</v>
      </c>
      <c r="F765" s="19">
        <f>IF($C765="","",IF($D765="",0,VLOOKUP($C765,'DATA DE TARIFA'!$A$4:$C$68,3,FALSE)))</f>
        <v>4.5</v>
      </c>
      <c r="G765" s="66">
        <v>0.0</v>
      </c>
      <c r="H765" s="19">
        <f t="shared" si="1"/>
        <v>10.16949153</v>
      </c>
      <c r="I765" s="19">
        <f t="shared" si="2"/>
        <v>4.5</v>
      </c>
      <c r="J765" s="67"/>
      <c r="K765" s="44" t="str">
        <f>IF($B765="","",IFERROR(VLOOKUP($B765,Tiendas!$A$4:$B$176,2,FALSE),""))</f>
        <v>JORDAN</v>
      </c>
      <c r="L765" s="68" t="s">
        <v>296</v>
      </c>
      <c r="M765" s="44" t="str">
        <f>IF($B765="","",IFERROR(VLOOKUP($B765,Tiendas!$A$4:$I$176,9,FALSE),""))</f>
        <v>Si</v>
      </c>
      <c r="N765" s="71">
        <f t="shared" si="3"/>
        <v>0</v>
      </c>
      <c r="O765" s="71">
        <f t="shared" si="4"/>
        <v>0</v>
      </c>
    </row>
    <row r="766" ht="15.75" customHeight="1">
      <c r="A766" s="17">
        <v>46023.0</v>
      </c>
      <c r="B766" s="44" t="s">
        <v>271</v>
      </c>
      <c r="C766" s="44" t="s">
        <v>63</v>
      </c>
      <c r="D766" s="45" t="s">
        <v>295</v>
      </c>
      <c r="E766" s="19">
        <f>IF($D766&lt;&gt;"Entregado",0,IF($C766="","",VLOOKUP($C766,'DATA DE TARIFA'!$A$4:$C$68,2,FALSE)/1.18))</f>
        <v>8.474576271</v>
      </c>
      <c r="F766" s="19">
        <f>IF($C766="","",IF($D766="",0,VLOOKUP($C766,'DATA DE TARIFA'!$A$4:$C$68,3,FALSE)))</f>
        <v>4</v>
      </c>
      <c r="G766" s="66">
        <v>0.0</v>
      </c>
      <c r="H766" s="19">
        <f t="shared" si="1"/>
        <v>8.474576271</v>
      </c>
      <c r="I766" s="19">
        <f t="shared" si="2"/>
        <v>4</v>
      </c>
      <c r="J766" s="67"/>
      <c r="K766" s="44" t="str">
        <f>IF($B766="","",IFERROR(VLOOKUP($B766,Tiendas!$A$4:$B$176,2,FALSE),""))</f>
        <v>JORDAN</v>
      </c>
      <c r="L766" s="68" t="s">
        <v>296</v>
      </c>
      <c r="M766" s="44" t="str">
        <f>IF($B766="","",IFERROR(VLOOKUP($B766,Tiendas!$A$4:$I$176,9,FALSE),""))</f>
        <v>Si</v>
      </c>
      <c r="N766" s="71">
        <f t="shared" si="3"/>
        <v>0</v>
      </c>
      <c r="O766" s="71">
        <f t="shared" si="4"/>
        <v>0</v>
      </c>
    </row>
    <row r="767" ht="15.75" customHeight="1">
      <c r="A767" s="17">
        <v>46023.0</v>
      </c>
      <c r="B767" s="44" t="s">
        <v>271</v>
      </c>
      <c r="C767" s="44" t="s">
        <v>55</v>
      </c>
      <c r="D767" s="45" t="s">
        <v>295</v>
      </c>
      <c r="E767" s="19">
        <f>IF($D767&lt;&gt;"Entregado",0,IF($C767="","",VLOOKUP($C767,'DATA DE TARIFA'!$A$4:$C$68,2,FALSE)/1.18))</f>
        <v>8.474576271</v>
      </c>
      <c r="F767" s="19">
        <f>IF($C767="","",IF($D767="",0,VLOOKUP($C767,'DATA DE TARIFA'!$A$4:$C$68,3,FALSE)))</f>
        <v>4</v>
      </c>
      <c r="G767" s="66">
        <v>0.0</v>
      </c>
      <c r="H767" s="19">
        <f t="shared" si="1"/>
        <v>8.474576271</v>
      </c>
      <c r="I767" s="19">
        <f t="shared" si="2"/>
        <v>4</v>
      </c>
      <c r="J767" s="67"/>
      <c r="K767" s="44" t="str">
        <f>IF($B767="","",IFERROR(VLOOKUP($B767,Tiendas!$A$4:$B$176,2,FALSE),""))</f>
        <v>JORDAN</v>
      </c>
      <c r="L767" s="68" t="s">
        <v>296</v>
      </c>
      <c r="M767" s="44" t="str">
        <f>IF($B767="","",IFERROR(VLOOKUP($B767,Tiendas!$A$4:$I$176,9,FALSE),""))</f>
        <v>Si</v>
      </c>
      <c r="N767" s="71">
        <f t="shared" si="3"/>
        <v>0</v>
      </c>
      <c r="O767" s="71">
        <f t="shared" si="4"/>
        <v>0</v>
      </c>
    </row>
    <row r="768" ht="15.75" customHeight="1">
      <c r="A768" s="17">
        <v>46023.0</v>
      </c>
      <c r="B768" s="44" t="s">
        <v>271</v>
      </c>
      <c r="C768" s="44" t="s">
        <v>34</v>
      </c>
      <c r="D768" s="45" t="s">
        <v>295</v>
      </c>
      <c r="E768" s="19">
        <f>IF($D768&lt;&gt;"Entregado",0,IF($C768="","",VLOOKUP($C768,'DATA DE TARIFA'!$A$4:$C$68,2,FALSE)/1.18))</f>
        <v>10.16949153</v>
      </c>
      <c r="F768" s="19">
        <f>IF($C768="","",IF($D768="",0,VLOOKUP($C768,'DATA DE TARIFA'!$A$4:$C$68,3,FALSE)))</f>
        <v>4.5</v>
      </c>
      <c r="G768" s="66">
        <v>0.0</v>
      </c>
      <c r="H768" s="19">
        <f t="shared" si="1"/>
        <v>10.16949153</v>
      </c>
      <c r="I768" s="19">
        <f t="shared" si="2"/>
        <v>4.5</v>
      </c>
      <c r="J768" s="67"/>
      <c r="K768" s="44" t="str">
        <f>IF($B768="","",IFERROR(VLOOKUP($B768,Tiendas!$A$4:$B$176,2,FALSE),""))</f>
        <v>JORDAN</v>
      </c>
      <c r="L768" s="68" t="s">
        <v>296</v>
      </c>
      <c r="M768" s="44" t="str">
        <f>IF($B768="","",IFERROR(VLOOKUP($B768,Tiendas!$A$4:$I$176,9,FALSE),""))</f>
        <v>Si</v>
      </c>
      <c r="N768" s="71">
        <f t="shared" si="3"/>
        <v>0</v>
      </c>
      <c r="O768" s="71">
        <f t="shared" si="4"/>
        <v>0</v>
      </c>
    </row>
    <row r="769" ht="15.75" customHeight="1">
      <c r="A769" s="17">
        <v>46023.0</v>
      </c>
      <c r="B769" s="44" t="s">
        <v>271</v>
      </c>
      <c r="C769" s="44" t="s">
        <v>26</v>
      </c>
      <c r="D769" s="45" t="s">
        <v>295</v>
      </c>
      <c r="E769" s="19">
        <f>IF($D769&lt;&gt;"Entregado",0,IF($C769="","",VLOOKUP($C769,'DATA DE TARIFA'!$A$4:$C$68,2,FALSE)/1.18))</f>
        <v>10.16949153</v>
      </c>
      <c r="F769" s="19">
        <f>IF($C769="","",IF($D769="",0,VLOOKUP($C769,'DATA DE TARIFA'!$A$4:$C$68,3,FALSE)))</f>
        <v>5</v>
      </c>
      <c r="G769" s="66">
        <v>0.0</v>
      </c>
      <c r="H769" s="19">
        <f t="shared" si="1"/>
        <v>10.16949153</v>
      </c>
      <c r="I769" s="19">
        <f t="shared" si="2"/>
        <v>5</v>
      </c>
      <c r="J769" s="67"/>
      <c r="K769" s="44" t="str">
        <f>IF($B769="","",IFERROR(VLOOKUP($B769,Tiendas!$A$4:$B$176,2,FALSE),""))</f>
        <v>JORDAN</v>
      </c>
      <c r="L769" s="68" t="s">
        <v>296</v>
      </c>
      <c r="M769" s="44" t="str">
        <f>IF($B769="","",IFERROR(VLOOKUP($B769,Tiendas!$A$4:$I$176,9,FALSE),""))</f>
        <v>Si</v>
      </c>
      <c r="N769" s="71">
        <f t="shared" si="3"/>
        <v>0</v>
      </c>
      <c r="O769" s="71">
        <f t="shared" si="4"/>
        <v>0</v>
      </c>
    </row>
    <row r="770" ht="15.75" customHeight="1">
      <c r="A770" s="17">
        <v>46023.0</v>
      </c>
      <c r="B770" s="44" t="s">
        <v>271</v>
      </c>
      <c r="C770" s="44" t="s">
        <v>34</v>
      </c>
      <c r="D770" s="45" t="s">
        <v>295</v>
      </c>
      <c r="E770" s="19">
        <f>IF($D770&lt;&gt;"Entregado",0,IF($C770="","",VLOOKUP($C770,'DATA DE TARIFA'!$A$4:$C$68,2,FALSE)/1.18))</f>
        <v>10.16949153</v>
      </c>
      <c r="F770" s="19">
        <f>IF($C770="","",IF($D770="",0,VLOOKUP($C770,'DATA DE TARIFA'!$A$4:$C$68,3,FALSE)))</f>
        <v>4.5</v>
      </c>
      <c r="G770" s="66">
        <v>0.0</v>
      </c>
      <c r="H770" s="19">
        <f t="shared" si="1"/>
        <v>10.16949153</v>
      </c>
      <c r="I770" s="19">
        <f t="shared" si="2"/>
        <v>4.5</v>
      </c>
      <c r="J770" s="67"/>
      <c r="K770" s="44" t="str">
        <f>IF($B770="","",IFERROR(VLOOKUP($B770,Tiendas!$A$4:$B$176,2,FALSE),""))</f>
        <v>JORDAN</v>
      </c>
      <c r="L770" s="68" t="s">
        <v>296</v>
      </c>
      <c r="M770" s="44" t="str">
        <f>IF($B770="","",IFERROR(VLOOKUP($B770,Tiendas!$A$4:$I$176,9,FALSE),""))</f>
        <v>Si</v>
      </c>
      <c r="N770" s="71">
        <f t="shared" si="3"/>
        <v>0</v>
      </c>
      <c r="O770" s="71">
        <f t="shared" si="4"/>
        <v>0</v>
      </c>
    </row>
    <row r="771" ht="15.75" customHeight="1">
      <c r="A771" s="17">
        <v>46023.0</v>
      </c>
      <c r="B771" s="44" t="s">
        <v>271</v>
      </c>
      <c r="C771" s="44" t="s">
        <v>23</v>
      </c>
      <c r="D771" s="45" t="s">
        <v>295</v>
      </c>
      <c r="E771" s="19">
        <f>IF($D771&lt;&gt;"Entregado",0,IF($C771="","",VLOOKUP($C771,'DATA DE TARIFA'!$A$4:$C$68,2,FALSE)/1.18))</f>
        <v>8.474576271</v>
      </c>
      <c r="F771" s="19">
        <f>IF($C771="","",IF($D771="",0,VLOOKUP($C771,'DATA DE TARIFA'!$A$4:$C$68,3,FALSE)))</f>
        <v>4.5</v>
      </c>
      <c r="G771" s="66">
        <v>0.0</v>
      </c>
      <c r="H771" s="19">
        <f t="shared" si="1"/>
        <v>8.474576271</v>
      </c>
      <c r="I771" s="19">
        <f t="shared" si="2"/>
        <v>4.5</v>
      </c>
      <c r="J771" s="67"/>
      <c r="K771" s="44" t="str">
        <f>IF($B771="","",IFERROR(VLOOKUP($B771,Tiendas!$A$4:$B$176,2,FALSE),""))</f>
        <v>JORDAN</v>
      </c>
      <c r="L771" s="68" t="s">
        <v>296</v>
      </c>
      <c r="M771" s="44" t="str">
        <f>IF($B771="","",IFERROR(VLOOKUP($B771,Tiendas!$A$4:$I$176,9,FALSE),""))</f>
        <v>Si</v>
      </c>
      <c r="N771" s="71">
        <f t="shared" si="3"/>
        <v>0</v>
      </c>
      <c r="O771" s="71">
        <f t="shared" si="4"/>
        <v>0</v>
      </c>
    </row>
    <row r="772" ht="15.75" customHeight="1">
      <c r="A772" s="17">
        <v>46023.0</v>
      </c>
      <c r="B772" s="44" t="s">
        <v>271</v>
      </c>
      <c r="C772" s="44" t="s">
        <v>23</v>
      </c>
      <c r="D772" s="45" t="s">
        <v>295</v>
      </c>
      <c r="E772" s="19">
        <f>IF($D772&lt;&gt;"Entregado",0,IF($C772="","",VLOOKUP($C772,'DATA DE TARIFA'!$A$4:$C$68,2,FALSE)/1.18))</f>
        <v>8.474576271</v>
      </c>
      <c r="F772" s="19">
        <f>IF($C772="","",IF($D772="",0,VLOOKUP($C772,'DATA DE TARIFA'!$A$4:$C$68,3,FALSE)))</f>
        <v>4.5</v>
      </c>
      <c r="G772" s="66">
        <v>0.0</v>
      </c>
      <c r="H772" s="19">
        <f t="shared" si="1"/>
        <v>8.474576271</v>
      </c>
      <c r="I772" s="19">
        <f t="shared" si="2"/>
        <v>4.5</v>
      </c>
      <c r="J772" s="67"/>
      <c r="K772" s="44" t="str">
        <f>IF($B772="","",IFERROR(VLOOKUP($B772,Tiendas!$A$4:$B$176,2,FALSE),""))</f>
        <v>JORDAN</v>
      </c>
      <c r="L772" s="68" t="s">
        <v>296</v>
      </c>
      <c r="M772" s="44" t="str">
        <f>IF($B772="","",IFERROR(VLOOKUP($B772,Tiendas!$A$4:$I$176,9,FALSE),""))</f>
        <v>Si</v>
      </c>
      <c r="N772" s="71">
        <f t="shared" si="3"/>
        <v>0</v>
      </c>
      <c r="O772" s="71">
        <f t="shared" si="4"/>
        <v>0</v>
      </c>
    </row>
    <row r="773" ht="15.75" customHeight="1">
      <c r="A773" s="17">
        <v>46023.0</v>
      </c>
      <c r="B773" s="44" t="s">
        <v>271</v>
      </c>
      <c r="C773" s="44" t="s">
        <v>67</v>
      </c>
      <c r="D773" s="45" t="s">
        <v>295</v>
      </c>
      <c r="E773" s="19">
        <f>IF($D773&lt;&gt;"Entregado",0,IF($C773="","",VLOOKUP($C773,'DATA DE TARIFA'!$A$4:$C$68,2,FALSE)/1.18))</f>
        <v>10.16949153</v>
      </c>
      <c r="F773" s="19">
        <f>IF($C773="","",IF($D773="",0,VLOOKUP($C773,'DATA DE TARIFA'!$A$4:$C$68,3,FALSE)))</f>
        <v>5.5</v>
      </c>
      <c r="G773" s="66">
        <v>0.0</v>
      </c>
      <c r="H773" s="19">
        <f t="shared" si="1"/>
        <v>10.16949153</v>
      </c>
      <c r="I773" s="19">
        <f t="shared" si="2"/>
        <v>5.5</v>
      </c>
      <c r="J773" s="67"/>
      <c r="K773" s="44" t="str">
        <f>IF($B773="","",IFERROR(VLOOKUP($B773,Tiendas!$A$4:$B$176,2,FALSE),""))</f>
        <v>JORDAN</v>
      </c>
      <c r="L773" s="68" t="s">
        <v>296</v>
      </c>
      <c r="M773" s="44" t="str">
        <f>IF($B773="","",IFERROR(VLOOKUP($B773,Tiendas!$A$4:$I$176,9,FALSE),""))</f>
        <v>Si</v>
      </c>
      <c r="N773" s="71">
        <f t="shared" si="3"/>
        <v>0</v>
      </c>
      <c r="O773" s="71">
        <f t="shared" si="4"/>
        <v>0</v>
      </c>
    </row>
    <row r="774" ht="15.75" customHeight="1">
      <c r="A774" s="17">
        <v>46023.0</v>
      </c>
      <c r="B774" s="44" t="s">
        <v>271</v>
      </c>
      <c r="C774" s="44" t="s">
        <v>67</v>
      </c>
      <c r="D774" s="45" t="s">
        <v>295</v>
      </c>
      <c r="E774" s="19">
        <f>IF($D774&lt;&gt;"Entregado",0,IF($C774="","",VLOOKUP($C774,'DATA DE TARIFA'!$A$4:$C$68,2,FALSE)/1.18))</f>
        <v>10.16949153</v>
      </c>
      <c r="F774" s="19">
        <f>IF($C774="","",IF($D774="",0,VLOOKUP($C774,'DATA DE TARIFA'!$A$4:$C$68,3,FALSE)))</f>
        <v>5.5</v>
      </c>
      <c r="G774" s="66">
        <v>0.0</v>
      </c>
      <c r="H774" s="19">
        <f t="shared" si="1"/>
        <v>10.16949153</v>
      </c>
      <c r="I774" s="19">
        <f t="shared" si="2"/>
        <v>5.5</v>
      </c>
      <c r="J774" s="67"/>
      <c r="K774" s="44" t="str">
        <f>IF($B774="","",IFERROR(VLOOKUP($B774,Tiendas!$A$4:$B$176,2,FALSE),""))</f>
        <v>JORDAN</v>
      </c>
      <c r="L774" s="68" t="s">
        <v>296</v>
      </c>
      <c r="M774" s="44" t="str">
        <f>IF($B774="","",IFERROR(VLOOKUP($B774,Tiendas!$A$4:$I$176,9,FALSE),""))</f>
        <v>Si</v>
      </c>
      <c r="N774" s="71">
        <f t="shared" si="3"/>
        <v>0</v>
      </c>
      <c r="O774" s="71">
        <f t="shared" si="4"/>
        <v>0</v>
      </c>
    </row>
    <row r="775" ht="15.75" customHeight="1">
      <c r="A775" s="17">
        <v>46023.0</v>
      </c>
      <c r="B775" s="44" t="s">
        <v>271</v>
      </c>
      <c r="C775" s="44" t="s">
        <v>70</v>
      </c>
      <c r="D775" s="45" t="s">
        <v>295</v>
      </c>
      <c r="E775" s="19">
        <f>IF($D775&lt;&gt;"Entregado",0,IF($C775="","",VLOOKUP($C775,'DATA DE TARIFA'!$A$4:$C$68,2,FALSE)/1.18))</f>
        <v>8.474576271</v>
      </c>
      <c r="F775" s="19">
        <f>IF($C775="","",IF($D775="",0,VLOOKUP($C775,'DATA DE TARIFA'!$A$4:$C$68,3,FALSE)))</f>
        <v>4</v>
      </c>
      <c r="G775" s="66">
        <v>0.0</v>
      </c>
      <c r="H775" s="19">
        <f t="shared" si="1"/>
        <v>8.474576271</v>
      </c>
      <c r="I775" s="19">
        <f t="shared" si="2"/>
        <v>4</v>
      </c>
      <c r="J775" s="67"/>
      <c r="K775" s="44" t="str">
        <f>IF($B775="","",IFERROR(VLOOKUP($B775,Tiendas!$A$4:$B$176,2,FALSE),""))</f>
        <v>JORDAN</v>
      </c>
      <c r="L775" s="68" t="s">
        <v>296</v>
      </c>
      <c r="M775" s="44" t="str">
        <f>IF($B775="","",IFERROR(VLOOKUP($B775,Tiendas!$A$4:$I$176,9,FALSE),""))</f>
        <v>Si</v>
      </c>
      <c r="N775" s="71">
        <f t="shared" si="3"/>
        <v>0</v>
      </c>
      <c r="O775" s="71">
        <f t="shared" si="4"/>
        <v>0</v>
      </c>
    </row>
    <row r="776" ht="15.75" customHeight="1">
      <c r="A776" s="17">
        <v>46023.0</v>
      </c>
      <c r="B776" s="44" t="s">
        <v>271</v>
      </c>
      <c r="C776" s="44" t="s">
        <v>18</v>
      </c>
      <c r="D776" s="45" t="s">
        <v>295</v>
      </c>
      <c r="E776" s="19">
        <f>IF($D776&lt;&gt;"Entregado",0,IF($C776="","",VLOOKUP($C776,'DATA DE TARIFA'!$A$4:$C$68,2,FALSE)/1.18))</f>
        <v>10.16949153</v>
      </c>
      <c r="F776" s="19">
        <f>IF($C776="","",IF($D776="",0,VLOOKUP($C776,'DATA DE TARIFA'!$A$4:$C$68,3,FALSE)))</f>
        <v>4.5</v>
      </c>
      <c r="G776" s="66">
        <v>0.0</v>
      </c>
      <c r="H776" s="19">
        <f t="shared" si="1"/>
        <v>10.16949153</v>
      </c>
      <c r="I776" s="19">
        <f t="shared" si="2"/>
        <v>4.5</v>
      </c>
      <c r="J776" s="67"/>
      <c r="K776" s="44" t="str">
        <f>IF($B776="","",IFERROR(VLOOKUP($B776,Tiendas!$A$4:$B$176,2,FALSE),""))</f>
        <v>JORDAN</v>
      </c>
      <c r="L776" s="68" t="s">
        <v>296</v>
      </c>
      <c r="M776" s="44" t="str">
        <f>IF($B776="","",IFERROR(VLOOKUP($B776,Tiendas!$A$4:$I$176,9,FALSE),""))</f>
        <v>Si</v>
      </c>
      <c r="N776" s="71">
        <f t="shared" si="3"/>
        <v>0</v>
      </c>
      <c r="O776" s="71">
        <f t="shared" si="4"/>
        <v>0</v>
      </c>
    </row>
    <row r="777" ht="15.75" customHeight="1">
      <c r="A777" s="17">
        <v>46023.0</v>
      </c>
      <c r="B777" s="44" t="s">
        <v>271</v>
      </c>
      <c r="C777" s="44" t="s">
        <v>18</v>
      </c>
      <c r="D777" s="45" t="s">
        <v>295</v>
      </c>
      <c r="E777" s="19">
        <f>IF($D777&lt;&gt;"Entregado",0,IF($C777="","",VLOOKUP($C777,'DATA DE TARIFA'!$A$4:$C$68,2,FALSE)/1.18))</f>
        <v>10.16949153</v>
      </c>
      <c r="F777" s="19">
        <f>IF($C777="","",IF($D777="",0,VLOOKUP($C777,'DATA DE TARIFA'!$A$4:$C$68,3,FALSE)))</f>
        <v>4.5</v>
      </c>
      <c r="G777" s="66">
        <v>0.0</v>
      </c>
      <c r="H777" s="19">
        <f t="shared" si="1"/>
        <v>10.16949153</v>
      </c>
      <c r="I777" s="19">
        <f t="shared" si="2"/>
        <v>4.5</v>
      </c>
      <c r="J777" s="67"/>
      <c r="K777" s="44" t="str">
        <f>IF($B777="","",IFERROR(VLOOKUP($B777,Tiendas!$A$4:$B$176,2,FALSE),""))</f>
        <v>JORDAN</v>
      </c>
      <c r="L777" s="68" t="s">
        <v>296</v>
      </c>
      <c r="M777" s="44" t="str">
        <f>IF($B777="","",IFERROR(VLOOKUP($B777,Tiendas!$A$4:$I$176,9,FALSE),""))</f>
        <v>Si</v>
      </c>
      <c r="N777" s="71">
        <f t="shared" si="3"/>
        <v>0</v>
      </c>
      <c r="O777" s="71">
        <f t="shared" si="4"/>
        <v>0</v>
      </c>
    </row>
    <row r="778" ht="15.75" customHeight="1">
      <c r="A778" s="17">
        <v>46023.0</v>
      </c>
      <c r="B778" s="44" t="s">
        <v>271</v>
      </c>
      <c r="C778" s="44" t="s">
        <v>18</v>
      </c>
      <c r="D778" s="45" t="s">
        <v>295</v>
      </c>
      <c r="E778" s="19">
        <f>IF($D778&lt;&gt;"Entregado",0,IF($C778="","",VLOOKUP($C778,'DATA DE TARIFA'!$A$4:$C$68,2,FALSE)/1.18))</f>
        <v>10.16949153</v>
      </c>
      <c r="F778" s="19">
        <f>IF($C778="","",IF($D778="",0,VLOOKUP($C778,'DATA DE TARIFA'!$A$4:$C$68,3,FALSE)))</f>
        <v>4.5</v>
      </c>
      <c r="G778" s="66">
        <v>0.0</v>
      </c>
      <c r="H778" s="19">
        <f t="shared" si="1"/>
        <v>10.16949153</v>
      </c>
      <c r="I778" s="19">
        <f t="shared" si="2"/>
        <v>4.5</v>
      </c>
      <c r="J778" s="67"/>
      <c r="K778" s="44" t="str">
        <f>IF($B778="","",IFERROR(VLOOKUP($B778,Tiendas!$A$4:$B$176,2,FALSE),""))</f>
        <v>JORDAN</v>
      </c>
      <c r="L778" s="68" t="s">
        <v>296</v>
      </c>
      <c r="M778" s="44" t="str">
        <f>IF($B778="","",IFERROR(VLOOKUP($B778,Tiendas!$A$4:$I$176,9,FALSE),""))</f>
        <v>Si</v>
      </c>
      <c r="N778" s="71">
        <f t="shared" si="3"/>
        <v>0</v>
      </c>
      <c r="O778" s="71">
        <f t="shared" si="4"/>
        <v>0</v>
      </c>
    </row>
    <row r="779" ht="15.75" customHeight="1">
      <c r="A779" s="17">
        <v>46023.0</v>
      </c>
      <c r="B779" s="44" t="s">
        <v>271</v>
      </c>
      <c r="C779" s="44" t="s">
        <v>15</v>
      </c>
      <c r="D779" s="45" t="s">
        <v>295</v>
      </c>
      <c r="E779" s="19">
        <f>IF($D779&lt;&gt;"Entregado",0,IF($C779="","",VLOOKUP($C779,'DATA DE TARIFA'!$A$4:$C$68,2,FALSE)/1.18))</f>
        <v>8.474576271</v>
      </c>
      <c r="F779" s="19">
        <f>IF($C779="","",IF($D779="",0,VLOOKUP($C779,'DATA DE TARIFA'!$A$4:$C$68,3,FALSE)))</f>
        <v>4.5</v>
      </c>
      <c r="G779" s="66">
        <v>0.0</v>
      </c>
      <c r="H779" s="19">
        <f t="shared" si="1"/>
        <v>8.474576271</v>
      </c>
      <c r="I779" s="19">
        <f t="shared" si="2"/>
        <v>4.5</v>
      </c>
      <c r="J779" s="67"/>
      <c r="K779" s="44" t="str">
        <f>IF($B779="","",IFERROR(VLOOKUP($B779,Tiendas!$A$4:$B$176,2,FALSE),""))</f>
        <v>JORDAN</v>
      </c>
      <c r="L779" s="68" t="s">
        <v>296</v>
      </c>
      <c r="M779" s="44" t="str">
        <f>IF($B779="","",IFERROR(VLOOKUP($B779,Tiendas!$A$4:$I$176,9,FALSE),""))</f>
        <v>Si</v>
      </c>
      <c r="N779" s="71">
        <f t="shared" si="3"/>
        <v>0</v>
      </c>
      <c r="O779" s="71">
        <f t="shared" si="4"/>
        <v>0</v>
      </c>
    </row>
    <row r="780" ht="15.75" customHeight="1">
      <c r="A780" s="17">
        <v>46023.0</v>
      </c>
      <c r="B780" s="44" t="s">
        <v>271</v>
      </c>
      <c r="C780" s="44" t="s">
        <v>44</v>
      </c>
      <c r="D780" s="45" t="s">
        <v>295</v>
      </c>
      <c r="E780" s="19">
        <f>IF($D780&lt;&gt;"Entregado",0,IF($C780="","",VLOOKUP($C780,'DATA DE TARIFA'!$A$4:$C$68,2,FALSE)/1.18))</f>
        <v>10.16949153</v>
      </c>
      <c r="F780" s="19">
        <f>IF($C780="","",IF($D780="",0,VLOOKUP($C780,'DATA DE TARIFA'!$A$4:$C$68,3,FALSE)))</f>
        <v>5.5</v>
      </c>
      <c r="G780" s="66">
        <v>0.0</v>
      </c>
      <c r="H780" s="19">
        <f t="shared" si="1"/>
        <v>10.16949153</v>
      </c>
      <c r="I780" s="19">
        <f t="shared" si="2"/>
        <v>5.5</v>
      </c>
      <c r="J780" s="67"/>
      <c r="K780" s="44" t="str">
        <f>IF($B780="","",IFERROR(VLOOKUP($B780,Tiendas!$A$4:$B$176,2,FALSE),""))</f>
        <v>JORDAN</v>
      </c>
      <c r="L780" s="68" t="s">
        <v>296</v>
      </c>
      <c r="M780" s="44" t="str">
        <f>IF($B780="","",IFERROR(VLOOKUP($B780,Tiendas!$A$4:$I$176,9,FALSE),""))</f>
        <v>Si</v>
      </c>
      <c r="N780" s="71">
        <f t="shared" si="3"/>
        <v>0</v>
      </c>
      <c r="O780" s="71">
        <f t="shared" si="4"/>
        <v>0</v>
      </c>
    </row>
    <row r="781" ht="15.75" customHeight="1">
      <c r="A781" s="17">
        <v>46023.0</v>
      </c>
      <c r="B781" s="44" t="s">
        <v>271</v>
      </c>
      <c r="C781" s="44" t="s">
        <v>51</v>
      </c>
      <c r="D781" s="45" t="s">
        <v>295</v>
      </c>
      <c r="E781" s="19">
        <f>IF($D781&lt;&gt;"Entregado",0,IF($C781="","",VLOOKUP($C781,'DATA DE TARIFA'!$A$4:$C$68,2,FALSE)/1.18))</f>
        <v>10.16949153</v>
      </c>
      <c r="F781" s="19">
        <f>IF($C781="","",IF($D781="",0,VLOOKUP($C781,'DATA DE TARIFA'!$A$4:$C$68,3,FALSE)))</f>
        <v>5.5</v>
      </c>
      <c r="G781" s="66">
        <v>0.0</v>
      </c>
      <c r="H781" s="19">
        <f t="shared" si="1"/>
        <v>10.16949153</v>
      </c>
      <c r="I781" s="19">
        <f t="shared" si="2"/>
        <v>5.5</v>
      </c>
      <c r="J781" s="67"/>
      <c r="K781" s="44" t="str">
        <f>IF($B781="","",IFERROR(VLOOKUP($B781,Tiendas!$A$4:$B$176,2,FALSE),""))</f>
        <v>JORDAN</v>
      </c>
      <c r="L781" s="68" t="s">
        <v>296</v>
      </c>
      <c r="M781" s="44" t="str">
        <f>IF($B781="","",IFERROR(VLOOKUP($B781,Tiendas!$A$4:$I$176,9,FALSE),""))</f>
        <v>Si</v>
      </c>
      <c r="N781" s="71">
        <f t="shared" si="3"/>
        <v>0</v>
      </c>
      <c r="O781" s="71">
        <f t="shared" si="4"/>
        <v>0</v>
      </c>
    </row>
    <row r="782" ht="15.75" customHeight="1">
      <c r="A782" s="17">
        <v>46023.0</v>
      </c>
      <c r="B782" s="44" t="s">
        <v>271</v>
      </c>
      <c r="C782" s="44" t="s">
        <v>67</v>
      </c>
      <c r="D782" s="45" t="s">
        <v>295</v>
      </c>
      <c r="E782" s="19">
        <f>IF($D782&lt;&gt;"Entregado",0,IF($C782="","",VLOOKUP($C782,'DATA DE TARIFA'!$A$4:$C$68,2,FALSE)/1.18))</f>
        <v>10.16949153</v>
      </c>
      <c r="F782" s="19">
        <f>IF($C782="","",IF($D782="",0,VLOOKUP($C782,'DATA DE TARIFA'!$A$4:$C$68,3,FALSE)))</f>
        <v>5.5</v>
      </c>
      <c r="G782" s="66">
        <v>0.0</v>
      </c>
      <c r="H782" s="19">
        <f t="shared" si="1"/>
        <v>10.16949153</v>
      </c>
      <c r="I782" s="19">
        <f t="shared" si="2"/>
        <v>5.5</v>
      </c>
      <c r="J782" s="67"/>
      <c r="K782" s="44" t="str">
        <f>IF($B782="","",IFERROR(VLOOKUP($B782,Tiendas!$A$4:$B$176,2,FALSE),""))</f>
        <v>JORDAN</v>
      </c>
      <c r="L782" s="68" t="s">
        <v>296</v>
      </c>
      <c r="M782" s="44" t="str">
        <f>IF($B782="","",IFERROR(VLOOKUP($B782,Tiendas!$A$4:$I$176,9,FALSE),""))</f>
        <v>Si</v>
      </c>
      <c r="N782" s="71">
        <f t="shared" si="3"/>
        <v>0</v>
      </c>
      <c r="O782" s="71">
        <f t="shared" si="4"/>
        <v>0</v>
      </c>
    </row>
    <row r="783" ht="15.75" customHeight="1">
      <c r="A783" s="17">
        <v>46023.0</v>
      </c>
      <c r="B783" s="44" t="s">
        <v>271</v>
      </c>
      <c r="C783" s="44" t="s">
        <v>32</v>
      </c>
      <c r="D783" s="45" t="s">
        <v>295</v>
      </c>
      <c r="E783" s="19">
        <f>IF($D783&lt;&gt;"Entregado",0,IF($C783="","",VLOOKUP($C783,'DATA DE TARIFA'!$A$4:$C$68,2,FALSE)/1.18))</f>
        <v>8.474576271</v>
      </c>
      <c r="F783" s="19">
        <f>IF($C783="","",IF($D783="",0,VLOOKUP($C783,'DATA DE TARIFA'!$A$4:$C$68,3,FALSE)))</f>
        <v>4.5</v>
      </c>
      <c r="G783" s="66">
        <v>0.0</v>
      </c>
      <c r="H783" s="19">
        <f t="shared" si="1"/>
        <v>8.474576271</v>
      </c>
      <c r="I783" s="19">
        <f t="shared" si="2"/>
        <v>4.5</v>
      </c>
      <c r="J783" s="67"/>
      <c r="K783" s="44" t="str">
        <f>IF($B783="","",IFERROR(VLOOKUP($B783,Tiendas!$A$4:$B$176,2,FALSE),""))</f>
        <v>JORDAN</v>
      </c>
      <c r="L783" s="68" t="s">
        <v>296</v>
      </c>
      <c r="M783" s="44" t="str">
        <f>IF($B783="","",IFERROR(VLOOKUP($B783,Tiendas!$A$4:$I$176,9,FALSE),""))</f>
        <v>Si</v>
      </c>
      <c r="N783" s="71">
        <f t="shared" si="3"/>
        <v>0</v>
      </c>
      <c r="O783" s="71">
        <f t="shared" si="4"/>
        <v>0</v>
      </c>
    </row>
    <row r="784" ht="15.75" customHeight="1">
      <c r="A784" s="17">
        <v>46023.0</v>
      </c>
      <c r="B784" s="44" t="s">
        <v>271</v>
      </c>
      <c r="C784" s="44" t="s">
        <v>30</v>
      </c>
      <c r="D784" s="45" t="s">
        <v>295</v>
      </c>
      <c r="E784" s="19">
        <f>IF($D784&lt;&gt;"Entregado",0,IF($C784="","",VLOOKUP($C784,'DATA DE TARIFA'!$A$4:$C$68,2,FALSE)/1.18))</f>
        <v>8.474576271</v>
      </c>
      <c r="F784" s="19">
        <f>IF($C784="","",IF($D784="",0,VLOOKUP($C784,'DATA DE TARIFA'!$A$4:$C$68,3,FALSE)))</f>
        <v>4.5</v>
      </c>
      <c r="G784" s="66">
        <v>0.0</v>
      </c>
      <c r="H784" s="19">
        <f t="shared" si="1"/>
        <v>8.474576271</v>
      </c>
      <c r="I784" s="19">
        <f t="shared" si="2"/>
        <v>4.5</v>
      </c>
      <c r="J784" s="67"/>
      <c r="K784" s="44" t="str">
        <f>IF($B784="","",IFERROR(VLOOKUP($B784,Tiendas!$A$4:$B$176,2,FALSE),""))</f>
        <v>JORDAN</v>
      </c>
      <c r="L784" s="68" t="s">
        <v>296</v>
      </c>
      <c r="M784" s="44" t="str">
        <f>IF($B784="","",IFERROR(VLOOKUP($B784,Tiendas!$A$4:$I$176,9,FALSE),""))</f>
        <v>Si</v>
      </c>
      <c r="N784" s="71">
        <f t="shared" si="3"/>
        <v>0</v>
      </c>
      <c r="O784" s="71">
        <f t="shared" si="4"/>
        <v>0</v>
      </c>
    </row>
    <row r="785" ht="15.75" customHeight="1">
      <c r="A785" s="17">
        <v>46023.0</v>
      </c>
      <c r="B785" s="44" t="s">
        <v>271</v>
      </c>
      <c r="C785" s="44" t="s">
        <v>30</v>
      </c>
      <c r="D785" s="45" t="s">
        <v>295</v>
      </c>
      <c r="E785" s="19">
        <f>IF($D785&lt;&gt;"Entregado",0,IF($C785="","",VLOOKUP($C785,'DATA DE TARIFA'!$A$4:$C$68,2,FALSE)/1.18))</f>
        <v>8.474576271</v>
      </c>
      <c r="F785" s="19">
        <f>IF($C785="","",IF($D785="",0,VLOOKUP($C785,'DATA DE TARIFA'!$A$4:$C$68,3,FALSE)))</f>
        <v>4.5</v>
      </c>
      <c r="G785" s="66">
        <v>0.0</v>
      </c>
      <c r="H785" s="19">
        <f t="shared" si="1"/>
        <v>8.474576271</v>
      </c>
      <c r="I785" s="19">
        <f t="shared" si="2"/>
        <v>4.5</v>
      </c>
      <c r="J785" s="67"/>
      <c r="K785" s="44" t="str">
        <f>IF($B785="","",IFERROR(VLOOKUP($B785,Tiendas!$A$4:$B$176,2,FALSE),""))</f>
        <v>JORDAN</v>
      </c>
      <c r="L785" s="68" t="s">
        <v>296</v>
      </c>
      <c r="M785" s="44" t="str">
        <f>IF($B785="","",IFERROR(VLOOKUP($B785,Tiendas!$A$4:$I$176,9,FALSE),""))</f>
        <v>Si</v>
      </c>
      <c r="N785" s="71">
        <f t="shared" si="3"/>
        <v>0</v>
      </c>
      <c r="O785" s="71">
        <f t="shared" si="4"/>
        <v>0</v>
      </c>
    </row>
    <row r="786" ht="15.75" customHeight="1">
      <c r="A786" s="17">
        <v>46023.0</v>
      </c>
      <c r="B786" s="44" t="s">
        <v>271</v>
      </c>
      <c r="C786" s="44" t="s">
        <v>38</v>
      </c>
      <c r="D786" s="45" t="s">
        <v>295</v>
      </c>
      <c r="E786" s="19">
        <f>IF($D786&lt;&gt;"Entregado",0,IF($C786="","",VLOOKUP($C786,'DATA DE TARIFA'!$A$4:$C$68,2,FALSE)/1.18))</f>
        <v>8.474576271</v>
      </c>
      <c r="F786" s="19">
        <f>IF($C786="","",IF($D786="",0,VLOOKUP($C786,'DATA DE TARIFA'!$A$4:$C$68,3,FALSE)))</f>
        <v>4</v>
      </c>
      <c r="G786" s="66">
        <v>0.0</v>
      </c>
      <c r="H786" s="19">
        <f t="shared" si="1"/>
        <v>8.474576271</v>
      </c>
      <c r="I786" s="19">
        <f t="shared" si="2"/>
        <v>4</v>
      </c>
      <c r="J786" s="67"/>
      <c r="K786" s="44" t="str">
        <f>IF($B786="","",IFERROR(VLOOKUP($B786,Tiendas!$A$4:$B$176,2,FALSE),""))</f>
        <v>JORDAN</v>
      </c>
      <c r="L786" s="68" t="s">
        <v>296</v>
      </c>
      <c r="M786" s="44" t="str">
        <f>IF($B786="","",IFERROR(VLOOKUP($B786,Tiendas!$A$4:$I$176,9,FALSE),""))</f>
        <v>Si</v>
      </c>
      <c r="N786" s="71">
        <f t="shared" si="3"/>
        <v>0</v>
      </c>
      <c r="O786" s="71">
        <f t="shared" si="4"/>
        <v>0</v>
      </c>
    </row>
    <row r="787" ht="15.75" customHeight="1">
      <c r="A787" s="17">
        <v>46023.0</v>
      </c>
      <c r="B787" s="44" t="s">
        <v>271</v>
      </c>
      <c r="C787" s="44" t="s">
        <v>67</v>
      </c>
      <c r="D787" s="45" t="s">
        <v>295</v>
      </c>
      <c r="E787" s="19">
        <f>IF($D787&lt;&gt;"Entregado",0,IF($C787="","",VLOOKUP($C787,'DATA DE TARIFA'!$A$4:$C$68,2,FALSE)/1.18))</f>
        <v>10.16949153</v>
      </c>
      <c r="F787" s="19">
        <f>IF($C787="","",IF($D787="",0,VLOOKUP($C787,'DATA DE TARIFA'!$A$4:$C$68,3,FALSE)))</f>
        <v>5.5</v>
      </c>
      <c r="G787" s="66">
        <v>0.0</v>
      </c>
      <c r="H787" s="19">
        <f t="shared" si="1"/>
        <v>10.16949153</v>
      </c>
      <c r="I787" s="19">
        <f t="shared" si="2"/>
        <v>5.5</v>
      </c>
      <c r="J787" s="67"/>
      <c r="K787" s="44" t="str">
        <f>IF($B787="","",IFERROR(VLOOKUP($B787,Tiendas!$A$4:$B$176,2,FALSE),""))</f>
        <v>JORDAN</v>
      </c>
      <c r="L787" s="68" t="s">
        <v>296</v>
      </c>
      <c r="M787" s="44" t="str">
        <f>IF($B787="","",IFERROR(VLOOKUP($B787,Tiendas!$A$4:$I$176,9,FALSE),""))</f>
        <v>Si</v>
      </c>
      <c r="N787" s="71">
        <f t="shared" si="3"/>
        <v>0</v>
      </c>
      <c r="O787" s="71">
        <f t="shared" si="4"/>
        <v>0</v>
      </c>
    </row>
    <row r="788" ht="15.75" customHeight="1">
      <c r="A788" s="17">
        <v>46023.0</v>
      </c>
      <c r="B788" s="44" t="s">
        <v>271</v>
      </c>
      <c r="C788" s="44" t="s">
        <v>67</v>
      </c>
      <c r="D788" s="45" t="s">
        <v>295</v>
      </c>
      <c r="E788" s="19">
        <f>IF($D788&lt;&gt;"Entregado",0,IF($C788="","",VLOOKUP($C788,'DATA DE TARIFA'!$A$4:$C$68,2,FALSE)/1.18))</f>
        <v>10.16949153</v>
      </c>
      <c r="F788" s="19">
        <f>IF($C788="","",IF($D788="",0,VLOOKUP($C788,'DATA DE TARIFA'!$A$4:$C$68,3,FALSE)))</f>
        <v>5.5</v>
      </c>
      <c r="G788" s="66">
        <v>0.0</v>
      </c>
      <c r="H788" s="19">
        <f t="shared" si="1"/>
        <v>10.16949153</v>
      </c>
      <c r="I788" s="19">
        <f t="shared" si="2"/>
        <v>5.5</v>
      </c>
      <c r="J788" s="67"/>
      <c r="K788" s="44" t="str">
        <f>IF($B788="","",IFERROR(VLOOKUP($B788,Tiendas!$A$4:$B$176,2,FALSE),""))</f>
        <v>JORDAN</v>
      </c>
      <c r="L788" s="68" t="s">
        <v>296</v>
      </c>
      <c r="M788" s="44" t="str">
        <f>IF($B788="","",IFERROR(VLOOKUP($B788,Tiendas!$A$4:$I$176,9,FALSE),""))</f>
        <v>Si</v>
      </c>
      <c r="N788" s="71">
        <f t="shared" si="3"/>
        <v>0</v>
      </c>
      <c r="O788" s="71">
        <f t="shared" si="4"/>
        <v>0</v>
      </c>
    </row>
    <row r="789" ht="15.75" customHeight="1">
      <c r="A789" s="17">
        <v>46023.0</v>
      </c>
      <c r="B789" s="44" t="s">
        <v>271</v>
      </c>
      <c r="C789" s="44" t="s">
        <v>15</v>
      </c>
      <c r="D789" s="45" t="s">
        <v>295</v>
      </c>
      <c r="E789" s="19">
        <f>IF($D789&lt;&gt;"Entregado",0,IF($C789="","",VLOOKUP($C789,'DATA DE TARIFA'!$A$4:$C$68,2,FALSE)/1.18))</f>
        <v>8.474576271</v>
      </c>
      <c r="F789" s="19">
        <f>IF($C789="","",IF($D789="",0,VLOOKUP($C789,'DATA DE TARIFA'!$A$4:$C$68,3,FALSE)))</f>
        <v>4.5</v>
      </c>
      <c r="G789" s="66">
        <v>0.0</v>
      </c>
      <c r="H789" s="19">
        <f t="shared" si="1"/>
        <v>8.474576271</v>
      </c>
      <c r="I789" s="19">
        <f t="shared" si="2"/>
        <v>4.5</v>
      </c>
      <c r="J789" s="67"/>
      <c r="K789" s="44" t="str">
        <f>IF($B789="","",IFERROR(VLOOKUP($B789,Tiendas!$A$4:$B$176,2,FALSE),""))</f>
        <v>JORDAN</v>
      </c>
      <c r="L789" s="68" t="s">
        <v>296</v>
      </c>
      <c r="M789" s="44" t="str">
        <f>IF($B789="","",IFERROR(VLOOKUP($B789,Tiendas!$A$4:$I$176,9,FALSE),""))</f>
        <v>Si</v>
      </c>
      <c r="N789" s="71">
        <f t="shared" si="3"/>
        <v>0</v>
      </c>
      <c r="O789" s="71">
        <f t="shared" si="4"/>
        <v>0</v>
      </c>
    </row>
    <row r="790" ht="15.75" customHeight="1">
      <c r="A790" s="17">
        <v>46023.0</v>
      </c>
      <c r="B790" s="44" t="s">
        <v>271</v>
      </c>
      <c r="C790" s="44" t="s">
        <v>15</v>
      </c>
      <c r="D790" s="45" t="s">
        <v>295</v>
      </c>
      <c r="E790" s="19">
        <f>IF($D790&lt;&gt;"Entregado",0,IF($C790="","",VLOOKUP($C790,'DATA DE TARIFA'!$A$4:$C$68,2,FALSE)/1.18))</f>
        <v>8.474576271</v>
      </c>
      <c r="F790" s="19">
        <f>IF($C790="","",IF($D790="",0,VLOOKUP($C790,'DATA DE TARIFA'!$A$4:$C$68,3,FALSE)))</f>
        <v>4.5</v>
      </c>
      <c r="G790" s="66">
        <v>0.0</v>
      </c>
      <c r="H790" s="19">
        <f t="shared" si="1"/>
        <v>8.474576271</v>
      </c>
      <c r="I790" s="19">
        <f t="shared" si="2"/>
        <v>4.5</v>
      </c>
      <c r="J790" s="67"/>
      <c r="K790" s="44" t="str">
        <f>IF($B790="","",IFERROR(VLOOKUP($B790,Tiendas!$A$4:$B$176,2,FALSE),""))</f>
        <v>JORDAN</v>
      </c>
      <c r="L790" s="68" t="s">
        <v>296</v>
      </c>
      <c r="M790" s="44" t="str">
        <f>IF($B790="","",IFERROR(VLOOKUP($B790,Tiendas!$A$4:$I$176,9,FALSE),""))</f>
        <v>Si</v>
      </c>
      <c r="N790" s="71">
        <f t="shared" si="3"/>
        <v>0</v>
      </c>
      <c r="O790" s="71">
        <f t="shared" si="4"/>
        <v>0</v>
      </c>
    </row>
    <row r="791" ht="15.75" customHeight="1">
      <c r="A791" s="17">
        <v>46023.0</v>
      </c>
      <c r="B791" s="44" t="s">
        <v>271</v>
      </c>
      <c r="C791" s="44" t="s">
        <v>21</v>
      </c>
      <c r="D791" s="45" t="s">
        <v>295</v>
      </c>
      <c r="E791" s="19">
        <f>IF($D791&lt;&gt;"Entregado",0,IF($C791="","",VLOOKUP($C791,'DATA DE TARIFA'!$A$4:$C$68,2,FALSE)/1.18))</f>
        <v>10.16949153</v>
      </c>
      <c r="F791" s="19">
        <f>IF($C791="","",IF($D791="",0,VLOOKUP($C791,'DATA DE TARIFA'!$A$4:$C$68,3,FALSE)))</f>
        <v>4.5</v>
      </c>
      <c r="G791" s="66">
        <v>0.0</v>
      </c>
      <c r="H791" s="19">
        <f t="shared" si="1"/>
        <v>10.16949153</v>
      </c>
      <c r="I791" s="19">
        <f t="shared" si="2"/>
        <v>4.5</v>
      </c>
      <c r="J791" s="67"/>
      <c r="K791" s="44" t="str">
        <f>IF($B791="","",IFERROR(VLOOKUP($B791,Tiendas!$A$4:$B$176,2,FALSE),""))</f>
        <v>JORDAN</v>
      </c>
      <c r="L791" s="68" t="s">
        <v>296</v>
      </c>
      <c r="M791" s="44" t="str">
        <f>IF($B791="","",IFERROR(VLOOKUP($B791,Tiendas!$A$4:$I$176,9,FALSE),""))</f>
        <v>Si</v>
      </c>
      <c r="N791" s="71">
        <f t="shared" si="3"/>
        <v>0</v>
      </c>
      <c r="O791" s="71">
        <f t="shared" si="4"/>
        <v>0</v>
      </c>
    </row>
    <row r="792" ht="15.75" customHeight="1">
      <c r="A792" s="17">
        <v>46023.0</v>
      </c>
      <c r="B792" s="44" t="s">
        <v>271</v>
      </c>
      <c r="C792" s="44" t="s">
        <v>21</v>
      </c>
      <c r="D792" s="45" t="s">
        <v>295</v>
      </c>
      <c r="E792" s="19">
        <f>IF($D792&lt;&gt;"Entregado",0,IF($C792="","",VLOOKUP($C792,'DATA DE TARIFA'!$A$4:$C$68,2,FALSE)/1.18))</f>
        <v>10.16949153</v>
      </c>
      <c r="F792" s="19">
        <f>IF($C792="","",IF($D792="",0,VLOOKUP($C792,'DATA DE TARIFA'!$A$4:$C$68,3,FALSE)))</f>
        <v>4.5</v>
      </c>
      <c r="G792" s="66">
        <v>0.0</v>
      </c>
      <c r="H792" s="19">
        <f t="shared" si="1"/>
        <v>10.16949153</v>
      </c>
      <c r="I792" s="19">
        <f t="shared" si="2"/>
        <v>4.5</v>
      </c>
      <c r="J792" s="67"/>
      <c r="K792" s="44" t="str">
        <f>IF($B792="","",IFERROR(VLOOKUP($B792,Tiendas!$A$4:$B$176,2,FALSE),""))</f>
        <v>JORDAN</v>
      </c>
      <c r="L792" s="68" t="s">
        <v>296</v>
      </c>
      <c r="M792" s="44" t="str">
        <f>IF($B792="","",IFERROR(VLOOKUP($B792,Tiendas!$A$4:$I$176,9,FALSE),""))</f>
        <v>Si</v>
      </c>
      <c r="N792" s="71">
        <f t="shared" si="3"/>
        <v>0</v>
      </c>
      <c r="O792" s="71">
        <f t="shared" si="4"/>
        <v>0</v>
      </c>
    </row>
    <row r="793" ht="15.75" customHeight="1">
      <c r="A793" s="17">
        <v>46023.0</v>
      </c>
      <c r="B793" s="44" t="s">
        <v>271</v>
      </c>
      <c r="C793" s="44" t="s">
        <v>26</v>
      </c>
      <c r="D793" s="45" t="s">
        <v>295</v>
      </c>
      <c r="E793" s="19">
        <f>IF($D793&lt;&gt;"Entregado",0,IF($C793="","",VLOOKUP($C793,'DATA DE TARIFA'!$A$4:$C$68,2,FALSE)/1.18))</f>
        <v>10.16949153</v>
      </c>
      <c r="F793" s="19">
        <f>IF($C793="","",IF($D793="",0,VLOOKUP($C793,'DATA DE TARIFA'!$A$4:$C$68,3,FALSE)))</f>
        <v>5</v>
      </c>
      <c r="G793" s="66">
        <v>0.0</v>
      </c>
      <c r="H793" s="19">
        <f t="shared" si="1"/>
        <v>10.16949153</v>
      </c>
      <c r="I793" s="19">
        <f t="shared" si="2"/>
        <v>5</v>
      </c>
      <c r="J793" s="67"/>
      <c r="K793" s="44" t="str">
        <f>IF($B793="","",IFERROR(VLOOKUP($B793,Tiendas!$A$4:$B$176,2,FALSE),""))</f>
        <v>JORDAN</v>
      </c>
      <c r="L793" s="68" t="s">
        <v>296</v>
      </c>
      <c r="M793" s="44" t="str">
        <f>IF($B793="","",IFERROR(VLOOKUP($B793,Tiendas!$A$4:$I$176,9,FALSE),""))</f>
        <v>Si</v>
      </c>
      <c r="N793" s="71">
        <f t="shared" si="3"/>
        <v>0</v>
      </c>
      <c r="O793" s="71">
        <f t="shared" si="4"/>
        <v>0</v>
      </c>
    </row>
    <row r="794" ht="15.75" customHeight="1">
      <c r="A794" s="17">
        <v>46023.0</v>
      </c>
      <c r="B794" s="44" t="s">
        <v>271</v>
      </c>
      <c r="C794" s="44" t="s">
        <v>55</v>
      </c>
      <c r="D794" s="45" t="s">
        <v>295</v>
      </c>
      <c r="E794" s="19">
        <f>IF($D794&lt;&gt;"Entregado",0,IF($C794="","",VLOOKUP($C794,'DATA DE TARIFA'!$A$4:$C$68,2,FALSE)/1.18))</f>
        <v>8.474576271</v>
      </c>
      <c r="F794" s="19">
        <f>IF($C794="","",IF($D794="",0,VLOOKUP($C794,'DATA DE TARIFA'!$A$4:$C$68,3,FALSE)))</f>
        <v>4</v>
      </c>
      <c r="G794" s="66">
        <v>0.0</v>
      </c>
      <c r="H794" s="19">
        <f t="shared" si="1"/>
        <v>8.474576271</v>
      </c>
      <c r="I794" s="19">
        <f t="shared" si="2"/>
        <v>4</v>
      </c>
      <c r="J794" s="67"/>
      <c r="K794" s="44" t="str">
        <f>IF($B794="","",IFERROR(VLOOKUP($B794,Tiendas!$A$4:$B$176,2,FALSE),""))</f>
        <v>JORDAN</v>
      </c>
      <c r="L794" s="68" t="s">
        <v>296</v>
      </c>
      <c r="M794" s="44" t="str">
        <f>IF($B794="","",IFERROR(VLOOKUP($B794,Tiendas!$A$4:$I$176,9,FALSE),""))</f>
        <v>Si</v>
      </c>
      <c r="N794" s="71">
        <f t="shared" si="3"/>
        <v>0</v>
      </c>
      <c r="O794" s="71">
        <f t="shared" si="4"/>
        <v>0</v>
      </c>
    </row>
    <row r="795" ht="15.75" customHeight="1">
      <c r="A795" s="17">
        <v>46023.0</v>
      </c>
      <c r="B795" s="44" t="s">
        <v>271</v>
      </c>
      <c r="C795" s="44" t="s">
        <v>83</v>
      </c>
      <c r="D795" s="45" t="s">
        <v>295</v>
      </c>
      <c r="E795" s="19">
        <f>IF($D795&lt;&gt;"Entregado",0,IF($C795="","",VLOOKUP($C795,'DATA DE TARIFA'!$A$4:$C$68,2,FALSE)/1.18))</f>
        <v>14.40677966</v>
      </c>
      <c r="F795" s="19">
        <f>IF($C795="","",IF($D795="",0,VLOOKUP($C795,'DATA DE TARIFA'!$A$4:$C$68,3,FALSE)))</f>
        <v>8.5</v>
      </c>
      <c r="G795" s="66">
        <v>0.0</v>
      </c>
      <c r="H795" s="19">
        <f t="shared" si="1"/>
        <v>14.40677966</v>
      </c>
      <c r="I795" s="19">
        <f t="shared" si="2"/>
        <v>8.5</v>
      </c>
      <c r="J795" s="67"/>
      <c r="K795" s="44" t="str">
        <f>IF($B795="","",IFERROR(VLOOKUP($B795,Tiendas!$A$4:$B$176,2,FALSE),""))</f>
        <v>JORDAN</v>
      </c>
      <c r="L795" s="68" t="s">
        <v>296</v>
      </c>
      <c r="M795" s="44" t="str">
        <f>IF($B795="","",IFERROR(VLOOKUP($B795,Tiendas!$A$4:$I$176,9,FALSE),""))</f>
        <v>Si</v>
      </c>
      <c r="N795" s="71">
        <f t="shared" si="3"/>
        <v>0</v>
      </c>
      <c r="O795" s="71">
        <f t="shared" si="4"/>
        <v>0</v>
      </c>
    </row>
    <row r="796" ht="15.75" customHeight="1">
      <c r="A796" s="17">
        <v>46023.0</v>
      </c>
      <c r="B796" s="44" t="s">
        <v>271</v>
      </c>
      <c r="C796" s="44" t="s">
        <v>40</v>
      </c>
      <c r="D796" s="45" t="s">
        <v>295</v>
      </c>
      <c r="E796" s="19">
        <f>IF($D796&lt;&gt;"Entregado",0,IF($C796="","",VLOOKUP($C796,'DATA DE TARIFA'!$A$4:$C$68,2,FALSE)/1.18))</f>
        <v>8.474576271</v>
      </c>
      <c r="F796" s="19">
        <f>IF($C796="","",IF($D796="",0,VLOOKUP($C796,'DATA DE TARIFA'!$A$4:$C$68,3,FALSE)))</f>
        <v>4</v>
      </c>
      <c r="G796" s="66">
        <v>0.0</v>
      </c>
      <c r="H796" s="19">
        <f t="shared" si="1"/>
        <v>8.474576271</v>
      </c>
      <c r="I796" s="19">
        <f t="shared" si="2"/>
        <v>4</v>
      </c>
      <c r="J796" s="67"/>
      <c r="K796" s="44" t="str">
        <f>IF($B796="","",IFERROR(VLOOKUP($B796,Tiendas!$A$4:$B$176,2,FALSE),""))</f>
        <v>JORDAN</v>
      </c>
      <c r="L796" s="68" t="s">
        <v>296</v>
      </c>
      <c r="M796" s="44" t="str">
        <f>IF($B796="","",IFERROR(VLOOKUP($B796,Tiendas!$A$4:$I$176,9,FALSE),""))</f>
        <v>Si</v>
      </c>
      <c r="N796" s="71">
        <f t="shared" si="3"/>
        <v>0</v>
      </c>
      <c r="O796" s="71">
        <f t="shared" si="4"/>
        <v>0</v>
      </c>
    </row>
    <row r="797" ht="15.75" customHeight="1">
      <c r="A797" s="17">
        <v>46023.0</v>
      </c>
      <c r="B797" s="44" t="s">
        <v>271</v>
      </c>
      <c r="C797" s="44" t="s">
        <v>18</v>
      </c>
      <c r="D797" s="45" t="s">
        <v>295</v>
      </c>
      <c r="E797" s="19">
        <f>IF($D797&lt;&gt;"Entregado",0,IF($C797="","",VLOOKUP($C797,'DATA DE TARIFA'!$A$4:$C$68,2,FALSE)/1.18))</f>
        <v>10.16949153</v>
      </c>
      <c r="F797" s="19">
        <f>IF($C797="","",IF($D797="",0,VLOOKUP($C797,'DATA DE TARIFA'!$A$4:$C$68,3,FALSE)))</f>
        <v>4.5</v>
      </c>
      <c r="G797" s="66">
        <v>0.0</v>
      </c>
      <c r="H797" s="19">
        <f t="shared" si="1"/>
        <v>10.16949153</v>
      </c>
      <c r="I797" s="19">
        <f t="shared" si="2"/>
        <v>4.5</v>
      </c>
      <c r="J797" s="67"/>
      <c r="K797" s="44" t="str">
        <f>IF($B797="","",IFERROR(VLOOKUP($B797,Tiendas!$A$4:$B$176,2,FALSE),""))</f>
        <v>JORDAN</v>
      </c>
      <c r="L797" s="68" t="s">
        <v>296</v>
      </c>
      <c r="M797" s="44" t="str">
        <f>IF($B797="","",IFERROR(VLOOKUP($B797,Tiendas!$A$4:$I$176,9,FALSE),""))</f>
        <v>Si</v>
      </c>
      <c r="N797" s="71">
        <f t="shared" si="3"/>
        <v>0</v>
      </c>
      <c r="O797" s="71">
        <f t="shared" si="4"/>
        <v>0</v>
      </c>
    </row>
    <row r="798" ht="15.75" customHeight="1">
      <c r="A798" s="17">
        <v>46023.0</v>
      </c>
      <c r="B798" s="44" t="s">
        <v>271</v>
      </c>
      <c r="C798" s="44" t="s">
        <v>32</v>
      </c>
      <c r="D798" s="45" t="s">
        <v>295</v>
      </c>
      <c r="E798" s="19">
        <f>IF($D798&lt;&gt;"Entregado",0,IF($C798="","",VLOOKUP($C798,'DATA DE TARIFA'!$A$4:$C$68,2,FALSE)/1.18))</f>
        <v>8.474576271</v>
      </c>
      <c r="F798" s="19">
        <f>IF($C798="","",IF($D798="",0,VLOOKUP($C798,'DATA DE TARIFA'!$A$4:$C$68,3,FALSE)))</f>
        <v>4.5</v>
      </c>
      <c r="G798" s="66">
        <v>0.0</v>
      </c>
      <c r="H798" s="19">
        <f t="shared" si="1"/>
        <v>8.474576271</v>
      </c>
      <c r="I798" s="19">
        <f t="shared" si="2"/>
        <v>4.5</v>
      </c>
      <c r="J798" s="67"/>
      <c r="K798" s="44" t="str">
        <f>IF($B798="","",IFERROR(VLOOKUP($B798,Tiendas!$A$4:$B$176,2,FALSE),""))</f>
        <v>JORDAN</v>
      </c>
      <c r="L798" s="68" t="s">
        <v>296</v>
      </c>
      <c r="M798" s="44" t="str">
        <f>IF($B798="","",IFERROR(VLOOKUP($B798,Tiendas!$A$4:$I$176,9,FALSE),""))</f>
        <v>Si</v>
      </c>
      <c r="N798" s="71">
        <f t="shared" si="3"/>
        <v>0</v>
      </c>
      <c r="O798" s="71">
        <f t="shared" si="4"/>
        <v>0</v>
      </c>
    </row>
    <row r="799" ht="15.75" customHeight="1">
      <c r="A799" s="17">
        <v>46023.0</v>
      </c>
      <c r="B799" s="44" t="s">
        <v>271</v>
      </c>
      <c r="C799" s="44" t="s">
        <v>32</v>
      </c>
      <c r="D799" s="45" t="s">
        <v>295</v>
      </c>
      <c r="E799" s="19">
        <f>IF($D799&lt;&gt;"Entregado",0,IF($C799="","",VLOOKUP($C799,'DATA DE TARIFA'!$A$4:$C$68,2,FALSE)/1.18))</f>
        <v>8.474576271</v>
      </c>
      <c r="F799" s="19">
        <f>IF($C799="","",IF($D799="",0,VLOOKUP($C799,'DATA DE TARIFA'!$A$4:$C$68,3,FALSE)))</f>
        <v>4.5</v>
      </c>
      <c r="G799" s="66">
        <v>0.0</v>
      </c>
      <c r="H799" s="19">
        <f t="shared" si="1"/>
        <v>8.474576271</v>
      </c>
      <c r="I799" s="19">
        <f t="shared" si="2"/>
        <v>4.5</v>
      </c>
      <c r="J799" s="67"/>
      <c r="K799" s="44" t="str">
        <f>IF($B799="","",IFERROR(VLOOKUP($B799,Tiendas!$A$4:$B$176,2,FALSE),""))</f>
        <v>JORDAN</v>
      </c>
      <c r="L799" s="68" t="s">
        <v>296</v>
      </c>
      <c r="M799" s="44" t="str">
        <f>IF($B799="","",IFERROR(VLOOKUP($B799,Tiendas!$A$4:$I$176,9,FALSE),""))</f>
        <v>Si</v>
      </c>
      <c r="N799" s="71">
        <f t="shared" si="3"/>
        <v>0</v>
      </c>
      <c r="O799" s="71">
        <f t="shared" si="4"/>
        <v>0</v>
      </c>
    </row>
    <row r="800" ht="15.75" customHeight="1">
      <c r="A800" s="17">
        <v>46023.0</v>
      </c>
      <c r="B800" s="44" t="s">
        <v>271</v>
      </c>
      <c r="C800" s="44" t="s">
        <v>32</v>
      </c>
      <c r="D800" s="45" t="s">
        <v>295</v>
      </c>
      <c r="E800" s="19">
        <f>IF($D800&lt;&gt;"Entregado",0,IF($C800="","",VLOOKUP($C800,'DATA DE TARIFA'!$A$4:$C$68,2,FALSE)/1.18))</f>
        <v>8.474576271</v>
      </c>
      <c r="F800" s="19">
        <f>IF($C800="","",IF($D800="",0,VLOOKUP($C800,'DATA DE TARIFA'!$A$4:$C$68,3,FALSE)))</f>
        <v>4.5</v>
      </c>
      <c r="G800" s="66">
        <v>0.0</v>
      </c>
      <c r="H800" s="19">
        <f t="shared" si="1"/>
        <v>8.474576271</v>
      </c>
      <c r="I800" s="19">
        <f t="shared" si="2"/>
        <v>4.5</v>
      </c>
      <c r="J800" s="67"/>
      <c r="K800" s="44" t="str">
        <f>IF($B800="","",IFERROR(VLOOKUP($B800,Tiendas!$A$4:$B$176,2,FALSE),""))</f>
        <v>JORDAN</v>
      </c>
      <c r="L800" s="68" t="s">
        <v>296</v>
      </c>
      <c r="M800" s="44" t="str">
        <f>IF($B800="","",IFERROR(VLOOKUP($B800,Tiendas!$A$4:$I$176,9,FALSE),""))</f>
        <v>Si</v>
      </c>
      <c r="N800" s="71">
        <f t="shared" si="3"/>
        <v>0</v>
      </c>
      <c r="O800" s="71">
        <f t="shared" si="4"/>
        <v>0</v>
      </c>
    </row>
    <row r="801" ht="15.75" customHeight="1">
      <c r="A801" s="17">
        <v>46023.0</v>
      </c>
      <c r="B801" s="44" t="s">
        <v>271</v>
      </c>
      <c r="C801" s="44" t="s">
        <v>32</v>
      </c>
      <c r="D801" s="45" t="s">
        <v>295</v>
      </c>
      <c r="E801" s="19">
        <f>IF($D801&lt;&gt;"Entregado",0,IF($C801="","",VLOOKUP($C801,'DATA DE TARIFA'!$A$4:$C$68,2,FALSE)/1.18))</f>
        <v>8.474576271</v>
      </c>
      <c r="F801" s="19">
        <f>IF($C801="","",IF($D801="",0,VLOOKUP($C801,'DATA DE TARIFA'!$A$4:$C$68,3,FALSE)))</f>
        <v>4.5</v>
      </c>
      <c r="G801" s="66">
        <v>0.0</v>
      </c>
      <c r="H801" s="19">
        <f t="shared" si="1"/>
        <v>8.474576271</v>
      </c>
      <c r="I801" s="19">
        <f t="shared" si="2"/>
        <v>4.5</v>
      </c>
      <c r="J801" s="67"/>
      <c r="K801" s="44" t="str">
        <f>IF($B801="","",IFERROR(VLOOKUP($B801,Tiendas!$A$4:$B$176,2,FALSE),""))</f>
        <v>JORDAN</v>
      </c>
      <c r="L801" s="68" t="s">
        <v>296</v>
      </c>
      <c r="M801" s="44" t="str">
        <f>IF($B801="","",IFERROR(VLOOKUP($B801,Tiendas!$A$4:$I$176,9,FALSE),""))</f>
        <v>Si</v>
      </c>
      <c r="N801" s="71">
        <f t="shared" si="3"/>
        <v>0</v>
      </c>
      <c r="O801" s="71">
        <f t="shared" si="4"/>
        <v>0</v>
      </c>
    </row>
    <row r="802" ht="15.75" customHeight="1">
      <c r="A802" s="17">
        <v>46023.0</v>
      </c>
      <c r="B802" s="44" t="s">
        <v>271</v>
      </c>
      <c r="C802" s="44" t="s">
        <v>32</v>
      </c>
      <c r="D802" s="45" t="s">
        <v>295</v>
      </c>
      <c r="E802" s="19">
        <f>IF($D802&lt;&gt;"Entregado",0,IF($C802="","",VLOOKUP($C802,'DATA DE TARIFA'!$A$4:$C$68,2,FALSE)/1.18))</f>
        <v>8.474576271</v>
      </c>
      <c r="F802" s="19">
        <f>IF($C802="","",IF($D802="",0,VLOOKUP($C802,'DATA DE TARIFA'!$A$4:$C$68,3,FALSE)))</f>
        <v>4.5</v>
      </c>
      <c r="G802" s="66">
        <v>0.0</v>
      </c>
      <c r="H802" s="19">
        <f t="shared" si="1"/>
        <v>8.474576271</v>
      </c>
      <c r="I802" s="19">
        <f t="shared" si="2"/>
        <v>4.5</v>
      </c>
      <c r="J802" s="67"/>
      <c r="K802" s="44" t="str">
        <f>IF($B802="","",IFERROR(VLOOKUP($B802,Tiendas!$A$4:$B$176,2,FALSE),""))</f>
        <v>JORDAN</v>
      </c>
      <c r="L802" s="68" t="s">
        <v>296</v>
      </c>
      <c r="M802" s="44" t="str">
        <f>IF($B802="","",IFERROR(VLOOKUP($B802,Tiendas!$A$4:$I$176,9,FALSE),""))</f>
        <v>Si</v>
      </c>
      <c r="N802" s="71">
        <f t="shared" si="3"/>
        <v>0</v>
      </c>
      <c r="O802" s="71">
        <f t="shared" si="4"/>
        <v>0</v>
      </c>
    </row>
    <row r="803" ht="15.75" customHeight="1">
      <c r="A803" s="17">
        <v>46023.0</v>
      </c>
      <c r="B803" s="44" t="s">
        <v>271</v>
      </c>
      <c r="C803" s="44" t="s">
        <v>63</v>
      </c>
      <c r="D803" s="45" t="s">
        <v>295</v>
      </c>
      <c r="E803" s="19">
        <f>IF($D803&lt;&gt;"Entregado",0,IF($C803="","",VLOOKUP($C803,'DATA DE TARIFA'!$A$4:$C$68,2,FALSE)/1.18))</f>
        <v>8.474576271</v>
      </c>
      <c r="F803" s="19">
        <f>IF($C803="","",IF($D803="",0,VLOOKUP($C803,'DATA DE TARIFA'!$A$4:$C$68,3,FALSE)))</f>
        <v>4</v>
      </c>
      <c r="G803" s="66">
        <v>0.0</v>
      </c>
      <c r="H803" s="19">
        <f t="shared" si="1"/>
        <v>8.474576271</v>
      </c>
      <c r="I803" s="19">
        <f t="shared" si="2"/>
        <v>4</v>
      </c>
      <c r="J803" s="67"/>
      <c r="K803" s="44" t="str">
        <f>IF($B803="","",IFERROR(VLOOKUP($B803,Tiendas!$A$4:$B$176,2,FALSE),""))</f>
        <v>JORDAN</v>
      </c>
      <c r="L803" s="68" t="s">
        <v>296</v>
      </c>
      <c r="M803" s="44" t="str">
        <f>IF($B803="","",IFERROR(VLOOKUP($B803,Tiendas!$A$4:$I$176,9,FALSE),""))</f>
        <v>Si</v>
      </c>
      <c r="N803" s="71">
        <f t="shared" si="3"/>
        <v>0</v>
      </c>
      <c r="O803" s="71">
        <f t="shared" si="4"/>
        <v>0</v>
      </c>
    </row>
    <row r="804" ht="15.75" customHeight="1">
      <c r="A804" s="17">
        <v>46023.0</v>
      </c>
      <c r="B804" s="44" t="s">
        <v>271</v>
      </c>
      <c r="C804" s="44" t="s">
        <v>64</v>
      </c>
      <c r="D804" s="45" t="s">
        <v>295</v>
      </c>
      <c r="E804" s="19">
        <f>IF($D804&lt;&gt;"Entregado",0,IF($C804="","",VLOOKUP($C804,'DATA DE TARIFA'!$A$4:$C$68,2,FALSE)/1.18))</f>
        <v>8.474576271</v>
      </c>
      <c r="F804" s="19">
        <f>IF($C804="","",IF($D804="",0,VLOOKUP($C804,'DATA DE TARIFA'!$A$4:$C$68,3,FALSE)))</f>
        <v>4.5</v>
      </c>
      <c r="G804" s="66">
        <v>0.0</v>
      </c>
      <c r="H804" s="19">
        <f t="shared" si="1"/>
        <v>8.474576271</v>
      </c>
      <c r="I804" s="19">
        <f t="shared" si="2"/>
        <v>4.5</v>
      </c>
      <c r="J804" s="67"/>
      <c r="K804" s="44" t="str">
        <f>IF($B804="","",IFERROR(VLOOKUP($B804,Tiendas!$A$4:$B$176,2,FALSE),""))</f>
        <v>JORDAN</v>
      </c>
      <c r="L804" s="68" t="s">
        <v>296</v>
      </c>
      <c r="M804" s="44" t="str">
        <f>IF($B804="","",IFERROR(VLOOKUP($B804,Tiendas!$A$4:$I$176,9,FALSE),""))</f>
        <v>Si</v>
      </c>
      <c r="N804" s="71">
        <f t="shared" si="3"/>
        <v>0</v>
      </c>
      <c r="O804" s="71">
        <f t="shared" si="4"/>
        <v>0</v>
      </c>
    </row>
    <row r="805" ht="15.75" customHeight="1">
      <c r="A805" s="17">
        <v>46023.0</v>
      </c>
      <c r="B805" s="44" t="s">
        <v>271</v>
      </c>
      <c r="C805" s="44" t="s">
        <v>89</v>
      </c>
      <c r="D805" s="45" t="s">
        <v>295</v>
      </c>
      <c r="E805" s="19">
        <f>IF($D805&lt;&gt;"Entregado",0,IF($C805="","",VLOOKUP($C805,'DATA DE TARIFA'!$A$4:$C$68,2,FALSE)/1.18))</f>
        <v>16.10169492</v>
      </c>
      <c r="F805" s="19">
        <f>IF($C805="","",IF($D805="",0,VLOOKUP($C805,'DATA DE TARIFA'!$A$4:$C$68,3,FALSE)))</f>
        <v>7.5</v>
      </c>
      <c r="G805" s="66">
        <v>0.0</v>
      </c>
      <c r="H805" s="19">
        <f t="shared" si="1"/>
        <v>16.10169492</v>
      </c>
      <c r="I805" s="19">
        <f t="shared" si="2"/>
        <v>7.5</v>
      </c>
      <c r="J805" s="67"/>
      <c r="K805" s="44" t="str">
        <f>IF($B805="","",IFERROR(VLOOKUP($B805,Tiendas!$A$4:$B$176,2,FALSE),""))</f>
        <v>JORDAN</v>
      </c>
      <c r="L805" s="68" t="s">
        <v>296</v>
      </c>
      <c r="M805" s="44" t="str">
        <f>IF($B805="","",IFERROR(VLOOKUP($B805,Tiendas!$A$4:$I$176,9,FALSE),""))</f>
        <v>Si</v>
      </c>
      <c r="N805" s="71">
        <f t="shared" si="3"/>
        <v>0</v>
      </c>
      <c r="O805" s="71">
        <f t="shared" si="4"/>
        <v>0</v>
      </c>
    </row>
    <row r="806" ht="15.75" customHeight="1">
      <c r="A806" s="17">
        <v>46023.0</v>
      </c>
      <c r="B806" s="44" t="s">
        <v>271</v>
      </c>
      <c r="C806" s="44" t="s">
        <v>68</v>
      </c>
      <c r="D806" s="45" t="s">
        <v>295</v>
      </c>
      <c r="E806" s="19">
        <f>IF($D806&lt;&gt;"Entregado",0,IF($C806="","",VLOOKUP($C806,'DATA DE TARIFA'!$A$4:$C$68,2,FALSE)/1.18))</f>
        <v>11.86440678</v>
      </c>
      <c r="F806" s="19">
        <f>IF($C806="","",IF($D806="",0,VLOOKUP($C806,'DATA DE TARIFA'!$A$4:$C$68,3,FALSE)))</f>
        <v>7.5</v>
      </c>
      <c r="G806" s="66">
        <v>0.0</v>
      </c>
      <c r="H806" s="19">
        <f t="shared" si="1"/>
        <v>11.86440678</v>
      </c>
      <c r="I806" s="19">
        <f t="shared" si="2"/>
        <v>7.5</v>
      </c>
      <c r="J806" s="67"/>
      <c r="K806" s="44" t="str">
        <f>IF($B806="","",IFERROR(VLOOKUP($B806,Tiendas!$A$4:$B$176,2,FALSE),""))</f>
        <v>JORDAN</v>
      </c>
      <c r="L806" s="68" t="s">
        <v>296</v>
      </c>
      <c r="M806" s="44" t="str">
        <f>IF($B806="","",IFERROR(VLOOKUP($B806,Tiendas!$A$4:$I$176,9,FALSE),""))</f>
        <v>Si</v>
      </c>
      <c r="N806" s="71">
        <f t="shared" si="3"/>
        <v>0</v>
      </c>
      <c r="O806" s="71">
        <f t="shared" si="4"/>
        <v>0</v>
      </c>
    </row>
    <row r="807" ht="15.75" customHeight="1">
      <c r="A807" s="17">
        <v>46023.0</v>
      </c>
      <c r="B807" s="44" t="s">
        <v>271</v>
      </c>
      <c r="C807" s="44" t="s">
        <v>49</v>
      </c>
      <c r="D807" s="45" t="s">
        <v>295</v>
      </c>
      <c r="E807" s="19">
        <f>IF($D807&lt;&gt;"Entregado",0,IF($C807="","",VLOOKUP($C807,'DATA DE TARIFA'!$A$4:$C$68,2,FALSE)/1.18))</f>
        <v>10.16949153</v>
      </c>
      <c r="F807" s="19">
        <f>IF($C807="","",IF($D807="",0,VLOOKUP($C807,'DATA DE TARIFA'!$A$4:$C$68,3,FALSE)))</f>
        <v>5.5</v>
      </c>
      <c r="G807" s="66">
        <v>0.0</v>
      </c>
      <c r="H807" s="19">
        <f t="shared" si="1"/>
        <v>10.16949153</v>
      </c>
      <c r="I807" s="19">
        <f t="shared" si="2"/>
        <v>5.5</v>
      </c>
      <c r="J807" s="67"/>
      <c r="K807" s="44" t="str">
        <f>IF($B807="","",IFERROR(VLOOKUP($B807,Tiendas!$A$4:$B$176,2,FALSE),""))</f>
        <v>JORDAN</v>
      </c>
      <c r="L807" s="68" t="s">
        <v>296</v>
      </c>
      <c r="M807" s="44" t="str">
        <f>IF($B807="","",IFERROR(VLOOKUP($B807,Tiendas!$A$4:$I$176,9,FALSE),""))</f>
        <v>Si</v>
      </c>
      <c r="N807" s="71">
        <f t="shared" si="3"/>
        <v>0</v>
      </c>
      <c r="O807" s="71">
        <f t="shared" si="4"/>
        <v>0</v>
      </c>
    </row>
    <row r="808" ht="15.75" customHeight="1">
      <c r="A808" s="17">
        <v>46023.0</v>
      </c>
      <c r="B808" s="44" t="s">
        <v>271</v>
      </c>
      <c r="C808" s="44" t="s">
        <v>49</v>
      </c>
      <c r="D808" s="45" t="s">
        <v>295</v>
      </c>
      <c r="E808" s="19">
        <f>IF($D808&lt;&gt;"Entregado",0,IF($C808="","",VLOOKUP($C808,'DATA DE TARIFA'!$A$4:$C$68,2,FALSE)/1.18))</f>
        <v>10.16949153</v>
      </c>
      <c r="F808" s="19">
        <f>IF($C808="","",IF($D808="",0,VLOOKUP($C808,'DATA DE TARIFA'!$A$4:$C$68,3,FALSE)))</f>
        <v>5.5</v>
      </c>
      <c r="G808" s="66">
        <v>0.0</v>
      </c>
      <c r="H808" s="19">
        <f t="shared" si="1"/>
        <v>10.16949153</v>
      </c>
      <c r="I808" s="19">
        <f t="shared" si="2"/>
        <v>5.5</v>
      </c>
      <c r="J808" s="67"/>
      <c r="K808" s="44" t="str">
        <f>IF($B808="","",IFERROR(VLOOKUP($B808,Tiendas!$A$4:$B$176,2,FALSE),""))</f>
        <v>JORDAN</v>
      </c>
      <c r="L808" s="68" t="s">
        <v>296</v>
      </c>
      <c r="M808" s="44" t="str">
        <f>IF($B808="","",IFERROR(VLOOKUP($B808,Tiendas!$A$4:$I$176,9,FALSE),""))</f>
        <v>Si</v>
      </c>
      <c r="N808" s="71">
        <f t="shared" si="3"/>
        <v>0</v>
      </c>
      <c r="O808" s="71">
        <f t="shared" si="4"/>
        <v>0</v>
      </c>
    </row>
    <row r="809" ht="15.75" customHeight="1">
      <c r="A809" s="17">
        <v>46023.0</v>
      </c>
      <c r="B809" s="44" t="s">
        <v>271</v>
      </c>
      <c r="C809" s="44" t="s">
        <v>49</v>
      </c>
      <c r="D809" s="45" t="s">
        <v>295</v>
      </c>
      <c r="E809" s="19">
        <f>IF($D809&lt;&gt;"Entregado",0,IF($C809="","",VLOOKUP($C809,'DATA DE TARIFA'!$A$4:$C$68,2,FALSE)/1.18))</f>
        <v>10.16949153</v>
      </c>
      <c r="F809" s="19">
        <f>IF($C809="","",IF($D809="",0,VLOOKUP($C809,'DATA DE TARIFA'!$A$4:$C$68,3,FALSE)))</f>
        <v>5.5</v>
      </c>
      <c r="G809" s="66">
        <v>0.0</v>
      </c>
      <c r="H809" s="19">
        <f t="shared" si="1"/>
        <v>10.16949153</v>
      </c>
      <c r="I809" s="19">
        <f t="shared" si="2"/>
        <v>5.5</v>
      </c>
      <c r="J809" s="67"/>
      <c r="K809" s="44" t="str">
        <f>IF($B809="","",IFERROR(VLOOKUP($B809,Tiendas!$A$4:$B$176,2,FALSE),""))</f>
        <v>JORDAN</v>
      </c>
      <c r="L809" s="68" t="s">
        <v>296</v>
      </c>
      <c r="M809" s="44" t="str">
        <f>IF($B809="","",IFERROR(VLOOKUP($B809,Tiendas!$A$4:$I$176,9,FALSE),""))</f>
        <v>Si</v>
      </c>
      <c r="N809" s="71">
        <f t="shared" si="3"/>
        <v>0</v>
      </c>
      <c r="O809" s="71">
        <f t="shared" si="4"/>
        <v>0</v>
      </c>
    </row>
    <row r="810" ht="15.75" customHeight="1">
      <c r="A810" s="17">
        <v>46023.0</v>
      </c>
      <c r="B810" s="44" t="s">
        <v>271</v>
      </c>
      <c r="C810" s="44" t="s">
        <v>49</v>
      </c>
      <c r="D810" s="45" t="s">
        <v>295</v>
      </c>
      <c r="E810" s="19">
        <f>IF($D810&lt;&gt;"Entregado",0,IF($C810="","",VLOOKUP($C810,'DATA DE TARIFA'!$A$4:$C$68,2,FALSE)/1.18))</f>
        <v>10.16949153</v>
      </c>
      <c r="F810" s="19">
        <f>IF($C810="","",IF($D810="",0,VLOOKUP($C810,'DATA DE TARIFA'!$A$4:$C$68,3,FALSE)))</f>
        <v>5.5</v>
      </c>
      <c r="G810" s="66">
        <v>0.0</v>
      </c>
      <c r="H810" s="19">
        <f t="shared" si="1"/>
        <v>10.16949153</v>
      </c>
      <c r="I810" s="19">
        <f t="shared" si="2"/>
        <v>5.5</v>
      </c>
      <c r="J810" s="67"/>
      <c r="K810" s="44" t="str">
        <f>IF($B810="","",IFERROR(VLOOKUP($B810,Tiendas!$A$4:$B$176,2,FALSE),""))</f>
        <v>JORDAN</v>
      </c>
      <c r="L810" s="68" t="s">
        <v>296</v>
      </c>
      <c r="M810" s="44" t="str">
        <f>IF($B810="","",IFERROR(VLOOKUP($B810,Tiendas!$A$4:$I$176,9,FALSE),""))</f>
        <v>Si</v>
      </c>
      <c r="N810" s="71">
        <f t="shared" si="3"/>
        <v>0</v>
      </c>
      <c r="O810" s="71">
        <f t="shared" si="4"/>
        <v>0</v>
      </c>
    </row>
    <row r="811" ht="15.75" customHeight="1">
      <c r="A811" s="17">
        <v>46023.0</v>
      </c>
      <c r="B811" s="44" t="s">
        <v>271</v>
      </c>
      <c r="C811" s="44" t="s">
        <v>21</v>
      </c>
      <c r="D811" s="45" t="s">
        <v>295</v>
      </c>
      <c r="E811" s="19">
        <f>IF($D811&lt;&gt;"Entregado",0,IF($C811="","",VLOOKUP($C811,'DATA DE TARIFA'!$A$4:$C$68,2,FALSE)/1.18))</f>
        <v>10.16949153</v>
      </c>
      <c r="F811" s="19">
        <f>IF($C811="","",IF($D811="",0,VLOOKUP($C811,'DATA DE TARIFA'!$A$4:$C$68,3,FALSE)))</f>
        <v>4.5</v>
      </c>
      <c r="G811" s="66">
        <v>0.0</v>
      </c>
      <c r="H811" s="19">
        <f t="shared" si="1"/>
        <v>10.16949153</v>
      </c>
      <c r="I811" s="19">
        <f t="shared" si="2"/>
        <v>4.5</v>
      </c>
      <c r="J811" s="67"/>
      <c r="K811" s="44" t="str">
        <f>IF($B811="","",IFERROR(VLOOKUP($B811,Tiendas!$A$4:$B$176,2,FALSE),""))</f>
        <v>JORDAN</v>
      </c>
      <c r="L811" s="68" t="s">
        <v>296</v>
      </c>
      <c r="M811" s="44" t="str">
        <f>IF($B811="","",IFERROR(VLOOKUP($B811,Tiendas!$A$4:$I$176,9,FALSE),""))</f>
        <v>Si</v>
      </c>
      <c r="N811" s="71">
        <f t="shared" si="3"/>
        <v>0</v>
      </c>
      <c r="O811" s="71">
        <f t="shared" si="4"/>
        <v>0</v>
      </c>
    </row>
    <row r="812" ht="15.75" customHeight="1">
      <c r="A812" s="17">
        <v>46023.0</v>
      </c>
      <c r="B812" s="44" t="s">
        <v>268</v>
      </c>
      <c r="C812" s="44" t="s">
        <v>211</v>
      </c>
      <c r="D812" s="45" t="s">
        <v>295</v>
      </c>
      <c r="E812" s="19">
        <f>IF($D812&lt;&gt;"Entregado",0,IF($C812="","",VLOOKUP($C812,'DATA DE TARIFA'!$A$4:$C$68,2,FALSE)/1.18))</f>
        <v>6.779661017</v>
      </c>
      <c r="F812" s="19">
        <f>IF($C812="","",IF($D812="",0,VLOOKUP($C812,'DATA DE TARIFA'!$A$4:$C$68,3,FALSE)))</f>
        <v>4</v>
      </c>
      <c r="G812" s="66">
        <v>0.0</v>
      </c>
      <c r="H812" s="19">
        <f t="shared" si="1"/>
        <v>6.779661017</v>
      </c>
      <c r="I812" s="19">
        <f t="shared" si="2"/>
        <v>4</v>
      </c>
      <c r="J812" s="67"/>
      <c r="K812" s="44" t="str">
        <f>IF($B812="","",IFERROR(VLOOKUP($B812,Tiendas!$A$4:$B$176,2,FALSE),""))</f>
        <v>SEBASTIAN</v>
      </c>
      <c r="L812" s="68" t="s">
        <v>296</v>
      </c>
      <c r="M812" s="44" t="str">
        <f>IF($B812="","",IFERROR(VLOOKUP($B812,Tiendas!$A$4:$I$176,9,FALSE),""))</f>
        <v>No</v>
      </c>
      <c r="N812" s="71">
        <f t="shared" si="3"/>
        <v>0</v>
      </c>
      <c r="O812" s="71">
        <f t="shared" si="4"/>
        <v>0</v>
      </c>
    </row>
    <row r="813" ht="15.75" customHeight="1">
      <c r="A813" s="17">
        <v>46023.0</v>
      </c>
      <c r="B813" s="44" t="s">
        <v>268</v>
      </c>
      <c r="C813" s="44" t="s">
        <v>62</v>
      </c>
      <c r="D813" s="45" t="s">
        <v>295</v>
      </c>
      <c r="E813" s="19">
        <f>IF($D813&lt;&gt;"Entregado",0,IF($C813="","",VLOOKUP($C813,'DATA DE TARIFA'!$A$4:$C$68,2,FALSE)/1.18))</f>
        <v>8.474576271</v>
      </c>
      <c r="F813" s="19">
        <f>IF($C813="","",IF($D813="",0,VLOOKUP($C813,'DATA DE TARIFA'!$A$4:$C$68,3,FALSE)))</f>
        <v>4.5</v>
      </c>
      <c r="G813" s="66">
        <v>0.0</v>
      </c>
      <c r="H813" s="19">
        <f t="shared" si="1"/>
        <v>8.474576271</v>
      </c>
      <c r="I813" s="19">
        <f t="shared" si="2"/>
        <v>4.5</v>
      </c>
      <c r="J813" s="67"/>
      <c r="K813" s="44" t="str">
        <f>IF($B813="","",IFERROR(VLOOKUP($B813,Tiendas!$A$4:$B$176,2,FALSE),""))</f>
        <v>SEBASTIAN</v>
      </c>
      <c r="L813" s="68" t="s">
        <v>296</v>
      </c>
      <c r="M813" s="44" t="str">
        <f>IF($B813="","",IFERROR(VLOOKUP($B813,Tiendas!$A$4:$I$176,9,FALSE),""))</f>
        <v>No</v>
      </c>
      <c r="N813" s="71">
        <f t="shared" si="3"/>
        <v>0</v>
      </c>
      <c r="O813" s="71">
        <f t="shared" si="4"/>
        <v>0</v>
      </c>
    </row>
    <row r="814" ht="15.75" customHeight="1">
      <c r="A814" s="17">
        <v>46023.0</v>
      </c>
      <c r="B814" s="44" t="s">
        <v>268</v>
      </c>
      <c r="C814" s="44" t="s">
        <v>49</v>
      </c>
      <c r="D814" s="45" t="s">
        <v>295</v>
      </c>
      <c r="E814" s="19">
        <f>IF($D814&lt;&gt;"Entregado",0,IF($C814="","",VLOOKUP($C814,'DATA DE TARIFA'!$A$4:$C$68,2,FALSE)/1.18))</f>
        <v>10.16949153</v>
      </c>
      <c r="F814" s="19">
        <f>IF($C814="","",IF($D814="",0,VLOOKUP($C814,'DATA DE TARIFA'!$A$4:$C$68,3,FALSE)))</f>
        <v>5.5</v>
      </c>
      <c r="G814" s="66">
        <v>0.0</v>
      </c>
      <c r="H814" s="19">
        <f t="shared" si="1"/>
        <v>10.16949153</v>
      </c>
      <c r="I814" s="19">
        <f t="shared" si="2"/>
        <v>5.5</v>
      </c>
      <c r="J814" s="67"/>
      <c r="K814" s="44" t="str">
        <f>IF($B814="","",IFERROR(VLOOKUP($B814,Tiendas!$A$4:$B$176,2,FALSE),""))</f>
        <v>SEBASTIAN</v>
      </c>
      <c r="L814" s="68" t="s">
        <v>296</v>
      </c>
      <c r="M814" s="44" t="str">
        <f>IF($B814="","",IFERROR(VLOOKUP($B814,Tiendas!$A$4:$I$176,9,FALSE),""))</f>
        <v>No</v>
      </c>
      <c r="N814" s="71">
        <f t="shared" si="3"/>
        <v>0</v>
      </c>
      <c r="O814" s="71">
        <f t="shared" si="4"/>
        <v>0</v>
      </c>
    </row>
    <row r="815" ht="15.75" customHeight="1">
      <c r="A815" s="17">
        <v>46023.0</v>
      </c>
      <c r="B815" s="44" t="s">
        <v>269</v>
      </c>
      <c r="C815" s="44" t="s">
        <v>305</v>
      </c>
      <c r="D815" s="45" t="s">
        <v>295</v>
      </c>
      <c r="E815" s="19">
        <f>IF($D815&lt;&gt;"Entregado",0,IF($C815="","",VLOOKUP($C815,'DATA DE TARIFA'!$A$4:$C$68,2,FALSE)/1.18))</f>
        <v>10.16949153</v>
      </c>
      <c r="F815" s="19">
        <f>IF($C815="","",IF($D815="",0,VLOOKUP($C815,'DATA DE TARIFA'!$A$4:$C$68,3,FALSE)))</f>
        <v>5</v>
      </c>
      <c r="G815" s="66">
        <v>0.0</v>
      </c>
      <c r="H815" s="19">
        <f t="shared" si="1"/>
        <v>10.16949153</v>
      </c>
      <c r="I815" s="19">
        <f t="shared" si="2"/>
        <v>5</v>
      </c>
      <c r="J815" s="67"/>
      <c r="K815" s="44" t="str">
        <f>IF($B815="","",IFERROR(VLOOKUP($B815,Tiendas!$A$4:$B$176,2,FALSE),""))</f>
        <v>JORDAN</v>
      </c>
      <c r="L815" s="68" t="s">
        <v>296</v>
      </c>
      <c r="M815" s="44" t="str">
        <f>IF($B815="","",IFERROR(VLOOKUP($B815,Tiendas!$A$4:$I$176,9,FALSE),""))</f>
        <v>No</v>
      </c>
      <c r="N815" s="71">
        <f t="shared" si="3"/>
        <v>0</v>
      </c>
      <c r="O815" s="71">
        <f t="shared" si="4"/>
        <v>0</v>
      </c>
    </row>
    <row r="816" ht="15.75" customHeight="1">
      <c r="A816" s="17">
        <v>46023.0</v>
      </c>
      <c r="B816" s="44" t="s">
        <v>269</v>
      </c>
      <c r="C816" s="44" t="s">
        <v>23</v>
      </c>
      <c r="D816" s="45" t="s">
        <v>295</v>
      </c>
      <c r="E816" s="19">
        <f>IF($D816&lt;&gt;"Entregado",0,IF($C816="","",VLOOKUP($C816,'DATA DE TARIFA'!$A$4:$C$68,2,FALSE)/1.18))</f>
        <v>8.474576271</v>
      </c>
      <c r="F816" s="19">
        <f>IF($C816="","",IF($D816="",0,VLOOKUP($C816,'DATA DE TARIFA'!$A$4:$C$68,3,FALSE)))</f>
        <v>4.5</v>
      </c>
      <c r="G816" s="66">
        <v>0.0</v>
      </c>
      <c r="H816" s="19">
        <f t="shared" si="1"/>
        <v>8.474576271</v>
      </c>
      <c r="I816" s="19">
        <f t="shared" si="2"/>
        <v>4.5</v>
      </c>
      <c r="J816" s="67"/>
      <c r="K816" s="44" t="str">
        <f>IF($B816="","",IFERROR(VLOOKUP($B816,Tiendas!$A$4:$B$176,2,FALSE),""))</f>
        <v>JORDAN</v>
      </c>
      <c r="L816" s="68" t="s">
        <v>296</v>
      </c>
      <c r="M816" s="44" t="str">
        <f>IF($B816="","",IFERROR(VLOOKUP($B816,Tiendas!$A$4:$I$176,9,FALSE),""))</f>
        <v>No</v>
      </c>
      <c r="N816" s="71">
        <f t="shared" si="3"/>
        <v>0</v>
      </c>
      <c r="O816" s="71">
        <f t="shared" si="4"/>
        <v>0</v>
      </c>
    </row>
    <row r="817" ht="15.75" customHeight="1">
      <c r="A817" s="17">
        <v>46023.0</v>
      </c>
      <c r="B817" s="44" t="s">
        <v>273</v>
      </c>
      <c r="C817" s="44" t="s">
        <v>65</v>
      </c>
      <c r="D817" s="45" t="s">
        <v>295</v>
      </c>
      <c r="E817" s="19">
        <f>IF($D817&lt;&gt;"Entregado",0,IF($C817="","",VLOOKUP($C817,'DATA DE TARIFA'!$A$4:$C$68,2,FALSE)/1.18))</f>
        <v>10.16949153</v>
      </c>
      <c r="F817" s="19">
        <f>IF($C817="","",IF($D817="",0,VLOOKUP($C817,'DATA DE TARIFA'!$A$4:$C$68,3,FALSE)))</f>
        <v>4.5</v>
      </c>
      <c r="G817" s="66">
        <v>0.0</v>
      </c>
      <c r="H817" s="19">
        <f t="shared" si="1"/>
        <v>10.16949153</v>
      </c>
      <c r="I817" s="19">
        <f t="shared" si="2"/>
        <v>4.5</v>
      </c>
      <c r="J817" s="67"/>
      <c r="K817" s="44" t="str">
        <f>IF($B817="","",IFERROR(VLOOKUP($B817,Tiendas!$A$4:$B$176,2,FALSE),""))</f>
        <v>SANDRA</v>
      </c>
      <c r="L817" s="68" t="s">
        <v>296</v>
      </c>
      <c r="M817" s="44" t="str">
        <f>IF($B817="","",IFERROR(VLOOKUP($B817,Tiendas!$A$4:$I$176,9,FALSE),""))</f>
        <v>No</v>
      </c>
      <c r="N817" s="71">
        <f t="shared" si="3"/>
        <v>0</v>
      </c>
      <c r="O817" s="71">
        <f t="shared" si="4"/>
        <v>0</v>
      </c>
    </row>
    <row r="818" ht="15.75" customHeight="1">
      <c r="A818" s="17">
        <v>46023.0</v>
      </c>
      <c r="B818" s="44" t="s">
        <v>272</v>
      </c>
      <c r="C818" s="44" t="s">
        <v>36</v>
      </c>
      <c r="D818" s="45" t="s">
        <v>295</v>
      </c>
      <c r="E818" s="19">
        <f>IF($D818&lt;&gt;"Entregado",0,IF($C818="","",VLOOKUP($C818,'DATA DE TARIFA'!$A$4:$C$68,2,FALSE)/1.18))</f>
        <v>10.16949153</v>
      </c>
      <c r="F818" s="19">
        <f>IF($C818="","",IF($D818="",0,VLOOKUP($C818,'DATA DE TARIFA'!$A$4:$C$68,3,FALSE)))</f>
        <v>4.5</v>
      </c>
      <c r="G818" s="66">
        <v>0.0</v>
      </c>
      <c r="H818" s="19">
        <f t="shared" si="1"/>
        <v>10.16949153</v>
      </c>
      <c r="I818" s="19">
        <f t="shared" si="2"/>
        <v>4.5</v>
      </c>
      <c r="J818" s="67"/>
      <c r="K818" s="44" t="str">
        <f>IF($B818="","",IFERROR(VLOOKUP($B818,Tiendas!$A$4:$B$176,2,FALSE),""))</f>
        <v>SEBASTIAN</v>
      </c>
      <c r="L818" s="68" t="s">
        <v>296</v>
      </c>
      <c r="M818" s="44" t="str">
        <f>IF($B818="","",IFERROR(VLOOKUP($B818,Tiendas!$A$4:$I$176,9,FALSE),""))</f>
        <v>No</v>
      </c>
      <c r="N818" s="71">
        <f t="shared" si="3"/>
        <v>0</v>
      </c>
      <c r="O818" s="71">
        <f t="shared" si="4"/>
        <v>0</v>
      </c>
    </row>
    <row r="819" ht="15.75" customHeight="1">
      <c r="A819" s="17">
        <v>46023.0</v>
      </c>
      <c r="B819" s="44" t="s">
        <v>272</v>
      </c>
      <c r="C819" s="44" t="s">
        <v>32</v>
      </c>
      <c r="D819" s="45" t="s">
        <v>295</v>
      </c>
      <c r="E819" s="19">
        <f>IF($D819&lt;&gt;"Entregado",0,IF($C819="","",VLOOKUP($C819,'DATA DE TARIFA'!$A$4:$C$68,2,FALSE)/1.18))</f>
        <v>8.474576271</v>
      </c>
      <c r="F819" s="19">
        <f>IF($C819="","",IF($D819="",0,VLOOKUP($C819,'DATA DE TARIFA'!$A$4:$C$68,3,FALSE)))</f>
        <v>4.5</v>
      </c>
      <c r="G819" s="66">
        <v>0.0</v>
      </c>
      <c r="H819" s="19">
        <f t="shared" si="1"/>
        <v>8.474576271</v>
      </c>
      <c r="I819" s="19">
        <f t="shared" si="2"/>
        <v>4.5</v>
      </c>
      <c r="J819" s="67"/>
      <c r="K819" s="44" t="str">
        <f>IF($B819="","",IFERROR(VLOOKUP($B819,Tiendas!$A$4:$B$176,2,FALSE),""))</f>
        <v>SEBASTIAN</v>
      </c>
      <c r="L819" s="68" t="s">
        <v>296</v>
      </c>
      <c r="M819" s="44" t="str">
        <f>IF($B819="","",IFERROR(VLOOKUP($B819,Tiendas!$A$4:$I$176,9,FALSE),""))</f>
        <v>No</v>
      </c>
      <c r="N819" s="71">
        <f t="shared" si="3"/>
        <v>0</v>
      </c>
      <c r="O819" s="71">
        <f t="shared" si="4"/>
        <v>0</v>
      </c>
    </row>
    <row r="820" ht="15.75" customHeight="1">
      <c r="A820" s="17">
        <v>46023.0</v>
      </c>
      <c r="B820" s="44" t="s">
        <v>272</v>
      </c>
      <c r="C820" s="44" t="s">
        <v>67</v>
      </c>
      <c r="D820" s="45" t="s">
        <v>295</v>
      </c>
      <c r="E820" s="19">
        <f>IF($D820&lt;&gt;"Entregado",0,IF($C820="","",VLOOKUP($C820,'DATA DE TARIFA'!$A$4:$C$68,2,FALSE)/1.18))</f>
        <v>10.16949153</v>
      </c>
      <c r="F820" s="19">
        <f>IF($C820="","",IF($D820="",0,VLOOKUP($C820,'DATA DE TARIFA'!$A$4:$C$68,3,FALSE)))</f>
        <v>5.5</v>
      </c>
      <c r="G820" s="66">
        <v>0.0</v>
      </c>
      <c r="H820" s="19">
        <f t="shared" si="1"/>
        <v>10.16949153</v>
      </c>
      <c r="I820" s="19">
        <f t="shared" si="2"/>
        <v>5.5</v>
      </c>
      <c r="J820" s="67"/>
      <c r="K820" s="44" t="str">
        <f>IF($B820="","",IFERROR(VLOOKUP($B820,Tiendas!$A$4:$B$176,2,FALSE),""))</f>
        <v>SEBASTIAN</v>
      </c>
      <c r="L820" s="68" t="s">
        <v>296</v>
      </c>
      <c r="M820" s="44" t="str">
        <f>IF($B820="","",IFERROR(VLOOKUP($B820,Tiendas!$A$4:$I$176,9,FALSE),""))</f>
        <v>No</v>
      </c>
      <c r="N820" s="71">
        <f t="shared" si="3"/>
        <v>0</v>
      </c>
      <c r="O820" s="71">
        <f t="shared" si="4"/>
        <v>0</v>
      </c>
    </row>
    <row r="821" ht="15.75" customHeight="1">
      <c r="A821" s="17">
        <v>46023.0</v>
      </c>
      <c r="B821" s="44" t="s">
        <v>272</v>
      </c>
      <c r="C821" s="44" t="s">
        <v>44</v>
      </c>
      <c r="D821" s="45" t="s">
        <v>295</v>
      </c>
      <c r="E821" s="19">
        <f>IF($D821&lt;&gt;"Entregado",0,IF($C821="","",VLOOKUP($C821,'DATA DE TARIFA'!$A$4:$C$68,2,FALSE)/1.18))</f>
        <v>10.16949153</v>
      </c>
      <c r="F821" s="19">
        <f>IF($C821="","",IF($D821="",0,VLOOKUP($C821,'DATA DE TARIFA'!$A$4:$C$68,3,FALSE)))</f>
        <v>5.5</v>
      </c>
      <c r="G821" s="66">
        <v>0.0</v>
      </c>
      <c r="H821" s="19">
        <f t="shared" si="1"/>
        <v>10.16949153</v>
      </c>
      <c r="I821" s="19">
        <f t="shared" si="2"/>
        <v>5.5</v>
      </c>
      <c r="J821" s="67"/>
      <c r="K821" s="44" t="str">
        <f>IF($B821="","",IFERROR(VLOOKUP($B821,Tiendas!$A$4:$B$176,2,FALSE),""))</f>
        <v>SEBASTIAN</v>
      </c>
      <c r="L821" s="68" t="s">
        <v>296</v>
      </c>
      <c r="M821" s="44" t="str">
        <f>IF($B821="","",IFERROR(VLOOKUP($B821,Tiendas!$A$4:$I$176,9,FALSE),""))</f>
        <v>No</v>
      </c>
      <c r="N821" s="71">
        <f t="shared" si="3"/>
        <v>0</v>
      </c>
      <c r="O821" s="71">
        <f t="shared" si="4"/>
        <v>0</v>
      </c>
    </row>
    <row r="822" ht="15.75" customHeight="1">
      <c r="A822" s="17">
        <v>46023.0</v>
      </c>
      <c r="B822" s="44" t="s">
        <v>272</v>
      </c>
      <c r="C822" s="44" t="s">
        <v>63</v>
      </c>
      <c r="D822" s="45" t="s">
        <v>295</v>
      </c>
      <c r="E822" s="19">
        <f>IF($D822&lt;&gt;"Entregado",0,IF($C822="","",VLOOKUP($C822,'DATA DE TARIFA'!$A$4:$C$68,2,FALSE)/1.18))</f>
        <v>8.474576271</v>
      </c>
      <c r="F822" s="19">
        <f>IF($C822="","",IF($D822="",0,VLOOKUP($C822,'DATA DE TARIFA'!$A$4:$C$68,3,FALSE)))</f>
        <v>4</v>
      </c>
      <c r="G822" s="66">
        <v>0.0</v>
      </c>
      <c r="H822" s="19">
        <f t="shared" si="1"/>
        <v>8.474576271</v>
      </c>
      <c r="I822" s="19">
        <f t="shared" si="2"/>
        <v>4</v>
      </c>
      <c r="J822" s="67"/>
      <c r="K822" s="44" t="str">
        <f>IF($B822="","",IFERROR(VLOOKUP($B822,Tiendas!$A$4:$B$176,2,FALSE),""))</f>
        <v>SEBASTIAN</v>
      </c>
      <c r="L822" s="68" t="s">
        <v>296</v>
      </c>
      <c r="M822" s="44" t="str">
        <f>IF($B822="","",IFERROR(VLOOKUP($B822,Tiendas!$A$4:$I$176,9,FALSE),""))</f>
        <v>No</v>
      </c>
      <c r="N822" s="71">
        <f t="shared" si="3"/>
        <v>0</v>
      </c>
      <c r="O822" s="71">
        <f t="shared" si="4"/>
        <v>0</v>
      </c>
    </row>
    <row r="823" ht="15.75" customHeight="1">
      <c r="A823" s="17">
        <v>46023.0</v>
      </c>
      <c r="B823" s="44" t="s">
        <v>272</v>
      </c>
      <c r="C823" s="44" t="s">
        <v>211</v>
      </c>
      <c r="D823" s="45" t="s">
        <v>295</v>
      </c>
      <c r="E823" s="19">
        <f>IF($D823&lt;&gt;"Entregado",0,IF($C823="","",VLOOKUP($C823,'DATA DE TARIFA'!$A$4:$C$68,2,FALSE)/1.18))</f>
        <v>6.779661017</v>
      </c>
      <c r="F823" s="19">
        <f>IF($C823="","",IF($D823="",0,VLOOKUP($C823,'DATA DE TARIFA'!$A$4:$C$68,3,FALSE)))</f>
        <v>4</v>
      </c>
      <c r="G823" s="66">
        <v>0.0</v>
      </c>
      <c r="H823" s="19">
        <f t="shared" si="1"/>
        <v>6.779661017</v>
      </c>
      <c r="I823" s="19">
        <f t="shared" si="2"/>
        <v>4</v>
      </c>
      <c r="J823" s="67"/>
      <c r="K823" s="44" t="str">
        <f>IF($B823="","",IFERROR(VLOOKUP($B823,Tiendas!$A$4:$B$176,2,FALSE),""))</f>
        <v>SEBASTIAN</v>
      </c>
      <c r="L823" s="68" t="s">
        <v>296</v>
      </c>
      <c r="M823" s="44" t="str">
        <f>IF($B823="","",IFERROR(VLOOKUP($B823,Tiendas!$A$4:$I$176,9,FALSE),""))</f>
        <v>No</v>
      </c>
      <c r="N823" s="71">
        <f t="shared" si="3"/>
        <v>0</v>
      </c>
      <c r="O823" s="71">
        <f t="shared" si="4"/>
        <v>0</v>
      </c>
    </row>
    <row r="824" ht="15.75" customHeight="1">
      <c r="A824" s="17">
        <v>46023.0</v>
      </c>
      <c r="B824" s="44" t="s">
        <v>272</v>
      </c>
      <c r="C824" s="44" t="s">
        <v>70</v>
      </c>
      <c r="D824" s="45" t="s">
        <v>295</v>
      </c>
      <c r="E824" s="19">
        <f>IF($D824&lt;&gt;"Entregado",0,IF($C824="","",VLOOKUP($C824,'DATA DE TARIFA'!$A$4:$C$68,2,FALSE)/1.18))</f>
        <v>8.474576271</v>
      </c>
      <c r="F824" s="19">
        <f>IF($C824="","",IF($D824="",0,VLOOKUP($C824,'DATA DE TARIFA'!$A$4:$C$68,3,FALSE)))</f>
        <v>4</v>
      </c>
      <c r="G824" s="66">
        <v>0.0</v>
      </c>
      <c r="H824" s="19">
        <f t="shared" si="1"/>
        <v>8.474576271</v>
      </c>
      <c r="I824" s="19">
        <f t="shared" si="2"/>
        <v>4</v>
      </c>
      <c r="J824" s="67"/>
      <c r="K824" s="44" t="str">
        <f>IF($B824="","",IFERROR(VLOOKUP($B824,Tiendas!$A$4:$B$176,2,FALSE),""))</f>
        <v>SEBASTIAN</v>
      </c>
      <c r="L824" s="68" t="s">
        <v>296</v>
      </c>
      <c r="M824" s="44" t="str">
        <f>IF($B824="","",IFERROR(VLOOKUP($B824,Tiendas!$A$4:$I$176,9,FALSE),""))</f>
        <v>No</v>
      </c>
      <c r="N824" s="71">
        <f t="shared" si="3"/>
        <v>0</v>
      </c>
      <c r="O824" s="71">
        <f t="shared" si="4"/>
        <v>0</v>
      </c>
    </row>
    <row r="825" ht="15.75" customHeight="1">
      <c r="A825" s="17">
        <v>46023.0</v>
      </c>
      <c r="B825" s="44" t="s">
        <v>272</v>
      </c>
      <c r="C825" s="44" t="s">
        <v>34</v>
      </c>
      <c r="D825" s="45" t="s">
        <v>295</v>
      </c>
      <c r="E825" s="19">
        <f>IF($D825&lt;&gt;"Entregado",0,IF($C825="","",VLOOKUP($C825,'DATA DE TARIFA'!$A$4:$C$68,2,FALSE)/1.18))</f>
        <v>10.16949153</v>
      </c>
      <c r="F825" s="19">
        <f>IF($C825="","",IF($D825="",0,VLOOKUP($C825,'DATA DE TARIFA'!$A$4:$C$68,3,FALSE)))</f>
        <v>4.5</v>
      </c>
      <c r="G825" s="66">
        <v>0.0</v>
      </c>
      <c r="H825" s="19">
        <f t="shared" si="1"/>
        <v>10.16949153</v>
      </c>
      <c r="I825" s="19">
        <f t="shared" si="2"/>
        <v>4.5</v>
      </c>
      <c r="J825" s="67"/>
      <c r="K825" s="44" t="str">
        <f>IF($B825="","",IFERROR(VLOOKUP($B825,Tiendas!$A$4:$B$176,2,FALSE),""))</f>
        <v>SEBASTIAN</v>
      </c>
      <c r="L825" s="68" t="s">
        <v>296</v>
      </c>
      <c r="M825" s="44" t="str">
        <f>IF($B825="","",IFERROR(VLOOKUP($B825,Tiendas!$A$4:$I$176,9,FALSE),""))</f>
        <v>No</v>
      </c>
      <c r="N825" s="71">
        <f t="shared" si="3"/>
        <v>0</v>
      </c>
      <c r="O825" s="71">
        <f t="shared" si="4"/>
        <v>0</v>
      </c>
    </row>
    <row r="826" ht="15.75" customHeight="1">
      <c r="A826" s="17">
        <v>46023.0</v>
      </c>
      <c r="B826" s="44" t="s">
        <v>272</v>
      </c>
      <c r="C826" s="44" t="s">
        <v>49</v>
      </c>
      <c r="D826" s="45" t="s">
        <v>295</v>
      </c>
      <c r="E826" s="19">
        <f>IF($D826&lt;&gt;"Entregado",0,IF($C826="","",VLOOKUP($C826,'DATA DE TARIFA'!$A$4:$C$68,2,FALSE)/1.18))</f>
        <v>10.16949153</v>
      </c>
      <c r="F826" s="19">
        <f>IF($C826="","",IF($D826="",0,VLOOKUP($C826,'DATA DE TARIFA'!$A$4:$C$68,3,FALSE)))</f>
        <v>5.5</v>
      </c>
      <c r="G826" s="66">
        <v>0.0</v>
      </c>
      <c r="H826" s="19">
        <f t="shared" si="1"/>
        <v>10.16949153</v>
      </c>
      <c r="I826" s="19">
        <f t="shared" si="2"/>
        <v>5.5</v>
      </c>
      <c r="J826" s="67"/>
      <c r="K826" s="44" t="str">
        <f>IF($B826="","",IFERROR(VLOOKUP($B826,Tiendas!$A$4:$B$176,2,FALSE),""))</f>
        <v>SEBASTIAN</v>
      </c>
      <c r="L826" s="68" t="s">
        <v>296</v>
      </c>
      <c r="M826" s="44" t="str">
        <f>IF($B826="","",IFERROR(VLOOKUP($B826,Tiendas!$A$4:$I$176,9,FALSE),""))</f>
        <v>No</v>
      </c>
      <c r="N826" s="71">
        <f t="shared" si="3"/>
        <v>0</v>
      </c>
      <c r="O826" s="71">
        <f t="shared" si="4"/>
        <v>0</v>
      </c>
    </row>
    <row r="827" ht="15.75" customHeight="1">
      <c r="A827" s="17">
        <v>46023.0</v>
      </c>
      <c r="B827" s="44" t="s">
        <v>272</v>
      </c>
      <c r="C827" s="44" t="s">
        <v>24</v>
      </c>
      <c r="D827" s="45" t="s">
        <v>295</v>
      </c>
      <c r="E827" s="19">
        <f>IF($D827&lt;&gt;"Entregado",0,IF($C827="","",VLOOKUP($C827,'DATA DE TARIFA'!$A$4:$C$68,2,FALSE)/1.18))</f>
        <v>8.474576271</v>
      </c>
      <c r="F827" s="19">
        <f>IF($C827="","",IF($D827="",0,VLOOKUP($C827,'DATA DE TARIFA'!$A$4:$C$68,3,FALSE)))</f>
        <v>4.5</v>
      </c>
      <c r="G827" s="66">
        <v>0.0</v>
      </c>
      <c r="H827" s="19">
        <f t="shared" si="1"/>
        <v>8.474576271</v>
      </c>
      <c r="I827" s="19">
        <f t="shared" si="2"/>
        <v>4.5</v>
      </c>
      <c r="J827" s="67"/>
      <c r="K827" s="44" t="str">
        <f>IF($B827="","",IFERROR(VLOOKUP($B827,Tiendas!$A$4:$B$176,2,FALSE),""))</f>
        <v>SEBASTIAN</v>
      </c>
      <c r="L827" s="68" t="s">
        <v>296</v>
      </c>
      <c r="M827" s="44" t="str">
        <f>IF($B827="","",IFERROR(VLOOKUP($B827,Tiendas!$A$4:$I$176,9,FALSE),""))</f>
        <v>No</v>
      </c>
      <c r="N827" s="71">
        <f t="shared" si="3"/>
        <v>0</v>
      </c>
      <c r="O827" s="71">
        <f t="shared" si="4"/>
        <v>0</v>
      </c>
    </row>
    <row r="828" ht="15.75" customHeight="1">
      <c r="A828" s="17">
        <v>46023.0</v>
      </c>
      <c r="B828" s="44" t="s">
        <v>272</v>
      </c>
      <c r="C828" s="44" t="s">
        <v>47</v>
      </c>
      <c r="D828" s="45" t="s">
        <v>295</v>
      </c>
      <c r="E828" s="19">
        <f>IF($D828&lt;&gt;"Entregado",0,IF($C828="","",VLOOKUP($C828,'DATA DE TARIFA'!$A$4:$C$68,2,FALSE)/1.18))</f>
        <v>10.16949153</v>
      </c>
      <c r="F828" s="19">
        <f>IF($C828="","",IF($D828="",0,VLOOKUP($C828,'DATA DE TARIFA'!$A$4:$C$68,3,FALSE)))</f>
        <v>5.5</v>
      </c>
      <c r="G828" s="66">
        <v>0.0</v>
      </c>
      <c r="H828" s="19">
        <f t="shared" si="1"/>
        <v>10.16949153</v>
      </c>
      <c r="I828" s="19">
        <f t="shared" si="2"/>
        <v>5.5</v>
      </c>
      <c r="J828" s="67"/>
      <c r="K828" s="44" t="str">
        <f>IF($B828="","",IFERROR(VLOOKUP($B828,Tiendas!$A$4:$B$176,2,FALSE),""))</f>
        <v>SEBASTIAN</v>
      </c>
      <c r="L828" s="68" t="s">
        <v>296</v>
      </c>
      <c r="M828" s="44" t="str">
        <f>IF($B828="","",IFERROR(VLOOKUP($B828,Tiendas!$A$4:$I$176,9,FALSE),""))</f>
        <v>No</v>
      </c>
      <c r="N828" s="71">
        <f t="shared" si="3"/>
        <v>0</v>
      </c>
      <c r="O828" s="71">
        <f t="shared" si="4"/>
        <v>0</v>
      </c>
    </row>
    <row r="829" ht="15.75" customHeight="1">
      <c r="A829" s="17">
        <v>46023.0</v>
      </c>
      <c r="B829" s="44" t="s">
        <v>272</v>
      </c>
      <c r="C829" s="44" t="s">
        <v>47</v>
      </c>
      <c r="D829" s="45" t="s">
        <v>295</v>
      </c>
      <c r="E829" s="19">
        <f>IF($D829&lt;&gt;"Entregado",0,IF($C829="","",VLOOKUP($C829,'DATA DE TARIFA'!$A$4:$C$68,2,FALSE)/1.18))</f>
        <v>10.16949153</v>
      </c>
      <c r="F829" s="19">
        <f>IF($C829="","",IF($D829="",0,VLOOKUP($C829,'DATA DE TARIFA'!$A$4:$C$68,3,FALSE)))</f>
        <v>5.5</v>
      </c>
      <c r="G829" s="66">
        <v>0.0</v>
      </c>
      <c r="H829" s="19">
        <f t="shared" si="1"/>
        <v>10.16949153</v>
      </c>
      <c r="I829" s="19">
        <f t="shared" si="2"/>
        <v>5.5</v>
      </c>
      <c r="J829" s="67"/>
      <c r="K829" s="44" t="str">
        <f>IF($B829="","",IFERROR(VLOOKUP($B829,Tiendas!$A$4:$B$176,2,FALSE),""))</f>
        <v>SEBASTIAN</v>
      </c>
      <c r="L829" s="68" t="s">
        <v>296</v>
      </c>
      <c r="M829" s="44" t="str">
        <f>IF($B829="","",IFERROR(VLOOKUP($B829,Tiendas!$A$4:$I$176,9,FALSE),""))</f>
        <v>No</v>
      </c>
      <c r="N829" s="71">
        <f t="shared" si="3"/>
        <v>0</v>
      </c>
      <c r="O829" s="71">
        <f t="shared" si="4"/>
        <v>0</v>
      </c>
    </row>
    <row r="830" ht="15.75" customHeight="1">
      <c r="A830" s="17">
        <v>46023.0</v>
      </c>
      <c r="B830" s="44" t="s">
        <v>272</v>
      </c>
      <c r="C830" s="44" t="s">
        <v>51</v>
      </c>
      <c r="D830" s="45" t="s">
        <v>295</v>
      </c>
      <c r="E830" s="19">
        <f>IF($D830&lt;&gt;"Entregado",0,IF($C830="","",VLOOKUP($C830,'DATA DE TARIFA'!$A$4:$C$68,2,FALSE)/1.18))</f>
        <v>10.16949153</v>
      </c>
      <c r="F830" s="19">
        <f>IF($C830="","",IF($D830="",0,VLOOKUP($C830,'DATA DE TARIFA'!$A$4:$C$68,3,FALSE)))</f>
        <v>5.5</v>
      </c>
      <c r="G830" s="66">
        <v>0.0</v>
      </c>
      <c r="H830" s="19">
        <f t="shared" si="1"/>
        <v>10.16949153</v>
      </c>
      <c r="I830" s="19">
        <f t="shared" si="2"/>
        <v>5.5</v>
      </c>
      <c r="J830" s="67"/>
      <c r="K830" s="44" t="str">
        <f>IF($B830="","",IFERROR(VLOOKUP($B830,Tiendas!$A$4:$B$176,2,FALSE),""))</f>
        <v>SEBASTIAN</v>
      </c>
      <c r="L830" s="68" t="s">
        <v>296</v>
      </c>
      <c r="M830" s="44" t="str">
        <f>IF($B830="","",IFERROR(VLOOKUP($B830,Tiendas!$A$4:$I$176,9,FALSE),""))</f>
        <v>No</v>
      </c>
      <c r="N830" s="71">
        <f t="shared" si="3"/>
        <v>0</v>
      </c>
      <c r="O830" s="71">
        <f t="shared" si="4"/>
        <v>0</v>
      </c>
    </row>
    <row r="831" ht="15.75" customHeight="1">
      <c r="A831" s="17">
        <v>46023.0</v>
      </c>
      <c r="B831" s="44" t="s">
        <v>275</v>
      </c>
      <c r="C831" s="44" t="s">
        <v>63</v>
      </c>
      <c r="D831" s="45" t="s">
        <v>295</v>
      </c>
      <c r="E831" s="19">
        <f>IF($D831&lt;&gt;"Entregado",0,IF($C831="","",VLOOKUP($C831,'DATA DE TARIFA'!$A$4:$C$68,2,FALSE)/1.18))</f>
        <v>8.474576271</v>
      </c>
      <c r="F831" s="19">
        <f>IF($C831="","",IF($D831="",0,VLOOKUP($C831,'DATA DE TARIFA'!$A$4:$C$68,3,FALSE)))</f>
        <v>4</v>
      </c>
      <c r="G831" s="66">
        <v>0.0</v>
      </c>
      <c r="H831" s="19">
        <f t="shared" si="1"/>
        <v>8.474576271</v>
      </c>
      <c r="I831" s="19">
        <f t="shared" si="2"/>
        <v>4</v>
      </c>
      <c r="J831" s="67"/>
      <c r="K831" s="44" t="str">
        <f>IF($B831="","",IFERROR(VLOOKUP($B831,Tiendas!$A$4:$B$176,2,FALSE),""))</f>
        <v>JORDAN</v>
      </c>
      <c r="L831" s="68" t="s">
        <v>296</v>
      </c>
      <c r="M831" s="44" t="str">
        <f>IF($B831="","",IFERROR(VLOOKUP($B831,Tiendas!$A$4:$I$176,9,FALSE),""))</f>
        <v>No</v>
      </c>
      <c r="N831" s="71">
        <f t="shared" si="3"/>
        <v>0</v>
      </c>
      <c r="O831" s="71">
        <f t="shared" si="4"/>
        <v>0</v>
      </c>
    </row>
    <row r="832" ht="15.75" customHeight="1">
      <c r="A832" s="17">
        <v>46023.0</v>
      </c>
      <c r="B832" s="44" t="s">
        <v>275</v>
      </c>
      <c r="C832" s="44" t="s">
        <v>32</v>
      </c>
      <c r="D832" s="45" t="s">
        <v>295</v>
      </c>
      <c r="E832" s="19">
        <f>IF($D832&lt;&gt;"Entregado",0,IF($C832="","",VLOOKUP($C832,'DATA DE TARIFA'!$A$4:$C$68,2,FALSE)/1.18))</f>
        <v>8.474576271</v>
      </c>
      <c r="F832" s="19">
        <f>IF($C832="","",IF($D832="",0,VLOOKUP($C832,'DATA DE TARIFA'!$A$4:$C$68,3,FALSE)))</f>
        <v>4.5</v>
      </c>
      <c r="G832" s="66">
        <v>0.0</v>
      </c>
      <c r="H832" s="19">
        <f t="shared" si="1"/>
        <v>8.474576271</v>
      </c>
      <c r="I832" s="19">
        <f t="shared" si="2"/>
        <v>4.5</v>
      </c>
      <c r="J832" s="67"/>
      <c r="K832" s="44" t="str">
        <f>IF($B832="","",IFERROR(VLOOKUP($B832,Tiendas!$A$4:$B$176,2,FALSE),""))</f>
        <v>JORDAN</v>
      </c>
      <c r="L832" s="68" t="s">
        <v>296</v>
      </c>
      <c r="M832" s="44" t="str">
        <f>IF($B832="","",IFERROR(VLOOKUP($B832,Tiendas!$A$4:$I$176,9,FALSE),""))</f>
        <v>No</v>
      </c>
      <c r="N832" s="71">
        <f t="shared" si="3"/>
        <v>0</v>
      </c>
      <c r="O832" s="71">
        <f t="shared" si="4"/>
        <v>0</v>
      </c>
    </row>
    <row r="833" ht="15.75" customHeight="1">
      <c r="A833" s="17">
        <v>46023.0</v>
      </c>
      <c r="B833" s="44" t="s">
        <v>277</v>
      </c>
      <c r="C833" s="44" t="s">
        <v>47</v>
      </c>
      <c r="D833" s="45" t="s">
        <v>295</v>
      </c>
      <c r="E833" s="19">
        <f>IF($D833&lt;&gt;"Entregado",0,IF($C833="","",VLOOKUP($C833,'DATA DE TARIFA'!$A$4:$C$68,2,FALSE)/1.18))</f>
        <v>10.16949153</v>
      </c>
      <c r="F833" s="19">
        <f>IF($C833="","",IF($D833="",0,VLOOKUP($C833,'DATA DE TARIFA'!$A$4:$C$68,3,FALSE)))</f>
        <v>5.5</v>
      </c>
      <c r="G833" s="66">
        <v>0.0</v>
      </c>
      <c r="H833" s="19">
        <f t="shared" si="1"/>
        <v>10.16949153</v>
      </c>
      <c r="I833" s="19">
        <f t="shared" si="2"/>
        <v>5.5</v>
      </c>
      <c r="J833" s="67"/>
      <c r="K833" s="44" t="str">
        <f>IF($B833="","",IFERROR(VLOOKUP($B833,Tiendas!$A$4:$B$176,2,FALSE),""))</f>
        <v>CHRISTIAN</v>
      </c>
      <c r="L833" s="68" t="s">
        <v>296</v>
      </c>
      <c r="M833" s="44" t="str">
        <f>IF($B833="","",IFERROR(VLOOKUP($B833,Tiendas!$A$4:$I$176,9,FALSE),""))</f>
        <v>No</v>
      </c>
      <c r="N833" s="71">
        <f t="shared" si="3"/>
        <v>0</v>
      </c>
      <c r="O833" s="71">
        <f t="shared" si="4"/>
        <v>0</v>
      </c>
    </row>
    <row r="834" ht="15.75" customHeight="1">
      <c r="A834" s="17">
        <v>46023.0</v>
      </c>
      <c r="B834" s="44" t="s">
        <v>244</v>
      </c>
      <c r="C834" s="44" t="s">
        <v>32</v>
      </c>
      <c r="D834" s="45" t="s">
        <v>295</v>
      </c>
      <c r="E834" s="19">
        <f>IF($D834&lt;&gt;"Entregado",0,IF($C834="","",VLOOKUP($C834,'DATA DE TARIFA'!$A$4:$C$68,2,FALSE)/1.18))</f>
        <v>8.474576271</v>
      </c>
      <c r="F834" s="19">
        <f>IF($C834="","",IF($D834="",0,VLOOKUP($C834,'DATA DE TARIFA'!$A$4:$C$68,3,FALSE)))</f>
        <v>4.5</v>
      </c>
      <c r="G834" s="66">
        <v>0.0</v>
      </c>
      <c r="H834" s="19">
        <f t="shared" si="1"/>
        <v>8.474576271</v>
      </c>
      <c r="I834" s="19">
        <f t="shared" si="2"/>
        <v>4.5</v>
      </c>
      <c r="J834" s="67"/>
      <c r="K834" s="44" t="str">
        <f>IF($B834="","",IFERROR(VLOOKUP($B834,Tiendas!$A$4:$B$176,2,FALSE),""))</f>
        <v>CHRISTIAN</v>
      </c>
      <c r="L834" s="68" t="s">
        <v>296</v>
      </c>
      <c r="M834" s="44" t="str">
        <f>IF($B834="","",IFERROR(VLOOKUP($B834,Tiendas!$A$4:$I$176,9,FALSE),""))</f>
        <v>No</v>
      </c>
      <c r="N834" s="71">
        <f t="shared" si="3"/>
        <v>0</v>
      </c>
      <c r="O834" s="71">
        <f t="shared" si="4"/>
        <v>0</v>
      </c>
    </row>
    <row r="835" ht="15.75" customHeight="1">
      <c r="A835" s="17">
        <v>46023.0</v>
      </c>
      <c r="B835" s="44" t="s">
        <v>276</v>
      </c>
      <c r="C835" s="44" t="s">
        <v>24</v>
      </c>
      <c r="D835" s="45" t="s">
        <v>297</v>
      </c>
      <c r="E835" s="19">
        <f>IF($D835&lt;&gt;"Entregado",0,IF($C835="","",VLOOKUP($C835,'DATA DE TARIFA'!$A$4:$C$68,2,FALSE)/1.18))</f>
        <v>0</v>
      </c>
      <c r="F835" s="19">
        <f>IF($C835="","",IF($D835="",0,VLOOKUP($C835,'DATA DE TARIFA'!$A$4:$C$68,3,FALSE)))</f>
        <v>4.5</v>
      </c>
      <c r="G835" s="66">
        <v>0.0</v>
      </c>
      <c r="H835" s="19">
        <f t="shared" si="1"/>
        <v>0</v>
      </c>
      <c r="I835" s="19">
        <f t="shared" si="2"/>
        <v>4.5</v>
      </c>
      <c r="J835" s="67"/>
      <c r="K835" s="44" t="str">
        <f>IF($B835="","",IFERROR(VLOOKUP($B835,Tiendas!$A$4:$B$176,2,FALSE),""))</f>
        <v>SEBASTIAN</v>
      </c>
      <c r="L835" s="68" t="s">
        <v>296</v>
      </c>
      <c r="M835" s="44" t="str">
        <f>IF($B835="","",IFERROR(VLOOKUP($B835,Tiendas!$A$4:$I$176,9,FALSE),""))</f>
        <v>No</v>
      </c>
      <c r="N835" s="71">
        <f t="shared" si="3"/>
        <v>0</v>
      </c>
      <c r="O835" s="71">
        <f t="shared" si="4"/>
        <v>0</v>
      </c>
    </row>
    <row r="836" ht="15.75" customHeight="1">
      <c r="A836" s="17">
        <v>46023.0</v>
      </c>
      <c r="B836" s="44" t="s">
        <v>276</v>
      </c>
      <c r="C836" s="44" t="s">
        <v>32</v>
      </c>
      <c r="D836" s="45" t="s">
        <v>295</v>
      </c>
      <c r="E836" s="19">
        <f>IF($D836&lt;&gt;"Entregado",0,IF($C836="","",VLOOKUP($C836,'DATA DE TARIFA'!$A$4:$C$68,2,FALSE)/1.18))</f>
        <v>8.474576271</v>
      </c>
      <c r="F836" s="19">
        <f>IF($C836="","",IF($D836="",0,VLOOKUP($C836,'DATA DE TARIFA'!$A$4:$C$68,3,FALSE)))</f>
        <v>4.5</v>
      </c>
      <c r="G836" s="66">
        <v>0.0</v>
      </c>
      <c r="H836" s="19">
        <f t="shared" si="1"/>
        <v>8.474576271</v>
      </c>
      <c r="I836" s="19">
        <f t="shared" si="2"/>
        <v>4.5</v>
      </c>
      <c r="J836" s="67"/>
      <c r="K836" s="44" t="str">
        <f>IF($B836="","",IFERROR(VLOOKUP($B836,Tiendas!$A$4:$B$176,2,FALSE),""))</f>
        <v>SEBASTIAN</v>
      </c>
      <c r="L836" s="68" t="s">
        <v>296</v>
      </c>
      <c r="M836" s="44" t="str">
        <f>IF($B836="","",IFERROR(VLOOKUP($B836,Tiendas!$A$4:$I$176,9,FALSE),""))</f>
        <v>No</v>
      </c>
      <c r="N836" s="71">
        <f t="shared" si="3"/>
        <v>0</v>
      </c>
      <c r="O836" s="71">
        <f t="shared" si="4"/>
        <v>0</v>
      </c>
    </row>
    <row r="837" ht="15.75" customHeight="1">
      <c r="A837" s="17">
        <v>46023.0</v>
      </c>
      <c r="B837" s="44" t="s">
        <v>276</v>
      </c>
      <c r="C837" s="44" t="s">
        <v>24</v>
      </c>
      <c r="D837" s="45" t="s">
        <v>295</v>
      </c>
      <c r="E837" s="19">
        <f>IF($D837&lt;&gt;"Entregado",0,IF($C837="","",VLOOKUP($C837,'DATA DE TARIFA'!$A$4:$C$68,2,FALSE)/1.18))</f>
        <v>8.474576271</v>
      </c>
      <c r="F837" s="19">
        <f>IF($C837="","",IF($D837="",0,VLOOKUP($C837,'DATA DE TARIFA'!$A$4:$C$68,3,FALSE)))</f>
        <v>4.5</v>
      </c>
      <c r="G837" s="66">
        <v>0.0</v>
      </c>
      <c r="H837" s="19">
        <f t="shared" si="1"/>
        <v>8.474576271</v>
      </c>
      <c r="I837" s="19">
        <f t="shared" si="2"/>
        <v>4.5</v>
      </c>
      <c r="J837" s="67"/>
      <c r="K837" s="44" t="str">
        <f>IF($B837="","",IFERROR(VLOOKUP($B837,Tiendas!$A$4:$B$176,2,FALSE),""))</f>
        <v>SEBASTIAN</v>
      </c>
      <c r="L837" s="68" t="s">
        <v>296</v>
      </c>
      <c r="M837" s="44" t="str">
        <f>IF($B837="","",IFERROR(VLOOKUP($B837,Tiendas!$A$4:$I$176,9,FALSE),""))</f>
        <v>No</v>
      </c>
      <c r="N837" s="71">
        <f t="shared" si="3"/>
        <v>0</v>
      </c>
      <c r="O837" s="71">
        <f t="shared" si="4"/>
        <v>0</v>
      </c>
    </row>
    <row r="838" ht="15.75" customHeight="1">
      <c r="A838" s="17">
        <v>46023.0</v>
      </c>
      <c r="B838" s="44" t="s">
        <v>276</v>
      </c>
      <c r="C838" s="44" t="s">
        <v>211</v>
      </c>
      <c r="D838" s="45" t="s">
        <v>295</v>
      </c>
      <c r="E838" s="19">
        <f>IF($D838&lt;&gt;"Entregado",0,IF($C838="","",VLOOKUP($C838,'DATA DE TARIFA'!$A$4:$C$68,2,FALSE)/1.18))</f>
        <v>6.779661017</v>
      </c>
      <c r="F838" s="19">
        <f>IF($C838="","",IF($D838="",0,VLOOKUP($C838,'DATA DE TARIFA'!$A$4:$C$68,3,FALSE)))</f>
        <v>4</v>
      </c>
      <c r="G838" s="66">
        <v>0.0</v>
      </c>
      <c r="H838" s="19">
        <f t="shared" si="1"/>
        <v>6.779661017</v>
      </c>
      <c r="I838" s="19">
        <f t="shared" si="2"/>
        <v>4</v>
      </c>
      <c r="J838" s="67"/>
      <c r="K838" s="44" t="str">
        <f>IF($B838="","",IFERROR(VLOOKUP($B838,Tiendas!$A$4:$B$176,2,FALSE),""))</f>
        <v>SEBASTIAN</v>
      </c>
      <c r="L838" s="68" t="s">
        <v>296</v>
      </c>
      <c r="M838" s="44" t="str">
        <f>IF($B838="","",IFERROR(VLOOKUP($B838,Tiendas!$A$4:$I$176,9,FALSE),""))</f>
        <v>No</v>
      </c>
      <c r="N838" s="71">
        <f t="shared" si="3"/>
        <v>0</v>
      </c>
      <c r="O838" s="71">
        <f t="shared" si="4"/>
        <v>0</v>
      </c>
    </row>
    <row r="839" ht="15.75" customHeight="1">
      <c r="A839" s="17">
        <v>46023.0</v>
      </c>
      <c r="B839" s="44" t="s">
        <v>276</v>
      </c>
      <c r="C839" s="44" t="s">
        <v>67</v>
      </c>
      <c r="D839" s="45" t="s">
        <v>295</v>
      </c>
      <c r="E839" s="19">
        <f>IF($D839&lt;&gt;"Entregado",0,IF($C839="","",VLOOKUP($C839,'DATA DE TARIFA'!$A$4:$C$68,2,FALSE)/1.18))</f>
        <v>10.16949153</v>
      </c>
      <c r="F839" s="19">
        <f>IF($C839="","",IF($D839="",0,VLOOKUP($C839,'DATA DE TARIFA'!$A$4:$C$68,3,FALSE)))</f>
        <v>5.5</v>
      </c>
      <c r="G839" s="66">
        <v>0.0</v>
      </c>
      <c r="H839" s="19">
        <f t="shared" si="1"/>
        <v>10.16949153</v>
      </c>
      <c r="I839" s="19">
        <f t="shared" si="2"/>
        <v>5.5</v>
      </c>
      <c r="J839" s="67"/>
      <c r="K839" s="44" t="str">
        <f>IF($B839="","",IFERROR(VLOOKUP($B839,Tiendas!$A$4:$B$176,2,FALSE),""))</f>
        <v>SEBASTIAN</v>
      </c>
      <c r="L839" s="68" t="s">
        <v>296</v>
      </c>
      <c r="M839" s="44" t="str">
        <f>IF($B839="","",IFERROR(VLOOKUP($B839,Tiendas!$A$4:$I$176,9,FALSE),""))</f>
        <v>No</v>
      </c>
      <c r="N839" s="71">
        <f t="shared" si="3"/>
        <v>0</v>
      </c>
      <c r="O839" s="71">
        <f t="shared" si="4"/>
        <v>0</v>
      </c>
    </row>
    <row r="840" ht="15.75" customHeight="1">
      <c r="A840" s="17">
        <v>46023.0</v>
      </c>
      <c r="B840" s="44" t="s">
        <v>276</v>
      </c>
      <c r="C840" s="44" t="s">
        <v>21</v>
      </c>
      <c r="D840" s="45" t="s">
        <v>295</v>
      </c>
      <c r="E840" s="19">
        <f>IF($D840&lt;&gt;"Entregado",0,IF($C840="","",VLOOKUP($C840,'DATA DE TARIFA'!$A$4:$C$68,2,FALSE)/1.18))</f>
        <v>10.16949153</v>
      </c>
      <c r="F840" s="19">
        <f>IF($C840="","",IF($D840="",0,VLOOKUP($C840,'DATA DE TARIFA'!$A$4:$C$68,3,FALSE)))</f>
        <v>4.5</v>
      </c>
      <c r="G840" s="66">
        <v>0.0</v>
      </c>
      <c r="H840" s="19">
        <f t="shared" si="1"/>
        <v>10.16949153</v>
      </c>
      <c r="I840" s="19">
        <f t="shared" si="2"/>
        <v>4.5</v>
      </c>
      <c r="J840" s="67"/>
      <c r="K840" s="44" t="str">
        <f>IF($B840="","",IFERROR(VLOOKUP($B840,Tiendas!$A$4:$B$176,2,FALSE),""))</f>
        <v>SEBASTIAN</v>
      </c>
      <c r="L840" s="68" t="s">
        <v>296</v>
      </c>
      <c r="M840" s="44" t="str">
        <f>IF($B840="","",IFERROR(VLOOKUP($B840,Tiendas!$A$4:$I$176,9,FALSE),""))</f>
        <v>No</v>
      </c>
      <c r="N840" s="71">
        <f t="shared" si="3"/>
        <v>0</v>
      </c>
      <c r="O840" s="71">
        <f t="shared" si="4"/>
        <v>0</v>
      </c>
    </row>
    <row r="841" ht="15.75" customHeight="1">
      <c r="A841" s="17">
        <v>46023.0</v>
      </c>
      <c r="B841" s="44" t="s">
        <v>276</v>
      </c>
      <c r="C841" s="44" t="s">
        <v>55</v>
      </c>
      <c r="D841" s="45" t="s">
        <v>295</v>
      </c>
      <c r="E841" s="19">
        <f>IF($D841&lt;&gt;"Entregado",0,IF($C841="","",VLOOKUP($C841,'DATA DE TARIFA'!$A$4:$C$68,2,FALSE)/1.18))</f>
        <v>8.474576271</v>
      </c>
      <c r="F841" s="19">
        <f>IF($C841="","",IF($D841="",0,VLOOKUP($C841,'DATA DE TARIFA'!$A$4:$C$68,3,FALSE)))</f>
        <v>4</v>
      </c>
      <c r="G841" s="66">
        <v>0.0</v>
      </c>
      <c r="H841" s="19">
        <f t="shared" si="1"/>
        <v>8.474576271</v>
      </c>
      <c r="I841" s="19">
        <f t="shared" si="2"/>
        <v>4</v>
      </c>
      <c r="J841" s="67"/>
      <c r="K841" s="44" t="str">
        <f>IF($B841="","",IFERROR(VLOOKUP($B841,Tiendas!$A$4:$B$176,2,FALSE),""))</f>
        <v>SEBASTIAN</v>
      </c>
      <c r="L841" s="68" t="s">
        <v>296</v>
      </c>
      <c r="M841" s="44" t="str">
        <f>IF($B841="","",IFERROR(VLOOKUP($B841,Tiendas!$A$4:$I$176,9,FALSE),""))</f>
        <v>No</v>
      </c>
      <c r="N841" s="71">
        <f t="shared" si="3"/>
        <v>0</v>
      </c>
      <c r="O841" s="71">
        <f t="shared" si="4"/>
        <v>0</v>
      </c>
    </row>
    <row r="842" ht="15.75" customHeight="1">
      <c r="A842" s="17">
        <v>46023.0</v>
      </c>
      <c r="B842" s="44" t="s">
        <v>276</v>
      </c>
      <c r="C842" s="44" t="s">
        <v>32</v>
      </c>
      <c r="D842" s="45" t="s">
        <v>295</v>
      </c>
      <c r="E842" s="19">
        <f>IF($D842&lt;&gt;"Entregado",0,IF($C842="","",VLOOKUP($C842,'DATA DE TARIFA'!$A$4:$C$68,2,FALSE)/1.18))</f>
        <v>8.474576271</v>
      </c>
      <c r="F842" s="19">
        <f>IF($C842="","",IF($D842="",0,VLOOKUP($C842,'DATA DE TARIFA'!$A$4:$C$68,3,FALSE)))</f>
        <v>4.5</v>
      </c>
      <c r="G842" s="66">
        <v>0.0</v>
      </c>
      <c r="H842" s="19">
        <f t="shared" si="1"/>
        <v>8.474576271</v>
      </c>
      <c r="I842" s="19">
        <f t="shared" si="2"/>
        <v>4.5</v>
      </c>
      <c r="J842" s="67"/>
      <c r="K842" s="44" t="str">
        <f>IF($B842="","",IFERROR(VLOOKUP($B842,Tiendas!$A$4:$B$176,2,FALSE),""))</f>
        <v>SEBASTIAN</v>
      </c>
      <c r="L842" s="68" t="s">
        <v>296</v>
      </c>
      <c r="M842" s="44" t="str">
        <f>IF($B842="","",IFERROR(VLOOKUP($B842,Tiendas!$A$4:$I$176,9,FALSE),""))</f>
        <v>No</v>
      </c>
      <c r="N842" s="71">
        <f t="shared" si="3"/>
        <v>0</v>
      </c>
      <c r="O842" s="71">
        <f t="shared" si="4"/>
        <v>0</v>
      </c>
    </row>
    <row r="843" ht="15.75" customHeight="1">
      <c r="A843" s="17">
        <v>46023.0</v>
      </c>
      <c r="B843" s="44" t="s">
        <v>276</v>
      </c>
      <c r="C843" s="44" t="s">
        <v>42</v>
      </c>
      <c r="D843" s="45" t="s">
        <v>295</v>
      </c>
      <c r="E843" s="19">
        <f>IF($D843&lt;&gt;"Entregado",0,IF($C843="","",VLOOKUP($C843,'DATA DE TARIFA'!$A$4:$C$68,2,FALSE)/1.18))</f>
        <v>8.474576271</v>
      </c>
      <c r="F843" s="19">
        <f>IF($C843="","",IF($D843="",0,VLOOKUP($C843,'DATA DE TARIFA'!$A$4:$C$68,3,FALSE)))</f>
        <v>4</v>
      </c>
      <c r="G843" s="66">
        <v>0.0</v>
      </c>
      <c r="H843" s="19">
        <f t="shared" si="1"/>
        <v>8.474576271</v>
      </c>
      <c r="I843" s="19">
        <f t="shared" si="2"/>
        <v>4</v>
      </c>
      <c r="J843" s="67"/>
      <c r="K843" s="44" t="str">
        <f>IF($B843="","",IFERROR(VLOOKUP($B843,Tiendas!$A$4:$B$176,2,FALSE),""))</f>
        <v>SEBASTIAN</v>
      </c>
      <c r="L843" s="68" t="s">
        <v>296</v>
      </c>
      <c r="M843" s="44" t="str">
        <f>IF($B843="","",IFERROR(VLOOKUP($B843,Tiendas!$A$4:$I$176,9,FALSE),""))</f>
        <v>No</v>
      </c>
      <c r="N843" s="71">
        <f t="shared" si="3"/>
        <v>0</v>
      </c>
      <c r="O843" s="71">
        <f t="shared" si="4"/>
        <v>0</v>
      </c>
    </row>
    <row r="844" ht="15.75" customHeight="1">
      <c r="A844" s="17">
        <v>46023.0</v>
      </c>
      <c r="B844" s="44" t="s">
        <v>276</v>
      </c>
      <c r="C844" s="44" t="s">
        <v>24</v>
      </c>
      <c r="D844" s="45" t="s">
        <v>295</v>
      </c>
      <c r="E844" s="19">
        <f>IF($D844&lt;&gt;"Entregado",0,IF($C844="","",VLOOKUP($C844,'DATA DE TARIFA'!$A$4:$C$68,2,FALSE)/1.18))</f>
        <v>8.474576271</v>
      </c>
      <c r="F844" s="19">
        <f>IF($C844="","",IF($D844="",0,VLOOKUP($C844,'DATA DE TARIFA'!$A$4:$C$68,3,FALSE)))</f>
        <v>4.5</v>
      </c>
      <c r="G844" s="66">
        <v>2.0</v>
      </c>
      <c r="H844" s="19">
        <f t="shared" si="1"/>
        <v>8.474576271</v>
      </c>
      <c r="I844" s="19">
        <f t="shared" si="2"/>
        <v>6.5</v>
      </c>
      <c r="J844" s="67"/>
      <c r="K844" s="44" t="str">
        <f>IF($B844="","",IFERROR(VLOOKUP($B844,Tiendas!$A$4:$B$176,2,FALSE),""))</f>
        <v>SEBASTIAN</v>
      </c>
      <c r="L844" s="68" t="s">
        <v>296</v>
      </c>
      <c r="M844" s="44" t="str">
        <f>IF($B844="","",IFERROR(VLOOKUP($B844,Tiendas!$A$4:$I$176,9,FALSE),""))</f>
        <v>No</v>
      </c>
      <c r="N844" s="71">
        <f t="shared" si="3"/>
        <v>0</v>
      </c>
      <c r="O844" s="71">
        <f t="shared" si="4"/>
        <v>0</v>
      </c>
    </row>
    <row r="845" ht="15.75" customHeight="1">
      <c r="A845" s="17">
        <v>46023.0</v>
      </c>
      <c r="B845" s="44" t="s">
        <v>276</v>
      </c>
      <c r="C845" s="44" t="s">
        <v>38</v>
      </c>
      <c r="D845" s="45" t="s">
        <v>295</v>
      </c>
      <c r="E845" s="19">
        <f>IF($D845&lt;&gt;"Entregado",0,IF($C845="","",VLOOKUP($C845,'DATA DE TARIFA'!$A$4:$C$68,2,FALSE)/1.18))</f>
        <v>8.474576271</v>
      </c>
      <c r="F845" s="19">
        <f>IF($C845="","",IF($D845="",0,VLOOKUP($C845,'DATA DE TARIFA'!$A$4:$C$68,3,FALSE)))</f>
        <v>4</v>
      </c>
      <c r="G845" s="66">
        <v>0.0</v>
      </c>
      <c r="H845" s="19">
        <f t="shared" si="1"/>
        <v>8.474576271</v>
      </c>
      <c r="I845" s="19">
        <f t="shared" si="2"/>
        <v>4</v>
      </c>
      <c r="J845" s="67"/>
      <c r="K845" s="44" t="str">
        <f>IF($B845="","",IFERROR(VLOOKUP($B845,Tiendas!$A$4:$B$176,2,FALSE),""))</f>
        <v>SEBASTIAN</v>
      </c>
      <c r="L845" s="68" t="s">
        <v>296</v>
      </c>
      <c r="M845" s="44" t="str">
        <f>IF($B845="","",IFERROR(VLOOKUP($B845,Tiendas!$A$4:$I$176,9,FALSE),""))</f>
        <v>No</v>
      </c>
      <c r="N845" s="71">
        <f t="shared" si="3"/>
        <v>0</v>
      </c>
      <c r="O845" s="71">
        <f t="shared" si="4"/>
        <v>0</v>
      </c>
    </row>
    <row r="846" ht="15.75" customHeight="1">
      <c r="A846" s="17">
        <v>46023.0</v>
      </c>
      <c r="B846" s="44" t="s">
        <v>276</v>
      </c>
      <c r="C846" s="44" t="s">
        <v>24</v>
      </c>
      <c r="D846" s="45" t="s">
        <v>295</v>
      </c>
      <c r="E846" s="19">
        <f>IF($D846&lt;&gt;"Entregado",0,IF($C846="","",VLOOKUP($C846,'DATA DE TARIFA'!$A$4:$C$68,2,FALSE)/1.18))</f>
        <v>8.474576271</v>
      </c>
      <c r="F846" s="19">
        <f>IF($C846="","",IF($D846="",0,VLOOKUP($C846,'DATA DE TARIFA'!$A$4:$C$68,3,FALSE)))</f>
        <v>4.5</v>
      </c>
      <c r="G846" s="66">
        <v>0.0</v>
      </c>
      <c r="H846" s="19">
        <f t="shared" si="1"/>
        <v>8.474576271</v>
      </c>
      <c r="I846" s="19">
        <f t="shared" si="2"/>
        <v>4.5</v>
      </c>
      <c r="J846" s="67"/>
      <c r="K846" s="44" t="str">
        <f>IF($B846="","",IFERROR(VLOOKUP($B846,Tiendas!$A$4:$B$176,2,FALSE),""))</f>
        <v>SEBASTIAN</v>
      </c>
      <c r="L846" s="68" t="s">
        <v>296</v>
      </c>
      <c r="M846" s="44" t="str">
        <f>IF($B846="","",IFERROR(VLOOKUP($B846,Tiendas!$A$4:$I$176,9,FALSE),""))</f>
        <v>No</v>
      </c>
      <c r="N846" s="71">
        <f t="shared" si="3"/>
        <v>0</v>
      </c>
      <c r="O846" s="71">
        <f t="shared" si="4"/>
        <v>0</v>
      </c>
    </row>
    <row r="847" ht="15.75" customHeight="1">
      <c r="A847" s="17">
        <v>46023.0</v>
      </c>
      <c r="B847" s="44" t="s">
        <v>276</v>
      </c>
      <c r="C847" s="44" t="s">
        <v>63</v>
      </c>
      <c r="D847" s="45" t="s">
        <v>295</v>
      </c>
      <c r="E847" s="19">
        <f>IF($D847&lt;&gt;"Entregado",0,IF($C847="","",VLOOKUP($C847,'DATA DE TARIFA'!$A$4:$C$68,2,FALSE)/1.18))</f>
        <v>8.474576271</v>
      </c>
      <c r="F847" s="19">
        <f>IF($C847="","",IF($D847="",0,VLOOKUP($C847,'DATA DE TARIFA'!$A$4:$C$68,3,FALSE)))</f>
        <v>4</v>
      </c>
      <c r="G847" s="66">
        <v>0.0</v>
      </c>
      <c r="H847" s="19">
        <f t="shared" si="1"/>
        <v>8.474576271</v>
      </c>
      <c r="I847" s="19">
        <f t="shared" si="2"/>
        <v>4</v>
      </c>
      <c r="J847" s="67"/>
      <c r="K847" s="44" t="str">
        <f>IF($B847="","",IFERROR(VLOOKUP($B847,Tiendas!$A$4:$B$176,2,FALSE),""))</f>
        <v>SEBASTIAN</v>
      </c>
      <c r="L847" s="68" t="s">
        <v>296</v>
      </c>
      <c r="M847" s="44" t="str">
        <f>IF($B847="","",IFERROR(VLOOKUP($B847,Tiendas!$A$4:$I$176,9,FALSE),""))</f>
        <v>No</v>
      </c>
      <c r="N847" s="71">
        <f t="shared" si="3"/>
        <v>0</v>
      </c>
      <c r="O847" s="71">
        <f t="shared" si="4"/>
        <v>0</v>
      </c>
    </row>
    <row r="848" ht="15.75" customHeight="1">
      <c r="A848" s="17">
        <v>46023.0</v>
      </c>
      <c r="B848" s="44" t="s">
        <v>276</v>
      </c>
      <c r="C848" s="44" t="s">
        <v>30</v>
      </c>
      <c r="D848" s="45" t="s">
        <v>295</v>
      </c>
      <c r="E848" s="19">
        <f>IF($D848&lt;&gt;"Entregado",0,IF($C848="","",VLOOKUP($C848,'DATA DE TARIFA'!$A$4:$C$68,2,FALSE)/1.18))</f>
        <v>8.474576271</v>
      </c>
      <c r="F848" s="19">
        <f>IF($C848="","",IF($D848="",0,VLOOKUP($C848,'DATA DE TARIFA'!$A$4:$C$68,3,FALSE)))</f>
        <v>4.5</v>
      </c>
      <c r="G848" s="66">
        <v>0.0</v>
      </c>
      <c r="H848" s="19">
        <f t="shared" si="1"/>
        <v>8.474576271</v>
      </c>
      <c r="I848" s="19">
        <f t="shared" si="2"/>
        <v>4.5</v>
      </c>
      <c r="J848" s="67"/>
      <c r="K848" s="44" t="str">
        <f>IF($B848="","",IFERROR(VLOOKUP($B848,Tiendas!$A$4:$B$176,2,FALSE),""))</f>
        <v>SEBASTIAN</v>
      </c>
      <c r="L848" s="68" t="s">
        <v>296</v>
      </c>
      <c r="M848" s="44" t="str">
        <f>IF($B848="","",IFERROR(VLOOKUP($B848,Tiendas!$A$4:$I$176,9,FALSE),""))</f>
        <v>No</v>
      </c>
      <c r="N848" s="71">
        <f t="shared" si="3"/>
        <v>0</v>
      </c>
      <c r="O848" s="71">
        <f t="shared" si="4"/>
        <v>0</v>
      </c>
    </row>
    <row r="849" ht="15.75" customHeight="1">
      <c r="A849" s="17">
        <v>46023.0</v>
      </c>
      <c r="B849" s="44" t="s">
        <v>276</v>
      </c>
      <c r="C849" s="44" t="s">
        <v>26</v>
      </c>
      <c r="D849" s="45" t="s">
        <v>295</v>
      </c>
      <c r="E849" s="19">
        <f>IF($D849&lt;&gt;"Entregado",0,IF($C849="","",VLOOKUP($C849,'DATA DE TARIFA'!$A$4:$C$68,2,FALSE)/1.18))</f>
        <v>10.16949153</v>
      </c>
      <c r="F849" s="19">
        <f>IF($C849="","",IF($D849="",0,VLOOKUP($C849,'DATA DE TARIFA'!$A$4:$C$68,3,FALSE)))</f>
        <v>5</v>
      </c>
      <c r="G849" s="66">
        <v>0.0</v>
      </c>
      <c r="H849" s="19">
        <f t="shared" si="1"/>
        <v>10.16949153</v>
      </c>
      <c r="I849" s="19">
        <f t="shared" si="2"/>
        <v>5</v>
      </c>
      <c r="J849" s="67"/>
      <c r="K849" s="44" t="str">
        <f>IF($B849="","",IFERROR(VLOOKUP($B849,Tiendas!$A$4:$B$176,2,FALSE),""))</f>
        <v>SEBASTIAN</v>
      </c>
      <c r="L849" s="68" t="s">
        <v>296</v>
      </c>
      <c r="M849" s="44" t="str">
        <f>IF($B849="","",IFERROR(VLOOKUP($B849,Tiendas!$A$4:$I$176,9,FALSE),""))</f>
        <v>No</v>
      </c>
      <c r="N849" s="71">
        <f t="shared" si="3"/>
        <v>0</v>
      </c>
      <c r="O849" s="71">
        <f t="shared" si="4"/>
        <v>0</v>
      </c>
    </row>
    <row r="850" ht="15.75" customHeight="1">
      <c r="A850" s="17">
        <v>46023.0</v>
      </c>
      <c r="B850" s="44" t="s">
        <v>276</v>
      </c>
      <c r="C850" s="44" t="s">
        <v>211</v>
      </c>
      <c r="D850" s="45" t="s">
        <v>295</v>
      </c>
      <c r="E850" s="19">
        <f>IF($D850&lt;&gt;"Entregado",0,IF($C850="","",VLOOKUP($C850,'DATA DE TARIFA'!$A$4:$C$68,2,FALSE)/1.18))</f>
        <v>6.779661017</v>
      </c>
      <c r="F850" s="19">
        <f>IF($C850="","",IF($D850="",0,VLOOKUP($C850,'DATA DE TARIFA'!$A$4:$C$68,3,FALSE)))</f>
        <v>4</v>
      </c>
      <c r="G850" s="66">
        <v>0.0</v>
      </c>
      <c r="H850" s="19">
        <f t="shared" si="1"/>
        <v>6.779661017</v>
      </c>
      <c r="I850" s="19">
        <f t="shared" si="2"/>
        <v>4</v>
      </c>
      <c r="J850" s="67"/>
      <c r="K850" s="44" t="str">
        <f>IF($B850="","",IFERROR(VLOOKUP($B850,Tiendas!$A$4:$B$176,2,FALSE),""))</f>
        <v>SEBASTIAN</v>
      </c>
      <c r="L850" s="68" t="s">
        <v>296</v>
      </c>
      <c r="M850" s="44" t="str">
        <f>IF($B850="","",IFERROR(VLOOKUP($B850,Tiendas!$A$4:$I$176,9,FALSE),""))</f>
        <v>No</v>
      </c>
      <c r="N850" s="71">
        <f t="shared" si="3"/>
        <v>0</v>
      </c>
      <c r="O850" s="71">
        <f t="shared" si="4"/>
        <v>0</v>
      </c>
    </row>
    <row r="851" ht="15.75" customHeight="1">
      <c r="A851" s="17">
        <v>46023.0</v>
      </c>
      <c r="B851" s="44" t="s">
        <v>276</v>
      </c>
      <c r="C851" s="44" t="s">
        <v>49</v>
      </c>
      <c r="D851" s="45" t="s">
        <v>295</v>
      </c>
      <c r="E851" s="19">
        <f>IF($D851&lt;&gt;"Entregado",0,IF($C851="","",VLOOKUP($C851,'DATA DE TARIFA'!$A$4:$C$68,2,FALSE)/1.18))</f>
        <v>10.16949153</v>
      </c>
      <c r="F851" s="19">
        <f>IF($C851="","",IF($D851="",0,VLOOKUP($C851,'DATA DE TARIFA'!$A$4:$C$68,3,FALSE)))</f>
        <v>5.5</v>
      </c>
      <c r="G851" s="66">
        <v>0.0</v>
      </c>
      <c r="H851" s="19">
        <f t="shared" si="1"/>
        <v>10.16949153</v>
      </c>
      <c r="I851" s="19">
        <f t="shared" si="2"/>
        <v>5.5</v>
      </c>
      <c r="J851" s="67"/>
      <c r="K851" s="44" t="str">
        <f>IF($B851="","",IFERROR(VLOOKUP($B851,Tiendas!$A$4:$B$176,2,FALSE),""))</f>
        <v>SEBASTIAN</v>
      </c>
      <c r="L851" s="68" t="s">
        <v>296</v>
      </c>
      <c r="M851" s="44" t="str">
        <f>IF($B851="","",IFERROR(VLOOKUP($B851,Tiendas!$A$4:$I$176,9,FALSE),""))</f>
        <v>No</v>
      </c>
      <c r="N851" s="71">
        <f t="shared" si="3"/>
        <v>0</v>
      </c>
      <c r="O851" s="71">
        <f t="shared" si="4"/>
        <v>0</v>
      </c>
    </row>
    <row r="852" ht="15.75" customHeight="1">
      <c r="A852" s="17">
        <v>46023.0</v>
      </c>
      <c r="B852" s="44" t="s">
        <v>276</v>
      </c>
      <c r="C852" s="44" t="s">
        <v>32</v>
      </c>
      <c r="D852" s="45" t="s">
        <v>295</v>
      </c>
      <c r="E852" s="19">
        <f>IF($D852&lt;&gt;"Entregado",0,IF($C852="","",VLOOKUP($C852,'DATA DE TARIFA'!$A$4:$C$68,2,FALSE)/1.18))</f>
        <v>8.474576271</v>
      </c>
      <c r="F852" s="19">
        <f>IF($C852="","",IF($D852="",0,VLOOKUP($C852,'DATA DE TARIFA'!$A$4:$C$68,3,FALSE)))</f>
        <v>4.5</v>
      </c>
      <c r="G852" s="66">
        <v>2.0</v>
      </c>
      <c r="H852" s="19">
        <f t="shared" si="1"/>
        <v>8.474576271</v>
      </c>
      <c r="I852" s="19">
        <f t="shared" si="2"/>
        <v>6.5</v>
      </c>
      <c r="J852" s="67"/>
      <c r="K852" s="44" t="str">
        <f>IF($B852="","",IFERROR(VLOOKUP($B852,Tiendas!$A$4:$B$176,2,FALSE),""))</f>
        <v>SEBASTIAN</v>
      </c>
      <c r="L852" s="68" t="s">
        <v>296</v>
      </c>
      <c r="M852" s="44" t="str">
        <f>IF($B852="","",IFERROR(VLOOKUP($B852,Tiendas!$A$4:$I$176,9,FALSE),""))</f>
        <v>No</v>
      </c>
      <c r="N852" s="71">
        <f t="shared" si="3"/>
        <v>0</v>
      </c>
      <c r="O852" s="71">
        <f t="shared" si="4"/>
        <v>0</v>
      </c>
    </row>
    <row r="853" ht="15.75" customHeight="1">
      <c r="A853" s="17">
        <v>46023.0</v>
      </c>
      <c r="B853" s="44" t="s">
        <v>276</v>
      </c>
      <c r="C853" s="44" t="s">
        <v>21</v>
      </c>
      <c r="D853" s="45" t="s">
        <v>295</v>
      </c>
      <c r="E853" s="19">
        <f>IF($D853&lt;&gt;"Entregado",0,IF($C853="","",VLOOKUP($C853,'DATA DE TARIFA'!$A$4:$C$68,2,FALSE)/1.18))</f>
        <v>10.16949153</v>
      </c>
      <c r="F853" s="19">
        <f>IF($C853="","",IF($D853="",0,VLOOKUP($C853,'DATA DE TARIFA'!$A$4:$C$68,3,FALSE)))</f>
        <v>4.5</v>
      </c>
      <c r="G853" s="66">
        <v>0.0</v>
      </c>
      <c r="H853" s="19">
        <f t="shared" si="1"/>
        <v>10.16949153</v>
      </c>
      <c r="I853" s="19">
        <f t="shared" si="2"/>
        <v>4.5</v>
      </c>
      <c r="J853" s="67"/>
      <c r="K853" s="44" t="str">
        <f>IF($B853="","",IFERROR(VLOOKUP($B853,Tiendas!$A$4:$B$176,2,FALSE),""))</f>
        <v>SEBASTIAN</v>
      </c>
      <c r="L853" s="68" t="s">
        <v>296</v>
      </c>
      <c r="M853" s="44" t="str">
        <f>IF($B853="","",IFERROR(VLOOKUP($B853,Tiendas!$A$4:$I$176,9,FALSE),""))</f>
        <v>No</v>
      </c>
      <c r="N853" s="71">
        <f t="shared" si="3"/>
        <v>0</v>
      </c>
      <c r="O853" s="71">
        <f t="shared" si="4"/>
        <v>0</v>
      </c>
    </row>
    <row r="854" ht="15.75" customHeight="1">
      <c r="A854" s="17">
        <v>46023.0</v>
      </c>
      <c r="B854" s="44" t="s">
        <v>276</v>
      </c>
      <c r="C854" s="44" t="s">
        <v>306</v>
      </c>
      <c r="D854" s="45" t="s">
        <v>295</v>
      </c>
      <c r="E854" s="19">
        <f>IF($D854&lt;&gt;"Entregado",0,IF($C854="","",VLOOKUP($C854,'DATA DE TARIFA'!$A$4:$C$68,2,FALSE)/1.18))</f>
        <v>4.237288136</v>
      </c>
      <c r="F854" s="19">
        <f>IF($C854="","",IF($D854="",0,VLOOKUP($C854,'DATA DE TARIFA'!$A$4:$C$68,3,FALSE)))</f>
        <v>0</v>
      </c>
      <c r="G854" s="66">
        <v>0.0</v>
      </c>
      <c r="H854" s="19">
        <f t="shared" si="1"/>
        <v>4.237288136</v>
      </c>
      <c r="I854" s="19">
        <f t="shared" si="2"/>
        <v>0</v>
      </c>
      <c r="J854" s="67"/>
      <c r="K854" s="44" t="str">
        <f>IF($B854="","",IFERROR(VLOOKUP($B854,Tiendas!$A$4:$B$176,2,FALSE),""))</f>
        <v>SEBASTIAN</v>
      </c>
      <c r="L854" s="68" t="s">
        <v>296</v>
      </c>
      <c r="M854" s="44" t="str">
        <f>IF($B854="","",IFERROR(VLOOKUP($B854,Tiendas!$A$4:$I$176,9,FALSE),""))</f>
        <v>No</v>
      </c>
      <c r="N854" s="71">
        <f t="shared" si="3"/>
        <v>0</v>
      </c>
      <c r="O854" s="71">
        <f t="shared" si="4"/>
        <v>0</v>
      </c>
    </row>
    <row r="855" ht="15.75" customHeight="1">
      <c r="A855" s="17">
        <v>46023.0</v>
      </c>
      <c r="B855" s="44" t="s">
        <v>276</v>
      </c>
      <c r="C855" s="44" t="s">
        <v>47</v>
      </c>
      <c r="D855" s="45" t="s">
        <v>295</v>
      </c>
      <c r="E855" s="19">
        <f>IF($D855&lt;&gt;"Entregado",0,IF($C855="","",VLOOKUP($C855,'DATA DE TARIFA'!$A$4:$C$68,2,FALSE)/1.18))</f>
        <v>10.16949153</v>
      </c>
      <c r="F855" s="19">
        <f>IF($C855="","",IF($D855="",0,VLOOKUP($C855,'DATA DE TARIFA'!$A$4:$C$68,3,FALSE)))</f>
        <v>5.5</v>
      </c>
      <c r="G855" s="66">
        <v>2.0</v>
      </c>
      <c r="H855" s="19">
        <f t="shared" si="1"/>
        <v>10.16949153</v>
      </c>
      <c r="I855" s="19">
        <f t="shared" si="2"/>
        <v>7.5</v>
      </c>
      <c r="J855" s="67"/>
      <c r="K855" s="44" t="str">
        <f>IF($B855="","",IFERROR(VLOOKUP($B855,Tiendas!$A$4:$B$176,2,FALSE),""))</f>
        <v>SEBASTIAN</v>
      </c>
      <c r="L855" s="68" t="s">
        <v>296</v>
      </c>
      <c r="M855" s="44" t="str">
        <f>IF($B855="","",IFERROR(VLOOKUP($B855,Tiendas!$A$4:$I$176,9,FALSE),""))</f>
        <v>No</v>
      </c>
      <c r="N855" s="71">
        <f t="shared" si="3"/>
        <v>0</v>
      </c>
      <c r="O855" s="71">
        <f t="shared" si="4"/>
        <v>0</v>
      </c>
    </row>
    <row r="856" ht="15.75" customHeight="1">
      <c r="A856" s="17">
        <v>46023.0</v>
      </c>
      <c r="B856" s="44" t="s">
        <v>276</v>
      </c>
      <c r="C856" s="44" t="s">
        <v>64</v>
      </c>
      <c r="D856" s="45" t="s">
        <v>295</v>
      </c>
      <c r="E856" s="19">
        <f>IF($D856&lt;&gt;"Entregado",0,IF($C856="","",VLOOKUP($C856,'DATA DE TARIFA'!$A$4:$C$68,2,FALSE)/1.18))</f>
        <v>8.474576271</v>
      </c>
      <c r="F856" s="19">
        <f>IF($C856="","",IF($D856="",0,VLOOKUP($C856,'DATA DE TARIFA'!$A$4:$C$68,3,FALSE)))</f>
        <v>4.5</v>
      </c>
      <c r="G856" s="66">
        <v>0.0</v>
      </c>
      <c r="H856" s="19">
        <f t="shared" si="1"/>
        <v>8.474576271</v>
      </c>
      <c r="I856" s="19">
        <f t="shared" si="2"/>
        <v>4.5</v>
      </c>
      <c r="J856" s="67"/>
      <c r="K856" s="44" t="str">
        <f>IF($B856="","",IFERROR(VLOOKUP($B856,Tiendas!$A$4:$B$176,2,FALSE),""))</f>
        <v>SEBASTIAN</v>
      </c>
      <c r="L856" s="68" t="s">
        <v>296</v>
      </c>
      <c r="M856" s="44" t="str">
        <f>IF($B856="","",IFERROR(VLOOKUP($B856,Tiendas!$A$4:$I$176,9,FALSE),""))</f>
        <v>No</v>
      </c>
      <c r="N856" s="71">
        <f t="shared" si="3"/>
        <v>0</v>
      </c>
      <c r="O856" s="71">
        <f t="shared" si="4"/>
        <v>0</v>
      </c>
    </row>
    <row r="857" ht="15.75" customHeight="1">
      <c r="A857" s="17">
        <v>46023.0</v>
      </c>
      <c r="B857" s="44" t="s">
        <v>276</v>
      </c>
      <c r="C857" s="44" t="s">
        <v>18</v>
      </c>
      <c r="D857" s="45" t="s">
        <v>295</v>
      </c>
      <c r="E857" s="19">
        <f>IF($D857&lt;&gt;"Entregado",0,IF($C857="","",VLOOKUP($C857,'DATA DE TARIFA'!$A$4:$C$68,2,FALSE)/1.18))</f>
        <v>10.16949153</v>
      </c>
      <c r="F857" s="19">
        <f>IF($C857="","",IF($D857="",0,VLOOKUP($C857,'DATA DE TARIFA'!$A$4:$C$68,3,FALSE)))</f>
        <v>4.5</v>
      </c>
      <c r="G857" s="66">
        <v>0.0</v>
      </c>
      <c r="H857" s="19">
        <f t="shared" si="1"/>
        <v>10.16949153</v>
      </c>
      <c r="I857" s="19">
        <f t="shared" si="2"/>
        <v>4.5</v>
      </c>
      <c r="J857" s="67"/>
      <c r="K857" s="44" t="str">
        <f>IF($B857="","",IFERROR(VLOOKUP($B857,Tiendas!$A$4:$B$176,2,FALSE),""))</f>
        <v>SEBASTIAN</v>
      </c>
      <c r="L857" s="68" t="s">
        <v>296</v>
      </c>
      <c r="M857" s="44" t="str">
        <f>IF($B857="","",IFERROR(VLOOKUP($B857,Tiendas!$A$4:$I$176,9,FALSE),""))</f>
        <v>No</v>
      </c>
      <c r="N857" s="71">
        <f t="shared" si="3"/>
        <v>0</v>
      </c>
      <c r="O857" s="71">
        <f t="shared" si="4"/>
        <v>0</v>
      </c>
    </row>
    <row r="858" ht="15.75" customHeight="1">
      <c r="A858" s="17">
        <v>46023.0</v>
      </c>
      <c r="B858" s="44" t="s">
        <v>276</v>
      </c>
      <c r="C858" s="44" t="s">
        <v>38</v>
      </c>
      <c r="D858" s="45" t="s">
        <v>295</v>
      </c>
      <c r="E858" s="19">
        <f>IF($D858&lt;&gt;"Entregado",0,IF($C858="","",VLOOKUP($C858,'DATA DE TARIFA'!$A$4:$C$68,2,FALSE)/1.18))</f>
        <v>8.474576271</v>
      </c>
      <c r="F858" s="19">
        <f>IF($C858="","",IF($D858="",0,VLOOKUP($C858,'DATA DE TARIFA'!$A$4:$C$68,3,FALSE)))</f>
        <v>4</v>
      </c>
      <c r="G858" s="66">
        <v>0.0</v>
      </c>
      <c r="H858" s="19">
        <f t="shared" si="1"/>
        <v>8.474576271</v>
      </c>
      <c r="I858" s="19">
        <f t="shared" si="2"/>
        <v>4</v>
      </c>
      <c r="J858" s="67"/>
      <c r="K858" s="44" t="str">
        <f>IF($B858="","",IFERROR(VLOOKUP($B858,Tiendas!$A$4:$B$176,2,FALSE),""))</f>
        <v>SEBASTIAN</v>
      </c>
      <c r="L858" s="68" t="s">
        <v>296</v>
      </c>
      <c r="M858" s="44" t="str">
        <f>IF($B858="","",IFERROR(VLOOKUP($B858,Tiendas!$A$4:$I$176,9,FALSE),""))</f>
        <v>No</v>
      </c>
      <c r="N858" s="71">
        <f t="shared" si="3"/>
        <v>0</v>
      </c>
      <c r="O858" s="71">
        <f t="shared" si="4"/>
        <v>0</v>
      </c>
    </row>
    <row r="859" ht="15.75" customHeight="1">
      <c r="A859" s="17">
        <v>46023.0</v>
      </c>
      <c r="B859" s="44" t="s">
        <v>276</v>
      </c>
      <c r="C859" s="44" t="s">
        <v>38</v>
      </c>
      <c r="D859" s="45" t="s">
        <v>295</v>
      </c>
      <c r="E859" s="19">
        <f>IF($D859&lt;&gt;"Entregado",0,IF($C859="","",VLOOKUP($C859,'DATA DE TARIFA'!$A$4:$C$68,2,FALSE)/1.18))</f>
        <v>8.474576271</v>
      </c>
      <c r="F859" s="19">
        <f>IF($C859="","",IF($D859="",0,VLOOKUP($C859,'DATA DE TARIFA'!$A$4:$C$68,3,FALSE)))</f>
        <v>4</v>
      </c>
      <c r="G859" s="66">
        <v>0.0</v>
      </c>
      <c r="H859" s="19">
        <f t="shared" si="1"/>
        <v>8.474576271</v>
      </c>
      <c r="I859" s="19">
        <f t="shared" si="2"/>
        <v>4</v>
      </c>
      <c r="J859" s="67"/>
      <c r="K859" s="44" t="str">
        <f>IF($B859="","",IFERROR(VLOOKUP($B859,Tiendas!$A$4:$B$176,2,FALSE),""))</f>
        <v>SEBASTIAN</v>
      </c>
      <c r="L859" s="68" t="s">
        <v>296</v>
      </c>
      <c r="M859" s="44" t="str">
        <f>IF($B859="","",IFERROR(VLOOKUP($B859,Tiendas!$A$4:$I$176,9,FALSE),""))</f>
        <v>No</v>
      </c>
      <c r="N859" s="71">
        <f t="shared" si="3"/>
        <v>0</v>
      </c>
      <c r="O859" s="71">
        <f t="shared" si="4"/>
        <v>0</v>
      </c>
    </row>
    <row r="860" ht="15.75" customHeight="1">
      <c r="A860" s="17">
        <v>46023.0</v>
      </c>
      <c r="B860" s="44" t="s">
        <v>276</v>
      </c>
      <c r="C860" s="44" t="s">
        <v>64</v>
      </c>
      <c r="D860" s="45" t="s">
        <v>295</v>
      </c>
      <c r="E860" s="19">
        <f>IF($D860&lt;&gt;"Entregado",0,IF($C860="","",VLOOKUP($C860,'DATA DE TARIFA'!$A$4:$C$68,2,FALSE)/1.18))</f>
        <v>8.474576271</v>
      </c>
      <c r="F860" s="19">
        <f>IF($C860="","",IF($D860="",0,VLOOKUP($C860,'DATA DE TARIFA'!$A$4:$C$68,3,FALSE)))</f>
        <v>4.5</v>
      </c>
      <c r="G860" s="66">
        <v>0.0</v>
      </c>
      <c r="H860" s="19">
        <f t="shared" si="1"/>
        <v>8.474576271</v>
      </c>
      <c r="I860" s="19">
        <f t="shared" si="2"/>
        <v>4.5</v>
      </c>
      <c r="J860" s="67"/>
      <c r="K860" s="44" t="str">
        <f>IF($B860="","",IFERROR(VLOOKUP($B860,Tiendas!$A$4:$B$176,2,FALSE),""))</f>
        <v>SEBASTIAN</v>
      </c>
      <c r="L860" s="68" t="s">
        <v>296</v>
      </c>
      <c r="M860" s="44" t="str">
        <f>IF($B860="","",IFERROR(VLOOKUP($B860,Tiendas!$A$4:$I$176,9,FALSE),""))</f>
        <v>No</v>
      </c>
      <c r="N860" s="71">
        <f t="shared" si="3"/>
        <v>0</v>
      </c>
      <c r="O860" s="71">
        <f t="shared" si="4"/>
        <v>0</v>
      </c>
    </row>
    <row r="861" ht="15.75" customHeight="1">
      <c r="A861" s="17">
        <v>46023.0</v>
      </c>
      <c r="B861" s="44" t="s">
        <v>276</v>
      </c>
      <c r="C861" s="44" t="s">
        <v>69</v>
      </c>
      <c r="D861" s="45" t="s">
        <v>295</v>
      </c>
      <c r="E861" s="19">
        <f>IF($D861&lt;&gt;"Entregado",0,IF($C861="","",VLOOKUP($C861,'DATA DE TARIFA'!$A$4:$C$68,2,FALSE)/1.18))</f>
        <v>8.474576271</v>
      </c>
      <c r="F861" s="19">
        <f>IF($C861="","",IF($D861="",0,VLOOKUP($C861,'DATA DE TARIFA'!$A$4:$C$68,3,FALSE)))</f>
        <v>4</v>
      </c>
      <c r="G861" s="66">
        <v>0.0</v>
      </c>
      <c r="H861" s="19">
        <f t="shared" si="1"/>
        <v>8.474576271</v>
      </c>
      <c r="I861" s="19">
        <f t="shared" si="2"/>
        <v>4</v>
      </c>
      <c r="J861" s="67"/>
      <c r="K861" s="44" t="str">
        <f>IF($B861="","",IFERROR(VLOOKUP($B861,Tiendas!$A$4:$B$176,2,FALSE),""))</f>
        <v>SEBASTIAN</v>
      </c>
      <c r="L861" s="68" t="s">
        <v>296</v>
      </c>
      <c r="M861" s="44" t="str">
        <f>IF($B861="","",IFERROR(VLOOKUP($B861,Tiendas!$A$4:$I$176,9,FALSE),""))</f>
        <v>No</v>
      </c>
      <c r="N861" s="71">
        <f t="shared" si="3"/>
        <v>0</v>
      </c>
      <c r="O861" s="71">
        <f t="shared" si="4"/>
        <v>0</v>
      </c>
    </row>
    <row r="862" ht="15.75" customHeight="1">
      <c r="A862" s="17">
        <v>46023.0</v>
      </c>
      <c r="B862" s="44" t="s">
        <v>276</v>
      </c>
      <c r="C862" s="44" t="s">
        <v>30</v>
      </c>
      <c r="D862" s="45" t="s">
        <v>295</v>
      </c>
      <c r="E862" s="19">
        <f>IF($D862&lt;&gt;"Entregado",0,IF($C862="","",VLOOKUP($C862,'DATA DE TARIFA'!$A$4:$C$68,2,FALSE)/1.18))</f>
        <v>8.474576271</v>
      </c>
      <c r="F862" s="19">
        <f>IF($C862="","",IF($D862="",0,VLOOKUP($C862,'DATA DE TARIFA'!$A$4:$C$68,3,FALSE)))</f>
        <v>4.5</v>
      </c>
      <c r="G862" s="66">
        <v>0.0</v>
      </c>
      <c r="H862" s="19">
        <f t="shared" si="1"/>
        <v>8.474576271</v>
      </c>
      <c r="I862" s="19">
        <f t="shared" si="2"/>
        <v>4.5</v>
      </c>
      <c r="J862" s="67"/>
      <c r="K862" s="44" t="str">
        <f>IF($B862="","",IFERROR(VLOOKUP($B862,Tiendas!$A$4:$B$176,2,FALSE),""))</f>
        <v>SEBASTIAN</v>
      </c>
      <c r="L862" s="68" t="s">
        <v>296</v>
      </c>
      <c r="M862" s="44" t="str">
        <f>IF($B862="","",IFERROR(VLOOKUP($B862,Tiendas!$A$4:$I$176,9,FALSE),""))</f>
        <v>No</v>
      </c>
      <c r="N862" s="71">
        <f t="shared" si="3"/>
        <v>0</v>
      </c>
      <c r="O862" s="71">
        <f t="shared" si="4"/>
        <v>0</v>
      </c>
    </row>
    <row r="863" ht="15.75" customHeight="1">
      <c r="A863" s="17">
        <v>46023.0</v>
      </c>
      <c r="B863" s="44" t="s">
        <v>276</v>
      </c>
      <c r="C863" s="44" t="s">
        <v>26</v>
      </c>
      <c r="D863" s="45" t="s">
        <v>295</v>
      </c>
      <c r="E863" s="19">
        <f>IF($D863&lt;&gt;"Entregado",0,IF($C863="","",VLOOKUP($C863,'DATA DE TARIFA'!$A$4:$C$68,2,FALSE)/1.18))</f>
        <v>10.16949153</v>
      </c>
      <c r="F863" s="19">
        <f>IF($C863="","",IF($D863="",0,VLOOKUP($C863,'DATA DE TARIFA'!$A$4:$C$68,3,FALSE)))</f>
        <v>5</v>
      </c>
      <c r="G863" s="66">
        <v>0.0</v>
      </c>
      <c r="H863" s="19">
        <f t="shared" si="1"/>
        <v>10.16949153</v>
      </c>
      <c r="I863" s="19">
        <f t="shared" si="2"/>
        <v>5</v>
      </c>
      <c r="J863" s="67"/>
      <c r="K863" s="44" t="str">
        <f>IF($B863="","",IFERROR(VLOOKUP($B863,Tiendas!$A$4:$B$176,2,FALSE),""))</f>
        <v>SEBASTIAN</v>
      </c>
      <c r="L863" s="68" t="s">
        <v>296</v>
      </c>
      <c r="M863" s="44" t="str">
        <f>IF($B863="","",IFERROR(VLOOKUP($B863,Tiendas!$A$4:$I$176,9,FALSE),""))</f>
        <v>No</v>
      </c>
      <c r="N863" s="71">
        <f t="shared" si="3"/>
        <v>0</v>
      </c>
      <c r="O863" s="71">
        <f t="shared" si="4"/>
        <v>0</v>
      </c>
    </row>
    <row r="864" ht="15.75" customHeight="1">
      <c r="A864" s="17">
        <v>46023.0</v>
      </c>
      <c r="B864" s="44" t="s">
        <v>276</v>
      </c>
      <c r="C864" s="44" t="s">
        <v>24</v>
      </c>
      <c r="D864" s="45" t="s">
        <v>295</v>
      </c>
      <c r="E864" s="19">
        <f>IF($D864&lt;&gt;"Entregado",0,IF($C864="","",VLOOKUP($C864,'DATA DE TARIFA'!$A$4:$C$68,2,FALSE)/1.18))</f>
        <v>8.474576271</v>
      </c>
      <c r="F864" s="19">
        <f>IF($C864="","",IF($D864="",0,VLOOKUP($C864,'DATA DE TARIFA'!$A$4:$C$68,3,FALSE)))</f>
        <v>4.5</v>
      </c>
      <c r="G864" s="66">
        <v>0.0</v>
      </c>
      <c r="H864" s="19">
        <f t="shared" si="1"/>
        <v>8.474576271</v>
      </c>
      <c r="I864" s="19">
        <f t="shared" si="2"/>
        <v>4.5</v>
      </c>
      <c r="J864" s="67"/>
      <c r="K864" s="44" t="str">
        <f>IF($B864="","",IFERROR(VLOOKUP($B864,Tiendas!$A$4:$B$176,2,FALSE),""))</f>
        <v>SEBASTIAN</v>
      </c>
      <c r="L864" s="68" t="s">
        <v>296</v>
      </c>
      <c r="M864" s="44" t="str">
        <f>IF($B864="","",IFERROR(VLOOKUP($B864,Tiendas!$A$4:$I$176,9,FALSE),""))</f>
        <v>No</v>
      </c>
      <c r="N864" s="71">
        <f t="shared" si="3"/>
        <v>0</v>
      </c>
      <c r="O864" s="71">
        <f t="shared" si="4"/>
        <v>0</v>
      </c>
    </row>
    <row r="865" ht="15.75" customHeight="1">
      <c r="A865" s="17">
        <v>46023.0</v>
      </c>
      <c r="B865" s="44" t="s">
        <v>276</v>
      </c>
      <c r="C865" s="44" t="s">
        <v>51</v>
      </c>
      <c r="D865" s="45" t="s">
        <v>295</v>
      </c>
      <c r="E865" s="19">
        <f>IF($D865&lt;&gt;"Entregado",0,IF($C865="","",VLOOKUP($C865,'DATA DE TARIFA'!$A$4:$C$68,2,FALSE)/1.18))</f>
        <v>10.16949153</v>
      </c>
      <c r="F865" s="19">
        <f>IF($C865="","",IF($D865="",0,VLOOKUP($C865,'DATA DE TARIFA'!$A$4:$C$68,3,FALSE)))</f>
        <v>5.5</v>
      </c>
      <c r="G865" s="66">
        <v>0.0</v>
      </c>
      <c r="H865" s="19">
        <f t="shared" si="1"/>
        <v>10.16949153</v>
      </c>
      <c r="I865" s="19">
        <f t="shared" si="2"/>
        <v>5.5</v>
      </c>
      <c r="J865" s="67"/>
      <c r="K865" s="44" t="str">
        <f>IF($B865="","",IFERROR(VLOOKUP($B865,Tiendas!$A$4:$B$176,2,FALSE),""))</f>
        <v>SEBASTIAN</v>
      </c>
      <c r="L865" s="68" t="s">
        <v>296</v>
      </c>
      <c r="M865" s="44" t="str">
        <f>IF($B865="","",IFERROR(VLOOKUP($B865,Tiendas!$A$4:$I$176,9,FALSE),""))</f>
        <v>No</v>
      </c>
      <c r="N865" s="71">
        <f t="shared" si="3"/>
        <v>0</v>
      </c>
      <c r="O865" s="71">
        <f t="shared" si="4"/>
        <v>0</v>
      </c>
    </row>
    <row r="866" ht="15.75" customHeight="1">
      <c r="A866" s="17">
        <v>46023.0</v>
      </c>
      <c r="B866" s="44" t="s">
        <v>274</v>
      </c>
      <c r="C866" s="44" t="s">
        <v>307</v>
      </c>
      <c r="D866" s="45" t="s">
        <v>295</v>
      </c>
      <c r="E866" s="19">
        <f>IF($D866&lt;&gt;"Entregado",0,IF($C866="","",VLOOKUP($C866,'DATA DE TARIFA'!$A$4:$C$68,2,FALSE)/1.18))</f>
        <v>8.474576271</v>
      </c>
      <c r="F866" s="19">
        <f>IF($C866="","",IF($D866="",0,VLOOKUP($C866,'DATA DE TARIFA'!$A$4:$C$68,3,FALSE)))</f>
        <v>4.5</v>
      </c>
      <c r="G866" s="66">
        <v>0.0</v>
      </c>
      <c r="H866" s="19">
        <f t="shared" si="1"/>
        <v>8.474576271</v>
      </c>
      <c r="I866" s="19">
        <f t="shared" si="2"/>
        <v>4.5</v>
      </c>
      <c r="J866" s="67"/>
      <c r="K866" s="44" t="str">
        <f>IF($B866="","",IFERROR(VLOOKUP($B866,Tiendas!$A$4:$B$176,2,FALSE),""))</f>
        <v>ALEXIS</v>
      </c>
      <c r="L866" s="68" t="s">
        <v>296</v>
      </c>
      <c r="M866" s="44" t="str">
        <f>IF($B866="","",IFERROR(VLOOKUP($B866,Tiendas!$A$4:$I$176,9,FALSE),""))</f>
        <v>No</v>
      </c>
      <c r="N866" s="71">
        <f t="shared" si="3"/>
        <v>0</v>
      </c>
      <c r="O866" s="71">
        <f t="shared" si="4"/>
        <v>0</v>
      </c>
    </row>
    <row r="867" ht="15.75" customHeight="1">
      <c r="A867" s="17">
        <v>46023.0</v>
      </c>
      <c r="B867" s="44" t="s">
        <v>274</v>
      </c>
      <c r="C867" s="44" t="s">
        <v>46</v>
      </c>
      <c r="D867" s="45" t="s">
        <v>295</v>
      </c>
      <c r="E867" s="19">
        <f>IF($D867&lt;&gt;"Entregado",0,IF($C867="","",VLOOKUP($C867,'DATA DE TARIFA'!$A$4:$C$68,2,FALSE)/1.18))</f>
        <v>10.16949153</v>
      </c>
      <c r="F867" s="19">
        <f>IF($C867="","",IF($D867="",0,VLOOKUP($C867,'DATA DE TARIFA'!$A$4:$C$68,3,FALSE)))</f>
        <v>4.5</v>
      </c>
      <c r="G867" s="66">
        <v>3.0</v>
      </c>
      <c r="H867" s="19">
        <f t="shared" si="1"/>
        <v>10.16949153</v>
      </c>
      <c r="I867" s="19">
        <f t="shared" si="2"/>
        <v>7.5</v>
      </c>
      <c r="J867" s="67"/>
      <c r="K867" s="44" t="str">
        <f>IF($B867="","",IFERROR(VLOOKUP($B867,Tiendas!$A$4:$B$176,2,FALSE),""))</f>
        <v>ALEXIS</v>
      </c>
      <c r="L867" s="68" t="s">
        <v>296</v>
      </c>
      <c r="M867" s="44" t="str">
        <f>IF($B867="","",IFERROR(VLOOKUP($B867,Tiendas!$A$4:$I$176,9,FALSE),""))</f>
        <v>No</v>
      </c>
      <c r="N867" s="71">
        <f t="shared" si="3"/>
        <v>0</v>
      </c>
      <c r="O867" s="71">
        <f t="shared" si="4"/>
        <v>0</v>
      </c>
    </row>
    <row r="868" ht="15.75" customHeight="1">
      <c r="A868" s="17">
        <v>46023.0</v>
      </c>
      <c r="B868" s="44" t="s">
        <v>274</v>
      </c>
      <c r="C868" s="44" t="s">
        <v>24</v>
      </c>
      <c r="D868" s="45" t="s">
        <v>295</v>
      </c>
      <c r="E868" s="19">
        <f>IF($D868&lt;&gt;"Entregado",0,IF($C868="","",VLOOKUP($C868,'DATA DE TARIFA'!$A$4:$C$68,2,FALSE)/1.18))</f>
        <v>8.474576271</v>
      </c>
      <c r="F868" s="19">
        <f>IF($C868="","",IF($D868="",0,VLOOKUP($C868,'DATA DE TARIFA'!$A$4:$C$68,3,FALSE)))</f>
        <v>4.5</v>
      </c>
      <c r="G868" s="66">
        <v>1.0</v>
      </c>
      <c r="H868" s="19">
        <f t="shared" si="1"/>
        <v>8.474576271</v>
      </c>
      <c r="I868" s="19">
        <f t="shared" si="2"/>
        <v>5.5</v>
      </c>
      <c r="J868" s="67"/>
      <c r="K868" s="44" t="str">
        <f>IF($B868="","",IFERROR(VLOOKUP($B868,Tiendas!$A$4:$B$176,2,FALSE),""))</f>
        <v>ALEXIS</v>
      </c>
      <c r="L868" s="68" t="s">
        <v>296</v>
      </c>
      <c r="M868" s="44" t="str">
        <f>IF($B868="","",IFERROR(VLOOKUP($B868,Tiendas!$A$4:$I$176,9,FALSE),""))</f>
        <v>No</v>
      </c>
      <c r="N868" s="71">
        <f t="shared" si="3"/>
        <v>0</v>
      </c>
      <c r="O868" s="71">
        <f t="shared" si="4"/>
        <v>0</v>
      </c>
    </row>
    <row r="869" ht="15.75" customHeight="1">
      <c r="A869" s="17">
        <v>46023.0</v>
      </c>
      <c r="B869" s="44" t="s">
        <v>274</v>
      </c>
      <c r="C869" s="44" t="s">
        <v>67</v>
      </c>
      <c r="D869" s="45" t="s">
        <v>295</v>
      </c>
      <c r="E869" s="19">
        <f>IF($D869&lt;&gt;"Entregado",0,IF($C869="","",VLOOKUP($C869,'DATA DE TARIFA'!$A$4:$C$68,2,FALSE)/1.18))</f>
        <v>10.16949153</v>
      </c>
      <c r="F869" s="19">
        <f>IF($C869="","",IF($D869="",0,VLOOKUP($C869,'DATA DE TARIFA'!$A$4:$C$68,3,FALSE)))</f>
        <v>5.5</v>
      </c>
      <c r="G869" s="66">
        <v>1.0</v>
      </c>
      <c r="H869" s="19">
        <f t="shared" si="1"/>
        <v>10.16949153</v>
      </c>
      <c r="I869" s="19">
        <f t="shared" si="2"/>
        <v>6.5</v>
      </c>
      <c r="J869" s="67"/>
      <c r="K869" s="44" t="str">
        <f>IF($B869="","",IFERROR(VLOOKUP($B869,Tiendas!$A$4:$B$176,2,FALSE),""))</f>
        <v>ALEXIS</v>
      </c>
      <c r="L869" s="68" t="s">
        <v>296</v>
      </c>
      <c r="M869" s="44" t="str">
        <f>IF($B869="","",IFERROR(VLOOKUP($B869,Tiendas!$A$4:$I$176,9,FALSE),""))</f>
        <v>No</v>
      </c>
      <c r="N869" s="71">
        <f t="shared" si="3"/>
        <v>0</v>
      </c>
      <c r="O869" s="71">
        <f t="shared" si="4"/>
        <v>0</v>
      </c>
    </row>
    <row r="870" ht="15.75" customHeight="1">
      <c r="A870" s="17">
        <v>46023.0</v>
      </c>
      <c r="B870" s="44" t="s">
        <v>274</v>
      </c>
      <c r="C870" s="44" t="s">
        <v>70</v>
      </c>
      <c r="D870" s="45" t="s">
        <v>295</v>
      </c>
      <c r="E870" s="19">
        <f>IF($D870&lt;&gt;"Entregado",0,IF($C870="","",VLOOKUP($C870,'DATA DE TARIFA'!$A$4:$C$68,2,FALSE)/1.18))</f>
        <v>8.474576271</v>
      </c>
      <c r="F870" s="19">
        <f>IF($C870="","",IF($D870="",0,VLOOKUP($C870,'DATA DE TARIFA'!$A$4:$C$68,3,FALSE)))</f>
        <v>4</v>
      </c>
      <c r="G870" s="66">
        <v>0.0</v>
      </c>
      <c r="H870" s="19">
        <f t="shared" si="1"/>
        <v>8.474576271</v>
      </c>
      <c r="I870" s="19">
        <f t="shared" si="2"/>
        <v>4</v>
      </c>
      <c r="J870" s="67"/>
      <c r="K870" s="44" t="str">
        <f>IF($B870="","",IFERROR(VLOOKUP($B870,Tiendas!$A$4:$B$176,2,FALSE),""))</f>
        <v>ALEXIS</v>
      </c>
      <c r="L870" s="68" t="s">
        <v>296</v>
      </c>
      <c r="M870" s="44" t="str">
        <f>IF($B870="","",IFERROR(VLOOKUP($B870,Tiendas!$A$4:$I$176,9,FALSE),""))</f>
        <v>No</v>
      </c>
      <c r="N870" s="71">
        <f t="shared" si="3"/>
        <v>0</v>
      </c>
      <c r="O870" s="71">
        <f t="shared" si="4"/>
        <v>0</v>
      </c>
    </row>
    <row r="871" ht="15.75" customHeight="1">
      <c r="A871" s="17">
        <v>46023.0</v>
      </c>
      <c r="B871" s="44" t="s">
        <v>274</v>
      </c>
      <c r="C871" s="44" t="s">
        <v>70</v>
      </c>
      <c r="D871" s="45" t="s">
        <v>295</v>
      </c>
      <c r="E871" s="19">
        <f>IF($D871&lt;&gt;"Entregado",0,IF($C871="","",VLOOKUP($C871,'DATA DE TARIFA'!$A$4:$C$68,2,FALSE)/1.18))</f>
        <v>8.474576271</v>
      </c>
      <c r="F871" s="19">
        <f>IF($C871="","",IF($D871="",0,VLOOKUP($C871,'DATA DE TARIFA'!$A$4:$C$68,3,FALSE)))</f>
        <v>4</v>
      </c>
      <c r="G871" s="66">
        <v>0.0</v>
      </c>
      <c r="H871" s="19">
        <f t="shared" si="1"/>
        <v>8.474576271</v>
      </c>
      <c r="I871" s="19">
        <f t="shared" si="2"/>
        <v>4</v>
      </c>
      <c r="J871" s="67"/>
      <c r="K871" s="44" t="str">
        <f>IF($B871="","",IFERROR(VLOOKUP($B871,Tiendas!$A$4:$B$176,2,FALSE),""))</f>
        <v>ALEXIS</v>
      </c>
      <c r="L871" s="68" t="s">
        <v>296</v>
      </c>
      <c r="M871" s="44" t="str">
        <f>IF($B871="","",IFERROR(VLOOKUP($B871,Tiendas!$A$4:$I$176,9,FALSE),""))</f>
        <v>No</v>
      </c>
      <c r="N871" s="71">
        <f t="shared" si="3"/>
        <v>0</v>
      </c>
      <c r="O871" s="71">
        <f t="shared" si="4"/>
        <v>0</v>
      </c>
    </row>
    <row r="872" ht="15.75" customHeight="1">
      <c r="A872" s="17">
        <v>46023.0</v>
      </c>
      <c r="B872" s="44" t="s">
        <v>274</v>
      </c>
      <c r="C872" s="44" t="s">
        <v>65</v>
      </c>
      <c r="D872" s="45" t="s">
        <v>295</v>
      </c>
      <c r="E872" s="19">
        <f>IF($D872&lt;&gt;"Entregado",0,IF($C872="","",VLOOKUP($C872,'DATA DE TARIFA'!$A$4:$C$68,2,FALSE)/1.18))</f>
        <v>10.16949153</v>
      </c>
      <c r="F872" s="19">
        <f>IF($C872="","",IF($D872="",0,VLOOKUP($C872,'DATA DE TARIFA'!$A$4:$C$68,3,FALSE)))</f>
        <v>4.5</v>
      </c>
      <c r="G872" s="66">
        <v>0.0</v>
      </c>
      <c r="H872" s="19">
        <f t="shared" si="1"/>
        <v>10.16949153</v>
      </c>
      <c r="I872" s="19">
        <f t="shared" si="2"/>
        <v>4.5</v>
      </c>
      <c r="J872" s="67"/>
      <c r="K872" s="44" t="str">
        <f>IF($B872="","",IFERROR(VLOOKUP($B872,Tiendas!$A$4:$B$176,2,FALSE),""))</f>
        <v>ALEXIS</v>
      </c>
      <c r="L872" s="68" t="s">
        <v>296</v>
      </c>
      <c r="M872" s="44" t="str">
        <f>IF($B872="","",IFERROR(VLOOKUP($B872,Tiendas!$A$4:$I$176,9,FALSE),""))</f>
        <v>No</v>
      </c>
      <c r="N872" s="71">
        <f t="shared" si="3"/>
        <v>0</v>
      </c>
      <c r="O872" s="71">
        <f t="shared" si="4"/>
        <v>0</v>
      </c>
    </row>
    <row r="873" ht="15.75" customHeight="1">
      <c r="A873" s="17">
        <v>46023.0</v>
      </c>
      <c r="B873" s="44" t="s">
        <v>274</v>
      </c>
      <c r="C873" s="44" t="s">
        <v>57</v>
      </c>
      <c r="D873" s="45" t="s">
        <v>295</v>
      </c>
      <c r="E873" s="19">
        <f>IF($D873&lt;&gt;"Entregado",0,IF($C873="","",VLOOKUP($C873,'DATA DE TARIFA'!$A$4:$C$68,2,FALSE)/1.18))</f>
        <v>8.474576271</v>
      </c>
      <c r="F873" s="19">
        <f>IF($C873="","",IF($D873="",0,VLOOKUP($C873,'DATA DE TARIFA'!$A$4:$C$68,3,FALSE)))</f>
        <v>4.5</v>
      </c>
      <c r="G873" s="66">
        <v>0.0</v>
      </c>
      <c r="H873" s="19">
        <f t="shared" si="1"/>
        <v>8.474576271</v>
      </c>
      <c r="I873" s="19">
        <f t="shared" si="2"/>
        <v>4.5</v>
      </c>
      <c r="J873" s="67"/>
      <c r="K873" s="44" t="str">
        <f>IF($B873="","",IFERROR(VLOOKUP($B873,Tiendas!$A$4:$B$176,2,FALSE),""))</f>
        <v>ALEXIS</v>
      </c>
      <c r="L873" s="68" t="s">
        <v>296</v>
      </c>
      <c r="M873" s="44" t="str">
        <f>IF($B873="","",IFERROR(VLOOKUP($B873,Tiendas!$A$4:$I$176,9,FALSE),""))</f>
        <v>No</v>
      </c>
      <c r="N873" s="71">
        <f t="shared" si="3"/>
        <v>0</v>
      </c>
      <c r="O873" s="71">
        <f t="shared" si="4"/>
        <v>0</v>
      </c>
    </row>
    <row r="874" ht="15.75" customHeight="1">
      <c r="A874" s="17">
        <v>46023.0</v>
      </c>
      <c r="B874" s="44" t="s">
        <v>274</v>
      </c>
      <c r="C874" s="44" t="s">
        <v>67</v>
      </c>
      <c r="D874" s="45" t="s">
        <v>295</v>
      </c>
      <c r="E874" s="19">
        <f>IF($D874&lt;&gt;"Entregado",0,IF($C874="","",VLOOKUP($C874,'DATA DE TARIFA'!$A$4:$C$68,2,FALSE)/1.18))</f>
        <v>10.16949153</v>
      </c>
      <c r="F874" s="19">
        <f>IF($C874="","",IF($D874="",0,VLOOKUP($C874,'DATA DE TARIFA'!$A$4:$C$68,3,FALSE)))</f>
        <v>5.5</v>
      </c>
      <c r="G874" s="66">
        <v>2.0</v>
      </c>
      <c r="H874" s="19">
        <f t="shared" si="1"/>
        <v>10.16949153</v>
      </c>
      <c r="I874" s="19">
        <f t="shared" si="2"/>
        <v>7.5</v>
      </c>
      <c r="J874" s="67"/>
      <c r="K874" s="44" t="str">
        <f>IF($B874="","",IFERROR(VLOOKUP($B874,Tiendas!$A$4:$B$176,2,FALSE),""))</f>
        <v>ALEXIS</v>
      </c>
      <c r="L874" s="68" t="s">
        <v>296</v>
      </c>
      <c r="M874" s="44" t="str">
        <f>IF($B874="","",IFERROR(VLOOKUP($B874,Tiendas!$A$4:$I$176,9,FALSE),""))</f>
        <v>No</v>
      </c>
      <c r="N874" s="71">
        <f t="shared" si="3"/>
        <v>0</v>
      </c>
      <c r="O874" s="71">
        <f t="shared" si="4"/>
        <v>0</v>
      </c>
    </row>
    <row r="875" ht="15.75" customHeight="1">
      <c r="A875" s="17">
        <v>46023.0</v>
      </c>
      <c r="B875" s="44" t="s">
        <v>274</v>
      </c>
      <c r="C875" s="44" t="s">
        <v>67</v>
      </c>
      <c r="D875" s="45" t="s">
        <v>295</v>
      </c>
      <c r="E875" s="19">
        <f>IF($D875&lt;&gt;"Entregado",0,IF($C875="","",VLOOKUP($C875,'DATA DE TARIFA'!$A$4:$C$68,2,FALSE)/1.18))</f>
        <v>10.16949153</v>
      </c>
      <c r="F875" s="19">
        <f>IF($C875="","",IF($D875="",0,VLOOKUP($C875,'DATA DE TARIFA'!$A$4:$C$68,3,FALSE)))</f>
        <v>5.5</v>
      </c>
      <c r="G875" s="66">
        <v>0.0</v>
      </c>
      <c r="H875" s="19">
        <f t="shared" si="1"/>
        <v>10.16949153</v>
      </c>
      <c r="I875" s="19">
        <f t="shared" si="2"/>
        <v>5.5</v>
      </c>
      <c r="J875" s="67"/>
      <c r="K875" s="44" t="str">
        <f>IF($B875="","",IFERROR(VLOOKUP($B875,Tiendas!$A$4:$B$176,2,FALSE),""))</f>
        <v>ALEXIS</v>
      </c>
      <c r="L875" s="68" t="s">
        <v>296</v>
      </c>
      <c r="M875" s="44" t="str">
        <f>IF($B875="","",IFERROR(VLOOKUP($B875,Tiendas!$A$4:$I$176,9,FALSE),""))</f>
        <v>No</v>
      </c>
      <c r="N875" s="71">
        <f t="shared" si="3"/>
        <v>0</v>
      </c>
      <c r="O875" s="71">
        <f t="shared" si="4"/>
        <v>0</v>
      </c>
    </row>
    <row r="876" ht="15.75" customHeight="1">
      <c r="A876" s="17">
        <v>46023.0</v>
      </c>
      <c r="B876" s="44" t="s">
        <v>274</v>
      </c>
      <c r="C876" s="44" t="s">
        <v>211</v>
      </c>
      <c r="D876" s="45" t="s">
        <v>295</v>
      </c>
      <c r="E876" s="19">
        <f>IF($D876&lt;&gt;"Entregado",0,IF($C876="","",VLOOKUP($C876,'DATA DE TARIFA'!$A$4:$C$68,2,FALSE)/1.18))</f>
        <v>6.779661017</v>
      </c>
      <c r="F876" s="19">
        <f>IF($C876="","",IF($D876="",0,VLOOKUP($C876,'DATA DE TARIFA'!$A$4:$C$68,3,FALSE)))</f>
        <v>4</v>
      </c>
      <c r="G876" s="66">
        <v>0.0</v>
      </c>
      <c r="H876" s="19">
        <f t="shared" si="1"/>
        <v>6.779661017</v>
      </c>
      <c r="I876" s="19">
        <f t="shared" si="2"/>
        <v>4</v>
      </c>
      <c r="J876" s="67"/>
      <c r="K876" s="44" t="str">
        <f>IF($B876="","",IFERROR(VLOOKUP($B876,Tiendas!$A$4:$B$176,2,FALSE),""))</f>
        <v>ALEXIS</v>
      </c>
      <c r="L876" s="68" t="s">
        <v>296</v>
      </c>
      <c r="M876" s="44" t="str">
        <f>IF($B876="","",IFERROR(VLOOKUP($B876,Tiendas!$A$4:$I$176,9,FALSE),""))</f>
        <v>No</v>
      </c>
      <c r="N876" s="71">
        <f t="shared" si="3"/>
        <v>0</v>
      </c>
      <c r="O876" s="71">
        <f t="shared" si="4"/>
        <v>0</v>
      </c>
    </row>
    <row r="877" ht="15.75" customHeight="1">
      <c r="A877" s="17">
        <v>46023.0</v>
      </c>
      <c r="B877" s="44" t="s">
        <v>274</v>
      </c>
      <c r="C877" s="44" t="s">
        <v>60</v>
      </c>
      <c r="D877" s="45" t="s">
        <v>295</v>
      </c>
      <c r="E877" s="19">
        <f>IF($D877&lt;&gt;"Entregado",0,IF($C877="","",VLOOKUP($C877,'DATA DE TARIFA'!$A$4:$C$68,2,FALSE)/1.18))</f>
        <v>8.474576271</v>
      </c>
      <c r="F877" s="19">
        <f>IF($C877="","",IF($D877="",0,VLOOKUP($C877,'DATA DE TARIFA'!$A$4:$C$68,3,FALSE)))</f>
        <v>4</v>
      </c>
      <c r="G877" s="66">
        <v>0.0</v>
      </c>
      <c r="H877" s="19">
        <f t="shared" si="1"/>
        <v>8.474576271</v>
      </c>
      <c r="I877" s="19">
        <f t="shared" si="2"/>
        <v>4</v>
      </c>
      <c r="J877" s="67"/>
      <c r="K877" s="44" t="str">
        <f>IF($B877="","",IFERROR(VLOOKUP($B877,Tiendas!$A$4:$B$176,2,FALSE),""))</f>
        <v>ALEXIS</v>
      </c>
      <c r="L877" s="68" t="s">
        <v>296</v>
      </c>
      <c r="M877" s="44" t="str">
        <f>IF($B877="","",IFERROR(VLOOKUP($B877,Tiendas!$A$4:$I$176,9,FALSE),""))</f>
        <v>No</v>
      </c>
      <c r="N877" s="71">
        <f t="shared" si="3"/>
        <v>0</v>
      </c>
      <c r="O877" s="71">
        <f t="shared" si="4"/>
        <v>0</v>
      </c>
    </row>
    <row r="878" ht="15.75" customHeight="1">
      <c r="A878" s="17">
        <v>46023.0</v>
      </c>
      <c r="B878" s="44" t="s">
        <v>234</v>
      </c>
      <c r="C878" s="44" t="s">
        <v>42</v>
      </c>
      <c r="D878" s="45" t="s">
        <v>295</v>
      </c>
      <c r="E878" s="19">
        <f>IF($D878&lt;&gt;"Entregado",0,IF($C878="","",VLOOKUP($C878,'DATA DE TARIFA'!$A$4:$C$68,2,FALSE)/1.18))</f>
        <v>8.474576271</v>
      </c>
      <c r="F878" s="19">
        <f>IF($C878="","",IF($D878="",0,VLOOKUP($C878,'DATA DE TARIFA'!$A$4:$C$68,3,FALSE)))</f>
        <v>4</v>
      </c>
      <c r="G878" s="66">
        <v>0.0</v>
      </c>
      <c r="H878" s="19">
        <f t="shared" si="1"/>
        <v>8.474576271</v>
      </c>
      <c r="I878" s="19">
        <f t="shared" si="2"/>
        <v>4</v>
      </c>
      <c r="J878" s="67"/>
      <c r="K878" s="44" t="str">
        <f>IF($B878="","",IFERROR(VLOOKUP($B878,Tiendas!$A$4:$B$176,2,FALSE),""))</f>
        <v>CHRISTIAN</v>
      </c>
      <c r="L878" s="68" t="s">
        <v>296</v>
      </c>
      <c r="M878" s="44" t="str">
        <f>IF($B878="","",IFERROR(VLOOKUP($B878,Tiendas!$A$4:$I$176,9,FALSE),""))</f>
        <v>No</v>
      </c>
      <c r="N878" s="71">
        <f t="shared" si="3"/>
        <v>0</v>
      </c>
      <c r="O878" s="71">
        <f t="shared" si="4"/>
        <v>0</v>
      </c>
    </row>
    <row r="879" ht="15.75" customHeight="1">
      <c r="A879" s="17">
        <v>46023.0</v>
      </c>
      <c r="B879" s="44" t="s">
        <v>234</v>
      </c>
      <c r="C879" s="44" t="s">
        <v>58</v>
      </c>
      <c r="D879" s="45" t="s">
        <v>295</v>
      </c>
      <c r="E879" s="19">
        <f>IF($D879&lt;&gt;"Entregado",0,IF($C879="","",VLOOKUP($C879,'DATA DE TARIFA'!$A$4:$C$68,2,FALSE)/1.18))</f>
        <v>8.474576271</v>
      </c>
      <c r="F879" s="19">
        <f>IF($C879="","",IF($D879="",0,VLOOKUP($C879,'DATA DE TARIFA'!$A$4:$C$68,3,FALSE)))</f>
        <v>4</v>
      </c>
      <c r="G879" s="66">
        <v>0.0</v>
      </c>
      <c r="H879" s="19">
        <f t="shared" si="1"/>
        <v>8.474576271</v>
      </c>
      <c r="I879" s="19">
        <f t="shared" si="2"/>
        <v>4</v>
      </c>
      <c r="J879" s="67"/>
      <c r="K879" s="44" t="str">
        <f>IF($B879="","",IFERROR(VLOOKUP($B879,Tiendas!$A$4:$B$176,2,FALSE),""))</f>
        <v>CHRISTIAN</v>
      </c>
      <c r="L879" s="68" t="s">
        <v>296</v>
      </c>
      <c r="M879" s="44" t="str">
        <f>IF($B879="","",IFERROR(VLOOKUP($B879,Tiendas!$A$4:$I$176,9,FALSE),""))</f>
        <v>No</v>
      </c>
      <c r="N879" s="71">
        <f t="shared" si="3"/>
        <v>0</v>
      </c>
      <c r="O879" s="71">
        <f t="shared" si="4"/>
        <v>0</v>
      </c>
    </row>
    <row r="880" ht="15.75" customHeight="1">
      <c r="A880" s="17">
        <v>46023.0</v>
      </c>
      <c r="B880" s="44" t="s">
        <v>259</v>
      </c>
      <c r="C880" s="44" t="s">
        <v>15</v>
      </c>
      <c r="D880" s="45" t="s">
        <v>295</v>
      </c>
      <c r="E880" s="19">
        <f>IF($D880&lt;&gt;"Entregado",0,IF($C880="","",VLOOKUP($C880,'DATA DE TARIFA'!$A$4:$C$68,2,FALSE)/1.18))</f>
        <v>8.474576271</v>
      </c>
      <c r="F880" s="19">
        <f>IF($C880="","",IF($D880="",0,VLOOKUP($C880,'DATA DE TARIFA'!$A$4:$C$68,3,FALSE)))</f>
        <v>4.5</v>
      </c>
      <c r="G880" s="66">
        <v>0.0</v>
      </c>
      <c r="H880" s="19">
        <f t="shared" si="1"/>
        <v>8.474576271</v>
      </c>
      <c r="I880" s="19">
        <f t="shared" si="2"/>
        <v>4.5</v>
      </c>
      <c r="J880" s="67"/>
      <c r="K880" s="44" t="str">
        <f>IF($B880="","",IFERROR(VLOOKUP($B880,Tiendas!$A$4:$B$176,2,FALSE),""))</f>
        <v>SANDRA</v>
      </c>
      <c r="L880" s="68" t="s">
        <v>296</v>
      </c>
      <c r="M880" s="44" t="str">
        <f>IF($B880="","",IFERROR(VLOOKUP($B880,Tiendas!$A$4:$I$176,9,FALSE),""))</f>
        <v>Si</v>
      </c>
      <c r="N880" s="71">
        <f t="shared" si="3"/>
        <v>0</v>
      </c>
      <c r="O880" s="71">
        <f t="shared" si="4"/>
        <v>0</v>
      </c>
    </row>
    <row r="881" ht="15.75" customHeight="1">
      <c r="A881" s="17">
        <v>46023.0</v>
      </c>
      <c r="B881" s="44" t="s">
        <v>259</v>
      </c>
      <c r="C881" s="44" t="s">
        <v>15</v>
      </c>
      <c r="D881" s="45" t="s">
        <v>295</v>
      </c>
      <c r="E881" s="19">
        <f>IF($D881&lt;&gt;"Entregado",0,IF($C881="","",VLOOKUP($C881,'DATA DE TARIFA'!$A$4:$C$68,2,FALSE)/1.18))</f>
        <v>8.474576271</v>
      </c>
      <c r="F881" s="19">
        <f>IF($C881="","",IF($D881="",0,VLOOKUP($C881,'DATA DE TARIFA'!$A$4:$C$68,3,FALSE)))</f>
        <v>4.5</v>
      </c>
      <c r="G881" s="66">
        <v>0.0</v>
      </c>
      <c r="H881" s="19">
        <f t="shared" si="1"/>
        <v>8.474576271</v>
      </c>
      <c r="I881" s="19">
        <f t="shared" si="2"/>
        <v>4.5</v>
      </c>
      <c r="J881" s="67"/>
      <c r="K881" s="44" t="str">
        <f>IF($B881="","",IFERROR(VLOOKUP($B881,Tiendas!$A$4:$B$176,2,FALSE),""))</f>
        <v>SANDRA</v>
      </c>
      <c r="L881" s="68" t="s">
        <v>296</v>
      </c>
      <c r="M881" s="44" t="str">
        <f>IF($B881="","",IFERROR(VLOOKUP($B881,Tiendas!$A$4:$I$176,9,FALSE),""))</f>
        <v>Si</v>
      </c>
      <c r="N881" s="71">
        <f t="shared" si="3"/>
        <v>0</v>
      </c>
      <c r="O881" s="71">
        <f t="shared" si="4"/>
        <v>0</v>
      </c>
    </row>
    <row r="882" ht="15.75" customHeight="1">
      <c r="A882" s="17">
        <v>46023.0</v>
      </c>
      <c r="B882" s="44" t="s">
        <v>259</v>
      </c>
      <c r="C882" s="44" t="s">
        <v>63</v>
      </c>
      <c r="D882" s="45" t="s">
        <v>295</v>
      </c>
      <c r="E882" s="19">
        <f>IF($D882&lt;&gt;"Entregado",0,IF($C882="","",VLOOKUP($C882,'DATA DE TARIFA'!$A$4:$C$68,2,FALSE)/1.18))</f>
        <v>8.474576271</v>
      </c>
      <c r="F882" s="19">
        <f>IF($C882="","",IF($D882="",0,VLOOKUP($C882,'DATA DE TARIFA'!$A$4:$C$68,3,FALSE)))</f>
        <v>4</v>
      </c>
      <c r="G882" s="66">
        <v>0.0</v>
      </c>
      <c r="H882" s="19">
        <f t="shared" si="1"/>
        <v>8.474576271</v>
      </c>
      <c r="I882" s="19">
        <f t="shared" si="2"/>
        <v>4</v>
      </c>
      <c r="J882" s="67"/>
      <c r="K882" s="44" t="str">
        <f>IF($B882="","",IFERROR(VLOOKUP($B882,Tiendas!$A$4:$B$176,2,FALSE),""))</f>
        <v>SANDRA</v>
      </c>
      <c r="L882" s="68" t="s">
        <v>296</v>
      </c>
      <c r="M882" s="44" t="str">
        <f>IF($B882="","",IFERROR(VLOOKUP($B882,Tiendas!$A$4:$I$176,9,FALSE),""))</f>
        <v>Si</v>
      </c>
      <c r="N882" s="71">
        <f t="shared" si="3"/>
        <v>0</v>
      </c>
      <c r="O882" s="71">
        <f t="shared" si="4"/>
        <v>0</v>
      </c>
    </row>
    <row r="883" ht="15.75" customHeight="1">
      <c r="A883" s="17">
        <v>46023.0</v>
      </c>
      <c r="B883" s="44" t="s">
        <v>259</v>
      </c>
      <c r="C883" s="44" t="s">
        <v>42</v>
      </c>
      <c r="D883" s="45" t="s">
        <v>295</v>
      </c>
      <c r="E883" s="19">
        <f>IF($D883&lt;&gt;"Entregado",0,IF($C883="","",VLOOKUP($C883,'DATA DE TARIFA'!$A$4:$C$68,2,FALSE)/1.18))</f>
        <v>8.474576271</v>
      </c>
      <c r="F883" s="19">
        <f>IF($C883="","",IF($D883="",0,VLOOKUP($C883,'DATA DE TARIFA'!$A$4:$C$68,3,FALSE)))</f>
        <v>4</v>
      </c>
      <c r="G883" s="66">
        <v>0.0</v>
      </c>
      <c r="H883" s="19">
        <f t="shared" si="1"/>
        <v>8.474576271</v>
      </c>
      <c r="I883" s="19">
        <f t="shared" si="2"/>
        <v>4</v>
      </c>
      <c r="J883" s="67"/>
      <c r="K883" s="44" t="str">
        <f>IF($B883="","",IFERROR(VLOOKUP($B883,Tiendas!$A$4:$B$176,2,FALSE),""))</f>
        <v>SANDRA</v>
      </c>
      <c r="L883" s="68" t="s">
        <v>296</v>
      </c>
      <c r="M883" s="44" t="str">
        <f>IF($B883="","",IFERROR(VLOOKUP($B883,Tiendas!$A$4:$I$176,9,FALSE),""))</f>
        <v>Si</v>
      </c>
      <c r="N883" s="71">
        <f t="shared" si="3"/>
        <v>0</v>
      </c>
      <c r="O883" s="71">
        <f t="shared" si="4"/>
        <v>0</v>
      </c>
    </row>
    <row r="884" ht="15.75" customHeight="1">
      <c r="A884" s="17">
        <v>46023.0</v>
      </c>
      <c r="B884" s="44" t="s">
        <v>259</v>
      </c>
      <c r="C884" s="44" t="s">
        <v>32</v>
      </c>
      <c r="D884" s="45" t="s">
        <v>295</v>
      </c>
      <c r="E884" s="19">
        <f>IF($D884&lt;&gt;"Entregado",0,IF($C884="","",VLOOKUP($C884,'DATA DE TARIFA'!$A$4:$C$68,2,FALSE)/1.18))</f>
        <v>8.474576271</v>
      </c>
      <c r="F884" s="19">
        <f>IF($C884="","",IF($D884="",0,VLOOKUP($C884,'DATA DE TARIFA'!$A$4:$C$68,3,FALSE)))</f>
        <v>4.5</v>
      </c>
      <c r="G884" s="66">
        <v>0.0</v>
      </c>
      <c r="H884" s="19">
        <f t="shared" si="1"/>
        <v>8.474576271</v>
      </c>
      <c r="I884" s="19">
        <f t="shared" si="2"/>
        <v>4.5</v>
      </c>
      <c r="J884" s="67"/>
      <c r="K884" s="44" t="str">
        <f>IF($B884="","",IFERROR(VLOOKUP($B884,Tiendas!$A$4:$B$176,2,FALSE),""))</f>
        <v>SANDRA</v>
      </c>
      <c r="L884" s="68" t="s">
        <v>296</v>
      </c>
      <c r="M884" s="44" t="str">
        <f>IF($B884="","",IFERROR(VLOOKUP($B884,Tiendas!$A$4:$I$176,9,FALSE),""))</f>
        <v>Si</v>
      </c>
      <c r="N884" s="71">
        <f t="shared" si="3"/>
        <v>0</v>
      </c>
      <c r="O884" s="71">
        <f t="shared" si="4"/>
        <v>0</v>
      </c>
    </row>
    <row r="885" ht="15.75" customHeight="1">
      <c r="A885" s="17">
        <v>46023.0</v>
      </c>
      <c r="B885" s="44" t="s">
        <v>259</v>
      </c>
      <c r="C885" s="44" t="s">
        <v>57</v>
      </c>
      <c r="D885" s="45" t="s">
        <v>295</v>
      </c>
      <c r="E885" s="19">
        <f>IF($D885&lt;&gt;"Entregado",0,IF($C885="","",VLOOKUP($C885,'DATA DE TARIFA'!$A$4:$C$68,2,FALSE)/1.18))</f>
        <v>8.474576271</v>
      </c>
      <c r="F885" s="19">
        <f>IF($C885="","",IF($D885="",0,VLOOKUP($C885,'DATA DE TARIFA'!$A$4:$C$68,3,FALSE)))</f>
        <v>4.5</v>
      </c>
      <c r="G885" s="66">
        <v>6.0</v>
      </c>
      <c r="H885" s="19">
        <f t="shared" si="1"/>
        <v>8.474576271</v>
      </c>
      <c r="I885" s="19">
        <f t="shared" si="2"/>
        <v>10.5</v>
      </c>
      <c r="J885" s="67"/>
      <c r="K885" s="44" t="str">
        <f>IF($B885="","",IFERROR(VLOOKUP($B885,Tiendas!$A$4:$B$176,2,FALSE),""))</f>
        <v>SANDRA</v>
      </c>
      <c r="L885" s="68" t="s">
        <v>296</v>
      </c>
      <c r="M885" s="44" t="str">
        <f>IF($B885="","",IFERROR(VLOOKUP($B885,Tiendas!$A$4:$I$176,9,FALSE),""))</f>
        <v>Si</v>
      </c>
      <c r="N885" s="71">
        <f t="shared" si="3"/>
        <v>0</v>
      </c>
      <c r="O885" s="71">
        <f t="shared" si="4"/>
        <v>0</v>
      </c>
    </row>
    <row r="886" ht="15.75" customHeight="1">
      <c r="A886" s="17">
        <v>46023.0</v>
      </c>
      <c r="B886" s="44" t="s">
        <v>259</v>
      </c>
      <c r="C886" s="44" t="s">
        <v>38</v>
      </c>
      <c r="D886" s="45" t="s">
        <v>295</v>
      </c>
      <c r="E886" s="19">
        <f>IF($D886&lt;&gt;"Entregado",0,IF($C886="","",VLOOKUP($C886,'DATA DE TARIFA'!$A$4:$C$68,2,FALSE)/1.18))</f>
        <v>8.474576271</v>
      </c>
      <c r="F886" s="19">
        <f>IF($C886="","",IF($D886="",0,VLOOKUP($C886,'DATA DE TARIFA'!$A$4:$C$68,3,FALSE)))</f>
        <v>4</v>
      </c>
      <c r="G886" s="66">
        <v>0.0</v>
      </c>
      <c r="H886" s="19">
        <f t="shared" si="1"/>
        <v>8.474576271</v>
      </c>
      <c r="I886" s="19">
        <f t="shared" si="2"/>
        <v>4</v>
      </c>
      <c r="J886" s="67"/>
      <c r="K886" s="44" t="str">
        <f>IF($B886="","",IFERROR(VLOOKUP($B886,Tiendas!$A$4:$B$176,2,FALSE),""))</f>
        <v>SANDRA</v>
      </c>
      <c r="L886" s="68" t="s">
        <v>296</v>
      </c>
      <c r="M886" s="44" t="str">
        <f>IF($B886="","",IFERROR(VLOOKUP($B886,Tiendas!$A$4:$I$176,9,FALSE),""))</f>
        <v>Si</v>
      </c>
      <c r="N886" s="71">
        <f t="shared" si="3"/>
        <v>0</v>
      </c>
      <c r="O886" s="71">
        <f t="shared" si="4"/>
        <v>0</v>
      </c>
    </row>
    <row r="887" ht="15.75" customHeight="1">
      <c r="A887" s="17">
        <v>46023.0</v>
      </c>
      <c r="B887" s="44" t="s">
        <v>259</v>
      </c>
      <c r="C887" s="44" t="s">
        <v>211</v>
      </c>
      <c r="D887" s="45" t="s">
        <v>295</v>
      </c>
      <c r="E887" s="19">
        <f>IF($D887&lt;&gt;"Entregado",0,IF($C887="","",VLOOKUP($C887,'DATA DE TARIFA'!$A$4:$C$68,2,FALSE)/1.18))</f>
        <v>6.779661017</v>
      </c>
      <c r="F887" s="19">
        <f>IF($C887="","",IF($D887="",0,VLOOKUP($C887,'DATA DE TARIFA'!$A$4:$C$68,3,FALSE)))</f>
        <v>4</v>
      </c>
      <c r="G887" s="66">
        <v>0.0</v>
      </c>
      <c r="H887" s="19">
        <f t="shared" si="1"/>
        <v>6.779661017</v>
      </c>
      <c r="I887" s="19">
        <f t="shared" si="2"/>
        <v>4</v>
      </c>
      <c r="J887" s="67"/>
      <c r="K887" s="44" t="str">
        <f>IF($B887="","",IFERROR(VLOOKUP($B887,Tiendas!$A$4:$B$176,2,FALSE),""))</f>
        <v>SANDRA</v>
      </c>
      <c r="L887" s="68" t="s">
        <v>296</v>
      </c>
      <c r="M887" s="44" t="str">
        <f>IF($B887="","",IFERROR(VLOOKUP($B887,Tiendas!$A$4:$I$176,9,FALSE),""))</f>
        <v>Si</v>
      </c>
      <c r="N887" s="71">
        <f t="shared" si="3"/>
        <v>0</v>
      </c>
      <c r="O887" s="71">
        <f t="shared" si="4"/>
        <v>0</v>
      </c>
    </row>
    <row r="888" ht="15.75" customHeight="1">
      <c r="A888" s="17">
        <v>46023.0</v>
      </c>
      <c r="B888" s="44" t="s">
        <v>259</v>
      </c>
      <c r="C888" s="44" t="s">
        <v>36</v>
      </c>
      <c r="D888" s="45" t="s">
        <v>295</v>
      </c>
      <c r="E888" s="19">
        <f>IF($D888&lt;&gt;"Entregado",0,IF($C888="","",VLOOKUP($C888,'DATA DE TARIFA'!$A$4:$C$68,2,FALSE)/1.18))</f>
        <v>10.16949153</v>
      </c>
      <c r="F888" s="19">
        <f>IF($C888="","",IF($D888="",0,VLOOKUP($C888,'DATA DE TARIFA'!$A$4:$C$68,3,FALSE)))</f>
        <v>4.5</v>
      </c>
      <c r="G888" s="66">
        <v>0.0</v>
      </c>
      <c r="H888" s="19">
        <f t="shared" si="1"/>
        <v>10.16949153</v>
      </c>
      <c r="I888" s="19">
        <f t="shared" si="2"/>
        <v>4.5</v>
      </c>
      <c r="J888" s="67"/>
      <c r="K888" s="44" t="str">
        <f>IF($B888="","",IFERROR(VLOOKUP($B888,Tiendas!$A$4:$B$176,2,FALSE),""))</f>
        <v>SANDRA</v>
      </c>
      <c r="L888" s="68" t="s">
        <v>296</v>
      </c>
      <c r="M888" s="44" t="str">
        <f>IF($B888="","",IFERROR(VLOOKUP($B888,Tiendas!$A$4:$I$176,9,FALSE),""))</f>
        <v>Si</v>
      </c>
      <c r="N888" s="71">
        <f t="shared" si="3"/>
        <v>0</v>
      </c>
      <c r="O888" s="71">
        <f t="shared" si="4"/>
        <v>0</v>
      </c>
    </row>
    <row r="889" ht="15.75" customHeight="1">
      <c r="A889" s="17">
        <v>46023.0</v>
      </c>
      <c r="B889" s="44" t="s">
        <v>259</v>
      </c>
      <c r="C889" s="44" t="s">
        <v>38</v>
      </c>
      <c r="D889" s="45" t="s">
        <v>295</v>
      </c>
      <c r="E889" s="19">
        <f>IF($D889&lt;&gt;"Entregado",0,IF($C889="","",VLOOKUP($C889,'DATA DE TARIFA'!$A$4:$C$68,2,FALSE)/1.18))</f>
        <v>8.474576271</v>
      </c>
      <c r="F889" s="19">
        <f>IF($C889="","",IF($D889="",0,VLOOKUP($C889,'DATA DE TARIFA'!$A$4:$C$68,3,FALSE)))</f>
        <v>4</v>
      </c>
      <c r="G889" s="66">
        <v>0.0</v>
      </c>
      <c r="H889" s="19">
        <f t="shared" si="1"/>
        <v>8.474576271</v>
      </c>
      <c r="I889" s="19">
        <f t="shared" si="2"/>
        <v>4</v>
      </c>
      <c r="J889" s="67"/>
      <c r="K889" s="44" t="str">
        <f>IF($B889="","",IFERROR(VLOOKUP($B889,Tiendas!$A$4:$B$176,2,FALSE),""))</f>
        <v>SANDRA</v>
      </c>
      <c r="L889" s="68" t="s">
        <v>296</v>
      </c>
      <c r="M889" s="44" t="str">
        <f>IF($B889="","",IFERROR(VLOOKUP($B889,Tiendas!$A$4:$I$176,9,FALSE),""))</f>
        <v>Si</v>
      </c>
      <c r="N889" s="71">
        <f t="shared" si="3"/>
        <v>0</v>
      </c>
      <c r="O889" s="71">
        <f t="shared" si="4"/>
        <v>0</v>
      </c>
    </row>
    <row r="890" ht="15.75" customHeight="1">
      <c r="A890" s="17">
        <v>46023.0</v>
      </c>
      <c r="B890" s="44" t="s">
        <v>259</v>
      </c>
      <c r="C890" s="44" t="s">
        <v>60</v>
      </c>
      <c r="D890" s="45" t="s">
        <v>295</v>
      </c>
      <c r="E890" s="19">
        <f>IF($D890&lt;&gt;"Entregado",0,IF($C890="","",VLOOKUP($C890,'DATA DE TARIFA'!$A$4:$C$68,2,FALSE)/1.18))</f>
        <v>8.474576271</v>
      </c>
      <c r="F890" s="19">
        <f>IF($C890="","",IF($D890="",0,VLOOKUP($C890,'DATA DE TARIFA'!$A$4:$C$68,3,FALSE)))</f>
        <v>4</v>
      </c>
      <c r="G890" s="66">
        <v>0.0</v>
      </c>
      <c r="H890" s="19">
        <f t="shared" si="1"/>
        <v>8.474576271</v>
      </c>
      <c r="I890" s="19">
        <f t="shared" si="2"/>
        <v>4</v>
      </c>
      <c r="J890" s="67"/>
      <c r="K890" s="44" t="str">
        <f>IF($B890="","",IFERROR(VLOOKUP($B890,Tiendas!$A$4:$B$176,2,FALSE),""))</f>
        <v>SANDRA</v>
      </c>
      <c r="L890" s="68" t="s">
        <v>296</v>
      </c>
      <c r="M890" s="44" t="str">
        <f>IF($B890="","",IFERROR(VLOOKUP($B890,Tiendas!$A$4:$I$176,9,FALSE),""))</f>
        <v>Si</v>
      </c>
      <c r="N890" s="71">
        <f t="shared" si="3"/>
        <v>0</v>
      </c>
      <c r="O890" s="71">
        <f t="shared" si="4"/>
        <v>0</v>
      </c>
    </row>
    <row r="891" ht="15.75" customHeight="1">
      <c r="A891" s="17">
        <v>46023.0</v>
      </c>
      <c r="B891" s="44" t="s">
        <v>259</v>
      </c>
      <c r="C891" s="44" t="s">
        <v>40</v>
      </c>
      <c r="D891" s="45" t="s">
        <v>295</v>
      </c>
      <c r="E891" s="19">
        <f>IF($D891&lt;&gt;"Entregado",0,IF($C891="","",VLOOKUP($C891,'DATA DE TARIFA'!$A$4:$C$68,2,FALSE)/1.18))</f>
        <v>8.474576271</v>
      </c>
      <c r="F891" s="19">
        <f>IF($C891="","",IF($D891="",0,VLOOKUP($C891,'DATA DE TARIFA'!$A$4:$C$68,3,FALSE)))</f>
        <v>4</v>
      </c>
      <c r="G891" s="66">
        <v>0.0</v>
      </c>
      <c r="H891" s="19">
        <f t="shared" si="1"/>
        <v>8.474576271</v>
      </c>
      <c r="I891" s="19">
        <f t="shared" si="2"/>
        <v>4</v>
      </c>
      <c r="J891" s="67"/>
      <c r="K891" s="44" t="str">
        <f>IF($B891="","",IFERROR(VLOOKUP($B891,Tiendas!$A$4:$B$176,2,FALSE),""))</f>
        <v>SANDRA</v>
      </c>
      <c r="L891" s="68" t="s">
        <v>296</v>
      </c>
      <c r="M891" s="44" t="str">
        <f>IF($B891="","",IFERROR(VLOOKUP($B891,Tiendas!$A$4:$I$176,9,FALSE),""))</f>
        <v>Si</v>
      </c>
      <c r="N891" s="71">
        <f t="shared" si="3"/>
        <v>0</v>
      </c>
      <c r="O891" s="71">
        <f t="shared" si="4"/>
        <v>0</v>
      </c>
    </row>
    <row r="892" ht="15.75" customHeight="1">
      <c r="A892" s="17">
        <v>46023.0</v>
      </c>
      <c r="B892" s="44" t="s">
        <v>259</v>
      </c>
      <c r="C892" s="44" t="s">
        <v>15</v>
      </c>
      <c r="D892" s="45" t="s">
        <v>295</v>
      </c>
      <c r="E892" s="19">
        <f>IF($D892&lt;&gt;"Entregado",0,IF($C892="","",VLOOKUP($C892,'DATA DE TARIFA'!$A$4:$C$68,2,FALSE)/1.18))</f>
        <v>8.474576271</v>
      </c>
      <c r="F892" s="19">
        <f>IF($C892="","",IF($D892="",0,VLOOKUP($C892,'DATA DE TARIFA'!$A$4:$C$68,3,FALSE)))</f>
        <v>4.5</v>
      </c>
      <c r="G892" s="66">
        <v>0.0</v>
      </c>
      <c r="H892" s="19">
        <f t="shared" si="1"/>
        <v>8.474576271</v>
      </c>
      <c r="I892" s="19">
        <f t="shared" si="2"/>
        <v>4.5</v>
      </c>
      <c r="J892" s="67"/>
      <c r="K892" s="44" t="str">
        <f>IF($B892="","",IFERROR(VLOOKUP($B892,Tiendas!$A$4:$B$176,2,FALSE),""))</f>
        <v>SANDRA</v>
      </c>
      <c r="L892" s="68" t="s">
        <v>296</v>
      </c>
      <c r="M892" s="44" t="str">
        <f>IF($B892="","",IFERROR(VLOOKUP($B892,Tiendas!$A$4:$I$176,9,FALSE),""))</f>
        <v>Si</v>
      </c>
      <c r="N892" s="71">
        <f t="shared" si="3"/>
        <v>0</v>
      </c>
      <c r="O892" s="71">
        <f t="shared" si="4"/>
        <v>0</v>
      </c>
    </row>
    <row r="893" ht="15.75" customHeight="1">
      <c r="A893" s="17">
        <v>46023.0</v>
      </c>
      <c r="B893" s="44" t="s">
        <v>259</v>
      </c>
      <c r="C893" s="44" t="s">
        <v>51</v>
      </c>
      <c r="D893" s="45" t="s">
        <v>295</v>
      </c>
      <c r="E893" s="19">
        <f>IF($D893&lt;&gt;"Entregado",0,IF($C893="","",VLOOKUP($C893,'DATA DE TARIFA'!$A$4:$C$68,2,FALSE)/1.18))</f>
        <v>10.16949153</v>
      </c>
      <c r="F893" s="19">
        <f>IF($C893="","",IF($D893="",0,VLOOKUP($C893,'DATA DE TARIFA'!$A$4:$C$68,3,FALSE)))</f>
        <v>5.5</v>
      </c>
      <c r="G893" s="66">
        <v>0.0</v>
      </c>
      <c r="H893" s="19">
        <f t="shared" si="1"/>
        <v>10.16949153</v>
      </c>
      <c r="I893" s="19">
        <f t="shared" si="2"/>
        <v>5.5</v>
      </c>
      <c r="J893" s="67"/>
      <c r="K893" s="44" t="str">
        <f>IF($B893="","",IFERROR(VLOOKUP($B893,Tiendas!$A$4:$B$176,2,FALSE),""))</f>
        <v>SANDRA</v>
      </c>
      <c r="L893" s="68" t="s">
        <v>296</v>
      </c>
      <c r="M893" s="44" t="str">
        <f>IF($B893="","",IFERROR(VLOOKUP($B893,Tiendas!$A$4:$I$176,9,FALSE),""))</f>
        <v>Si</v>
      </c>
      <c r="N893" s="71">
        <f t="shared" si="3"/>
        <v>0</v>
      </c>
      <c r="O893" s="71">
        <f t="shared" si="4"/>
        <v>0</v>
      </c>
    </row>
    <row r="894" ht="15.75" customHeight="1">
      <c r="A894" s="17">
        <v>46023.0</v>
      </c>
      <c r="B894" s="44" t="s">
        <v>259</v>
      </c>
      <c r="C894" s="44" t="s">
        <v>42</v>
      </c>
      <c r="D894" s="45" t="s">
        <v>295</v>
      </c>
      <c r="E894" s="19">
        <f>IF($D894&lt;&gt;"Entregado",0,IF($C894="","",VLOOKUP($C894,'DATA DE TARIFA'!$A$4:$C$68,2,FALSE)/1.18))</f>
        <v>8.474576271</v>
      </c>
      <c r="F894" s="19">
        <f>IF($C894="","",IF($D894="",0,VLOOKUP($C894,'DATA DE TARIFA'!$A$4:$C$68,3,FALSE)))</f>
        <v>4</v>
      </c>
      <c r="G894" s="66">
        <v>0.0</v>
      </c>
      <c r="H894" s="19">
        <f t="shared" si="1"/>
        <v>8.474576271</v>
      </c>
      <c r="I894" s="19">
        <f t="shared" si="2"/>
        <v>4</v>
      </c>
      <c r="J894" s="67"/>
      <c r="K894" s="44" t="str">
        <f>IF($B894="","",IFERROR(VLOOKUP($B894,Tiendas!$A$4:$B$176,2,FALSE),""))</f>
        <v>SANDRA</v>
      </c>
      <c r="L894" s="68" t="s">
        <v>296</v>
      </c>
      <c r="M894" s="44" t="str">
        <f>IF($B894="","",IFERROR(VLOOKUP($B894,Tiendas!$A$4:$I$176,9,FALSE),""))</f>
        <v>Si</v>
      </c>
      <c r="N894" s="71">
        <f t="shared" si="3"/>
        <v>0</v>
      </c>
      <c r="O894" s="71">
        <f t="shared" si="4"/>
        <v>0</v>
      </c>
    </row>
    <row r="895" ht="15.75" customHeight="1">
      <c r="A895" s="17">
        <v>46023.0</v>
      </c>
      <c r="B895" s="44" t="s">
        <v>259</v>
      </c>
      <c r="C895" s="44" t="s">
        <v>55</v>
      </c>
      <c r="D895" s="45" t="s">
        <v>295</v>
      </c>
      <c r="E895" s="19">
        <f>IF($D895&lt;&gt;"Entregado",0,IF($C895="","",VLOOKUP($C895,'DATA DE TARIFA'!$A$4:$C$68,2,FALSE)/1.18))</f>
        <v>8.474576271</v>
      </c>
      <c r="F895" s="19">
        <f>IF($C895="","",IF($D895="",0,VLOOKUP($C895,'DATA DE TARIFA'!$A$4:$C$68,3,FALSE)))</f>
        <v>4</v>
      </c>
      <c r="G895" s="66">
        <v>0.0</v>
      </c>
      <c r="H895" s="19">
        <f t="shared" si="1"/>
        <v>8.474576271</v>
      </c>
      <c r="I895" s="19">
        <f t="shared" si="2"/>
        <v>4</v>
      </c>
      <c r="J895" s="67"/>
      <c r="K895" s="44" t="str">
        <f>IF($B895="","",IFERROR(VLOOKUP($B895,Tiendas!$A$4:$B$176,2,FALSE),""))</f>
        <v>SANDRA</v>
      </c>
      <c r="L895" s="68" t="s">
        <v>296</v>
      </c>
      <c r="M895" s="44" t="str">
        <f>IF($B895="","",IFERROR(VLOOKUP($B895,Tiendas!$A$4:$I$176,9,FALSE),""))</f>
        <v>Si</v>
      </c>
      <c r="N895" s="71">
        <f t="shared" si="3"/>
        <v>0</v>
      </c>
      <c r="O895" s="71">
        <f t="shared" si="4"/>
        <v>0</v>
      </c>
    </row>
    <row r="896" ht="15.75" customHeight="1">
      <c r="A896" s="17">
        <v>46023.0</v>
      </c>
      <c r="B896" s="44" t="s">
        <v>246</v>
      </c>
      <c r="C896" s="44" t="s">
        <v>36</v>
      </c>
      <c r="D896" s="45" t="s">
        <v>297</v>
      </c>
      <c r="E896" s="19">
        <f>IF($D896&lt;&gt;"Entregado",0,IF($C896="","",VLOOKUP($C896,'DATA DE TARIFA'!$A$4:$C$68,2,FALSE)/1.18))</f>
        <v>0</v>
      </c>
      <c r="F896" s="19">
        <f>IF($C896="","",IF($D896="",0,VLOOKUP($C896,'DATA DE TARIFA'!$A$4:$C$68,3,FALSE)))</f>
        <v>4.5</v>
      </c>
      <c r="G896" s="66">
        <v>0.0</v>
      </c>
      <c r="H896" s="19">
        <f t="shared" si="1"/>
        <v>0</v>
      </c>
      <c r="I896" s="19">
        <f t="shared" si="2"/>
        <v>4.5</v>
      </c>
      <c r="J896" s="67"/>
      <c r="K896" s="44" t="str">
        <f>IF($B896="","",IFERROR(VLOOKUP($B896,Tiendas!$A$4:$B$176,2,FALSE),""))</f>
        <v>CHRISTIAN</v>
      </c>
      <c r="L896" s="68" t="s">
        <v>296</v>
      </c>
      <c r="M896" s="44" t="str">
        <f>IF($B896="","",IFERROR(VLOOKUP($B896,Tiendas!$A$4:$I$176,9,FALSE),""))</f>
        <v>Si</v>
      </c>
      <c r="N896" s="71">
        <f t="shared" si="3"/>
        <v>0</v>
      </c>
      <c r="O896" s="71">
        <f t="shared" si="4"/>
        <v>0</v>
      </c>
    </row>
    <row r="897" ht="15.75" customHeight="1">
      <c r="A897" s="17">
        <v>46023.0</v>
      </c>
      <c r="B897" s="44" t="s">
        <v>246</v>
      </c>
      <c r="C897" s="44" t="s">
        <v>21</v>
      </c>
      <c r="D897" s="45" t="s">
        <v>297</v>
      </c>
      <c r="E897" s="19">
        <f>IF($D897&lt;&gt;"Entregado",0,IF($C897="","",VLOOKUP($C897,'DATA DE TARIFA'!$A$4:$C$68,2,FALSE)/1.18))</f>
        <v>0</v>
      </c>
      <c r="F897" s="19">
        <f>IF($C897="","",IF($D897="",0,VLOOKUP($C897,'DATA DE TARIFA'!$A$4:$C$68,3,FALSE)))</f>
        <v>4.5</v>
      </c>
      <c r="G897" s="66">
        <v>0.0</v>
      </c>
      <c r="H897" s="19">
        <f t="shared" si="1"/>
        <v>0</v>
      </c>
      <c r="I897" s="19">
        <f t="shared" si="2"/>
        <v>4.5</v>
      </c>
      <c r="J897" s="67"/>
      <c r="K897" s="44" t="str">
        <f>IF($B897="","",IFERROR(VLOOKUP($B897,Tiendas!$A$4:$B$176,2,FALSE),""))</f>
        <v>CHRISTIAN</v>
      </c>
      <c r="L897" s="68" t="s">
        <v>296</v>
      </c>
      <c r="M897" s="44" t="str">
        <f>IF($B897="","",IFERROR(VLOOKUP($B897,Tiendas!$A$4:$I$176,9,FALSE),""))</f>
        <v>Si</v>
      </c>
      <c r="N897" s="71">
        <f t="shared" si="3"/>
        <v>0</v>
      </c>
      <c r="O897" s="71">
        <f t="shared" si="4"/>
        <v>0</v>
      </c>
    </row>
    <row r="898" ht="15.75" customHeight="1">
      <c r="A898" s="17">
        <v>46023.0</v>
      </c>
      <c r="B898" s="44" t="s">
        <v>246</v>
      </c>
      <c r="C898" s="44" t="s">
        <v>32</v>
      </c>
      <c r="D898" s="45" t="s">
        <v>297</v>
      </c>
      <c r="E898" s="19">
        <f>IF($D898&lt;&gt;"Entregado",0,IF($C898="","",VLOOKUP($C898,'DATA DE TARIFA'!$A$4:$C$68,2,FALSE)/1.18))</f>
        <v>0</v>
      </c>
      <c r="F898" s="19">
        <f>IF($C898="","",IF($D898="",0,VLOOKUP($C898,'DATA DE TARIFA'!$A$4:$C$68,3,FALSE)))</f>
        <v>4.5</v>
      </c>
      <c r="G898" s="66">
        <v>0.0</v>
      </c>
      <c r="H898" s="19">
        <f t="shared" si="1"/>
        <v>0</v>
      </c>
      <c r="I898" s="19">
        <f t="shared" si="2"/>
        <v>4.5</v>
      </c>
      <c r="J898" s="67"/>
      <c r="K898" s="44" t="str">
        <f>IF($B898="","",IFERROR(VLOOKUP($B898,Tiendas!$A$4:$B$176,2,FALSE),""))</f>
        <v>CHRISTIAN</v>
      </c>
      <c r="L898" s="68" t="s">
        <v>296</v>
      </c>
      <c r="M898" s="44" t="str">
        <f>IF($B898="","",IFERROR(VLOOKUP($B898,Tiendas!$A$4:$I$176,9,FALSE),""))</f>
        <v>Si</v>
      </c>
      <c r="N898" s="71">
        <f t="shared" si="3"/>
        <v>0</v>
      </c>
      <c r="O898" s="71">
        <f t="shared" si="4"/>
        <v>0</v>
      </c>
    </row>
    <row r="899" ht="15.75" customHeight="1">
      <c r="A899" s="17">
        <v>46023.0</v>
      </c>
      <c r="B899" s="44" t="s">
        <v>246</v>
      </c>
      <c r="C899" s="44" t="s">
        <v>49</v>
      </c>
      <c r="D899" s="45" t="s">
        <v>295</v>
      </c>
      <c r="E899" s="19">
        <f>IF($D899&lt;&gt;"Entregado",0,IF($C899="","",VLOOKUP($C899,'DATA DE TARIFA'!$A$4:$C$68,2,FALSE)/1.18))</f>
        <v>10.16949153</v>
      </c>
      <c r="F899" s="19">
        <f>IF($C899="","",IF($D899="",0,VLOOKUP($C899,'DATA DE TARIFA'!$A$4:$C$68,3,FALSE)))</f>
        <v>5.5</v>
      </c>
      <c r="G899" s="66">
        <v>0.0</v>
      </c>
      <c r="H899" s="19">
        <f t="shared" si="1"/>
        <v>10.16949153</v>
      </c>
      <c r="I899" s="19">
        <f t="shared" si="2"/>
        <v>5.5</v>
      </c>
      <c r="J899" s="67"/>
      <c r="K899" s="44" t="str">
        <f>IF($B899="","",IFERROR(VLOOKUP($B899,Tiendas!$A$4:$B$176,2,FALSE),""))</f>
        <v>CHRISTIAN</v>
      </c>
      <c r="L899" s="68" t="s">
        <v>296</v>
      </c>
      <c r="M899" s="44" t="str">
        <f>IF($B899="","",IFERROR(VLOOKUP($B899,Tiendas!$A$4:$I$176,9,FALSE),""))</f>
        <v>Si</v>
      </c>
      <c r="N899" s="71">
        <f t="shared" si="3"/>
        <v>0</v>
      </c>
      <c r="O899" s="71">
        <f t="shared" si="4"/>
        <v>0</v>
      </c>
    </row>
    <row r="900" ht="15.75" customHeight="1">
      <c r="A900" s="17">
        <v>46023.0</v>
      </c>
      <c r="B900" s="44" t="s">
        <v>246</v>
      </c>
      <c r="C900" s="44" t="s">
        <v>68</v>
      </c>
      <c r="D900" s="45" t="s">
        <v>295</v>
      </c>
      <c r="E900" s="19">
        <f>IF($D900&lt;&gt;"Entregado",0,IF($C900="","",VLOOKUP($C900,'DATA DE TARIFA'!$A$4:$C$68,2,FALSE)/1.18))</f>
        <v>11.86440678</v>
      </c>
      <c r="F900" s="19">
        <f>IF($C900="","",IF($D900="",0,VLOOKUP($C900,'DATA DE TARIFA'!$A$4:$C$68,3,FALSE)))</f>
        <v>7.5</v>
      </c>
      <c r="G900" s="66">
        <v>0.0</v>
      </c>
      <c r="H900" s="19">
        <f t="shared" si="1"/>
        <v>11.86440678</v>
      </c>
      <c r="I900" s="19">
        <f t="shared" si="2"/>
        <v>7.5</v>
      </c>
      <c r="J900" s="67"/>
      <c r="K900" s="44" t="str">
        <f>IF($B900="","",IFERROR(VLOOKUP($B900,Tiendas!$A$4:$B$176,2,FALSE),""))</f>
        <v>CHRISTIAN</v>
      </c>
      <c r="L900" s="68" t="s">
        <v>296</v>
      </c>
      <c r="M900" s="44" t="str">
        <f>IF($B900="","",IFERROR(VLOOKUP($B900,Tiendas!$A$4:$I$176,9,FALSE),""))</f>
        <v>Si</v>
      </c>
      <c r="N900" s="71">
        <f t="shared" si="3"/>
        <v>0</v>
      </c>
      <c r="O900" s="71">
        <f t="shared" si="4"/>
        <v>0</v>
      </c>
    </row>
    <row r="901" ht="15.75" customHeight="1">
      <c r="A901" s="17">
        <v>46023.0</v>
      </c>
      <c r="B901" s="44" t="s">
        <v>246</v>
      </c>
      <c r="C901" s="44" t="s">
        <v>92</v>
      </c>
      <c r="D901" s="45" t="s">
        <v>295</v>
      </c>
      <c r="E901" s="19">
        <f>IF($D901&lt;&gt;"Entregado",0,IF($C901="","",VLOOKUP($C901,'DATA DE TARIFA'!$A$4:$C$68,2,FALSE)/1.18))</f>
        <v>17.79661017</v>
      </c>
      <c r="F901" s="19">
        <f>IF($C901="","",IF($D901="",0,VLOOKUP($C901,'DATA DE TARIFA'!$A$4:$C$68,3,FALSE)))</f>
        <v>10</v>
      </c>
      <c r="G901" s="66">
        <v>0.0</v>
      </c>
      <c r="H901" s="19">
        <f t="shared" si="1"/>
        <v>17.79661017</v>
      </c>
      <c r="I901" s="19">
        <f t="shared" si="2"/>
        <v>10</v>
      </c>
      <c r="J901" s="67"/>
      <c r="K901" s="44" t="str">
        <f>IF($B901="","",IFERROR(VLOOKUP($B901,Tiendas!$A$4:$B$176,2,FALSE),""))</f>
        <v>CHRISTIAN</v>
      </c>
      <c r="L901" s="68" t="s">
        <v>296</v>
      </c>
      <c r="M901" s="44" t="str">
        <f>IF($B901="","",IFERROR(VLOOKUP($B901,Tiendas!$A$4:$I$176,9,FALSE),""))</f>
        <v>Si</v>
      </c>
      <c r="N901" s="71">
        <f t="shared" si="3"/>
        <v>0</v>
      </c>
      <c r="O901" s="71">
        <f t="shared" si="4"/>
        <v>0</v>
      </c>
    </row>
    <row r="902" ht="15.75" customHeight="1">
      <c r="A902" s="17">
        <v>46023.0</v>
      </c>
      <c r="B902" s="44" t="s">
        <v>246</v>
      </c>
      <c r="C902" s="44" t="s">
        <v>67</v>
      </c>
      <c r="D902" s="45" t="s">
        <v>295</v>
      </c>
      <c r="E902" s="19">
        <f>IF($D902&lt;&gt;"Entregado",0,IF($C902="","",VLOOKUP($C902,'DATA DE TARIFA'!$A$4:$C$68,2,FALSE)/1.18))</f>
        <v>10.16949153</v>
      </c>
      <c r="F902" s="19">
        <f>IF($C902="","",IF($D902="",0,VLOOKUP($C902,'DATA DE TARIFA'!$A$4:$C$68,3,FALSE)))</f>
        <v>5.5</v>
      </c>
      <c r="G902" s="66">
        <v>0.0</v>
      </c>
      <c r="H902" s="19">
        <f t="shared" si="1"/>
        <v>10.16949153</v>
      </c>
      <c r="I902" s="19">
        <f t="shared" si="2"/>
        <v>5.5</v>
      </c>
      <c r="J902" s="67"/>
      <c r="K902" s="44" t="str">
        <f>IF($B902="","",IFERROR(VLOOKUP($B902,Tiendas!$A$4:$B$176,2,FALSE),""))</f>
        <v>CHRISTIAN</v>
      </c>
      <c r="L902" s="68" t="s">
        <v>296</v>
      </c>
      <c r="M902" s="44" t="str">
        <f>IF($B902="","",IFERROR(VLOOKUP($B902,Tiendas!$A$4:$I$176,9,FALSE),""))</f>
        <v>Si</v>
      </c>
      <c r="N902" s="71">
        <f t="shared" si="3"/>
        <v>0</v>
      </c>
      <c r="O902" s="71">
        <f t="shared" si="4"/>
        <v>0</v>
      </c>
    </row>
    <row r="903" ht="15.75" customHeight="1">
      <c r="A903" s="17">
        <v>46023.0</v>
      </c>
      <c r="B903" s="44" t="s">
        <v>246</v>
      </c>
      <c r="C903" s="44" t="s">
        <v>211</v>
      </c>
      <c r="D903" s="45" t="s">
        <v>295</v>
      </c>
      <c r="E903" s="19">
        <f>IF($D903&lt;&gt;"Entregado",0,IF($C903="","",VLOOKUP($C903,'DATA DE TARIFA'!$A$4:$C$68,2,FALSE)/1.18))</f>
        <v>6.779661017</v>
      </c>
      <c r="F903" s="19">
        <f>IF($C903="","",IF($D903="",0,VLOOKUP($C903,'DATA DE TARIFA'!$A$4:$C$68,3,FALSE)))</f>
        <v>4</v>
      </c>
      <c r="G903" s="66">
        <v>0.0</v>
      </c>
      <c r="H903" s="19">
        <f t="shared" si="1"/>
        <v>6.779661017</v>
      </c>
      <c r="I903" s="19">
        <f t="shared" si="2"/>
        <v>4</v>
      </c>
      <c r="J903" s="67"/>
      <c r="K903" s="44" t="str">
        <f>IF($B903="","",IFERROR(VLOOKUP($B903,Tiendas!$A$4:$B$176,2,FALSE),""))</f>
        <v>CHRISTIAN</v>
      </c>
      <c r="L903" s="68" t="s">
        <v>296</v>
      </c>
      <c r="M903" s="44" t="str">
        <f>IF($B903="","",IFERROR(VLOOKUP($B903,Tiendas!$A$4:$I$176,9,FALSE),""))</f>
        <v>Si</v>
      </c>
      <c r="N903" s="71">
        <f t="shared" si="3"/>
        <v>0</v>
      </c>
      <c r="O903" s="71">
        <f t="shared" si="4"/>
        <v>0</v>
      </c>
    </row>
    <row r="904" ht="15.75" customHeight="1">
      <c r="A904" s="17">
        <v>46023.0</v>
      </c>
      <c r="B904" s="44" t="s">
        <v>246</v>
      </c>
      <c r="C904" s="44" t="s">
        <v>21</v>
      </c>
      <c r="D904" s="45" t="s">
        <v>295</v>
      </c>
      <c r="E904" s="19">
        <f>IF($D904&lt;&gt;"Entregado",0,IF($C904="","",VLOOKUP($C904,'DATA DE TARIFA'!$A$4:$C$68,2,FALSE)/1.18))</f>
        <v>10.16949153</v>
      </c>
      <c r="F904" s="19">
        <f>IF($C904="","",IF($D904="",0,VLOOKUP($C904,'DATA DE TARIFA'!$A$4:$C$68,3,FALSE)))</f>
        <v>4.5</v>
      </c>
      <c r="G904" s="66">
        <v>0.0</v>
      </c>
      <c r="H904" s="19">
        <f t="shared" si="1"/>
        <v>10.16949153</v>
      </c>
      <c r="I904" s="19">
        <f t="shared" si="2"/>
        <v>4.5</v>
      </c>
      <c r="J904" s="67"/>
      <c r="K904" s="44" t="str">
        <f>IF($B904="","",IFERROR(VLOOKUP($B904,Tiendas!$A$4:$B$176,2,FALSE),""))</f>
        <v>CHRISTIAN</v>
      </c>
      <c r="L904" s="68" t="s">
        <v>296</v>
      </c>
      <c r="M904" s="44" t="str">
        <f>IF($B904="","",IFERROR(VLOOKUP($B904,Tiendas!$A$4:$I$176,9,FALSE),""))</f>
        <v>Si</v>
      </c>
      <c r="N904" s="71">
        <f t="shared" si="3"/>
        <v>0</v>
      </c>
      <c r="O904" s="71">
        <f t="shared" si="4"/>
        <v>0</v>
      </c>
    </row>
    <row r="905" ht="15.75" customHeight="1">
      <c r="A905" s="17">
        <v>46023.0</v>
      </c>
      <c r="B905" s="44" t="s">
        <v>246</v>
      </c>
      <c r="C905" s="44" t="s">
        <v>32</v>
      </c>
      <c r="D905" s="45" t="s">
        <v>295</v>
      </c>
      <c r="E905" s="19">
        <f>IF($D905&lt;&gt;"Entregado",0,IF($C905="","",VLOOKUP($C905,'DATA DE TARIFA'!$A$4:$C$68,2,FALSE)/1.18))</f>
        <v>8.474576271</v>
      </c>
      <c r="F905" s="19">
        <f>IF($C905="","",IF($D905="",0,VLOOKUP($C905,'DATA DE TARIFA'!$A$4:$C$68,3,FALSE)))</f>
        <v>4.5</v>
      </c>
      <c r="G905" s="66">
        <v>0.0</v>
      </c>
      <c r="H905" s="19">
        <f t="shared" si="1"/>
        <v>8.474576271</v>
      </c>
      <c r="I905" s="19">
        <f t="shared" si="2"/>
        <v>4.5</v>
      </c>
      <c r="J905" s="67"/>
      <c r="K905" s="44" t="str">
        <f>IF($B905="","",IFERROR(VLOOKUP($B905,Tiendas!$A$4:$B$176,2,FALSE),""))</f>
        <v>CHRISTIAN</v>
      </c>
      <c r="L905" s="68" t="s">
        <v>296</v>
      </c>
      <c r="M905" s="44" t="str">
        <f>IF($B905="","",IFERROR(VLOOKUP($B905,Tiendas!$A$4:$I$176,9,FALSE),""))</f>
        <v>Si</v>
      </c>
      <c r="N905" s="71">
        <f t="shared" si="3"/>
        <v>0</v>
      </c>
      <c r="O905" s="71">
        <f t="shared" si="4"/>
        <v>0</v>
      </c>
    </row>
    <row r="906" ht="15.75" customHeight="1">
      <c r="A906" s="17">
        <v>46023.0</v>
      </c>
      <c r="B906" s="44" t="s">
        <v>246</v>
      </c>
      <c r="C906" s="44" t="s">
        <v>32</v>
      </c>
      <c r="D906" s="45" t="s">
        <v>295</v>
      </c>
      <c r="E906" s="19">
        <f>IF($D906&lt;&gt;"Entregado",0,IF($C906="","",VLOOKUP($C906,'DATA DE TARIFA'!$A$4:$C$68,2,FALSE)/1.18))</f>
        <v>8.474576271</v>
      </c>
      <c r="F906" s="19">
        <f>IF($C906="","",IF($D906="",0,VLOOKUP($C906,'DATA DE TARIFA'!$A$4:$C$68,3,FALSE)))</f>
        <v>4.5</v>
      </c>
      <c r="G906" s="66">
        <v>0.0</v>
      </c>
      <c r="H906" s="19">
        <f t="shared" si="1"/>
        <v>8.474576271</v>
      </c>
      <c r="I906" s="19">
        <f t="shared" si="2"/>
        <v>4.5</v>
      </c>
      <c r="J906" s="67"/>
      <c r="K906" s="44" t="str">
        <f>IF($B906="","",IFERROR(VLOOKUP($B906,Tiendas!$A$4:$B$176,2,FALSE),""))</f>
        <v>CHRISTIAN</v>
      </c>
      <c r="L906" s="68" t="s">
        <v>296</v>
      </c>
      <c r="M906" s="44" t="str">
        <f>IF($B906="","",IFERROR(VLOOKUP($B906,Tiendas!$A$4:$I$176,9,FALSE),""))</f>
        <v>Si</v>
      </c>
      <c r="N906" s="71">
        <f t="shared" si="3"/>
        <v>0</v>
      </c>
      <c r="O906" s="71">
        <f t="shared" si="4"/>
        <v>0</v>
      </c>
    </row>
    <row r="907" ht="15.75" customHeight="1">
      <c r="A907" s="17">
        <v>46023.0</v>
      </c>
      <c r="B907" s="44" t="s">
        <v>246</v>
      </c>
      <c r="C907" s="44" t="s">
        <v>32</v>
      </c>
      <c r="D907" s="45" t="s">
        <v>295</v>
      </c>
      <c r="E907" s="19">
        <f>IF($D907&lt;&gt;"Entregado",0,IF($C907="","",VLOOKUP($C907,'DATA DE TARIFA'!$A$4:$C$68,2,FALSE)/1.18))</f>
        <v>8.474576271</v>
      </c>
      <c r="F907" s="19">
        <f>IF($C907="","",IF($D907="",0,VLOOKUP($C907,'DATA DE TARIFA'!$A$4:$C$68,3,FALSE)))</f>
        <v>4.5</v>
      </c>
      <c r="G907" s="66">
        <v>0.0</v>
      </c>
      <c r="H907" s="19">
        <f t="shared" si="1"/>
        <v>8.474576271</v>
      </c>
      <c r="I907" s="19">
        <f t="shared" si="2"/>
        <v>4.5</v>
      </c>
      <c r="J907" s="67"/>
      <c r="K907" s="44" t="str">
        <f>IF($B907="","",IFERROR(VLOOKUP($B907,Tiendas!$A$4:$B$176,2,FALSE),""))</f>
        <v>CHRISTIAN</v>
      </c>
      <c r="L907" s="68" t="s">
        <v>296</v>
      </c>
      <c r="M907" s="44" t="str">
        <f>IF($B907="","",IFERROR(VLOOKUP($B907,Tiendas!$A$4:$I$176,9,FALSE),""))</f>
        <v>Si</v>
      </c>
      <c r="N907" s="71">
        <f t="shared" si="3"/>
        <v>0</v>
      </c>
      <c r="O907" s="71">
        <f t="shared" si="4"/>
        <v>0</v>
      </c>
    </row>
    <row r="908" ht="15.75" customHeight="1">
      <c r="A908" s="17">
        <v>46023.0</v>
      </c>
      <c r="B908" s="44" t="s">
        <v>246</v>
      </c>
      <c r="C908" s="44" t="s">
        <v>32</v>
      </c>
      <c r="D908" s="45" t="s">
        <v>295</v>
      </c>
      <c r="E908" s="19">
        <f>IF($D908&lt;&gt;"Entregado",0,IF($C908="","",VLOOKUP($C908,'DATA DE TARIFA'!$A$4:$C$68,2,FALSE)/1.18))</f>
        <v>8.474576271</v>
      </c>
      <c r="F908" s="19">
        <f>IF($C908="","",IF($D908="",0,VLOOKUP($C908,'DATA DE TARIFA'!$A$4:$C$68,3,FALSE)))</f>
        <v>4.5</v>
      </c>
      <c r="G908" s="66">
        <v>0.0</v>
      </c>
      <c r="H908" s="19">
        <f t="shared" si="1"/>
        <v>8.474576271</v>
      </c>
      <c r="I908" s="19">
        <f t="shared" si="2"/>
        <v>4.5</v>
      </c>
      <c r="J908" s="67"/>
      <c r="K908" s="44" t="str">
        <f>IF($B908="","",IFERROR(VLOOKUP($B908,Tiendas!$A$4:$B$176,2,FALSE),""))</f>
        <v>CHRISTIAN</v>
      </c>
      <c r="L908" s="68" t="s">
        <v>296</v>
      </c>
      <c r="M908" s="44" t="str">
        <f>IF($B908="","",IFERROR(VLOOKUP($B908,Tiendas!$A$4:$I$176,9,FALSE),""))</f>
        <v>Si</v>
      </c>
      <c r="N908" s="71">
        <f t="shared" si="3"/>
        <v>0</v>
      </c>
      <c r="O908" s="71">
        <f t="shared" si="4"/>
        <v>0</v>
      </c>
    </row>
    <row r="909" ht="15.75" customHeight="1">
      <c r="A909" s="17">
        <v>46023.0</v>
      </c>
      <c r="B909" s="44" t="s">
        <v>246</v>
      </c>
      <c r="C909" s="44" t="s">
        <v>32</v>
      </c>
      <c r="D909" s="45" t="s">
        <v>295</v>
      </c>
      <c r="E909" s="19">
        <f>IF($D909&lt;&gt;"Entregado",0,IF($C909="","",VLOOKUP($C909,'DATA DE TARIFA'!$A$4:$C$68,2,FALSE)/1.18))</f>
        <v>8.474576271</v>
      </c>
      <c r="F909" s="19">
        <f>IF($C909="","",IF($D909="",0,VLOOKUP($C909,'DATA DE TARIFA'!$A$4:$C$68,3,FALSE)))</f>
        <v>4.5</v>
      </c>
      <c r="G909" s="66">
        <v>1.0</v>
      </c>
      <c r="H909" s="19">
        <f t="shared" si="1"/>
        <v>8.474576271</v>
      </c>
      <c r="I909" s="19">
        <f t="shared" si="2"/>
        <v>5.5</v>
      </c>
      <c r="J909" s="67"/>
      <c r="K909" s="44" t="str">
        <f>IF($B909="","",IFERROR(VLOOKUP($B909,Tiendas!$A$4:$B$176,2,FALSE),""))</f>
        <v>CHRISTIAN</v>
      </c>
      <c r="L909" s="68" t="s">
        <v>296</v>
      </c>
      <c r="M909" s="44" t="str">
        <f>IF($B909="","",IFERROR(VLOOKUP($B909,Tiendas!$A$4:$I$176,9,FALSE),""))</f>
        <v>Si</v>
      </c>
      <c r="N909" s="71">
        <f t="shared" si="3"/>
        <v>0</v>
      </c>
      <c r="O909" s="71">
        <f t="shared" si="4"/>
        <v>0</v>
      </c>
    </row>
    <row r="910" ht="15.75" customHeight="1">
      <c r="A910" s="17">
        <v>46023.0</v>
      </c>
      <c r="B910" s="44" t="s">
        <v>246</v>
      </c>
      <c r="C910" s="44" t="s">
        <v>40</v>
      </c>
      <c r="D910" s="45" t="s">
        <v>295</v>
      </c>
      <c r="E910" s="19">
        <f>IF($D910&lt;&gt;"Entregado",0,IF($C910="","",VLOOKUP($C910,'DATA DE TARIFA'!$A$4:$C$68,2,FALSE)/1.18))</f>
        <v>8.474576271</v>
      </c>
      <c r="F910" s="19">
        <f>IF($C910="","",IF($D910="",0,VLOOKUP($C910,'DATA DE TARIFA'!$A$4:$C$68,3,FALSE)))</f>
        <v>4</v>
      </c>
      <c r="G910" s="66">
        <v>0.0</v>
      </c>
      <c r="H910" s="19">
        <f t="shared" si="1"/>
        <v>8.474576271</v>
      </c>
      <c r="I910" s="19">
        <f t="shared" si="2"/>
        <v>4</v>
      </c>
      <c r="J910" s="67"/>
      <c r="K910" s="44" t="str">
        <f>IF($B910="","",IFERROR(VLOOKUP($B910,Tiendas!$A$4:$B$176,2,FALSE),""))</f>
        <v>CHRISTIAN</v>
      </c>
      <c r="L910" s="68" t="s">
        <v>296</v>
      </c>
      <c r="M910" s="44" t="str">
        <f>IF($B910="","",IFERROR(VLOOKUP($B910,Tiendas!$A$4:$I$176,9,FALSE),""))</f>
        <v>Si</v>
      </c>
      <c r="N910" s="71">
        <f t="shared" si="3"/>
        <v>0</v>
      </c>
      <c r="O910" s="71">
        <f t="shared" si="4"/>
        <v>0</v>
      </c>
    </row>
    <row r="911" ht="15.75" customHeight="1">
      <c r="A911" s="17">
        <v>46023.0</v>
      </c>
      <c r="B911" s="44" t="s">
        <v>246</v>
      </c>
      <c r="C911" s="44" t="s">
        <v>40</v>
      </c>
      <c r="D911" s="45" t="s">
        <v>295</v>
      </c>
      <c r="E911" s="19">
        <f>IF($D911&lt;&gt;"Entregado",0,IF($C911="","",VLOOKUP($C911,'DATA DE TARIFA'!$A$4:$C$68,2,FALSE)/1.18))</f>
        <v>8.474576271</v>
      </c>
      <c r="F911" s="19">
        <f>IF($C911="","",IF($D911="",0,VLOOKUP($C911,'DATA DE TARIFA'!$A$4:$C$68,3,FALSE)))</f>
        <v>4</v>
      </c>
      <c r="G911" s="66">
        <v>0.0</v>
      </c>
      <c r="H911" s="19">
        <f t="shared" si="1"/>
        <v>8.474576271</v>
      </c>
      <c r="I911" s="19">
        <f t="shared" si="2"/>
        <v>4</v>
      </c>
      <c r="J911" s="67"/>
      <c r="K911" s="44" t="str">
        <f>IF($B911="","",IFERROR(VLOOKUP($B911,Tiendas!$A$4:$B$176,2,FALSE),""))</f>
        <v>CHRISTIAN</v>
      </c>
      <c r="L911" s="68" t="s">
        <v>296</v>
      </c>
      <c r="M911" s="44" t="str">
        <f>IF($B911="","",IFERROR(VLOOKUP($B911,Tiendas!$A$4:$I$176,9,FALSE),""))</f>
        <v>Si</v>
      </c>
      <c r="N911" s="71">
        <f t="shared" si="3"/>
        <v>0</v>
      </c>
      <c r="O911" s="71">
        <f t="shared" si="4"/>
        <v>0</v>
      </c>
    </row>
    <row r="912" ht="15.75" customHeight="1">
      <c r="A912" s="17">
        <v>46023.0</v>
      </c>
      <c r="B912" s="44" t="s">
        <v>246</v>
      </c>
      <c r="C912" s="44" t="s">
        <v>70</v>
      </c>
      <c r="D912" s="45" t="s">
        <v>295</v>
      </c>
      <c r="E912" s="19">
        <f>IF($D912&lt;&gt;"Entregado",0,IF($C912="","",VLOOKUP($C912,'DATA DE TARIFA'!$A$4:$C$68,2,FALSE)/1.18))</f>
        <v>8.474576271</v>
      </c>
      <c r="F912" s="19">
        <f>IF($C912="","",IF($D912="",0,VLOOKUP($C912,'DATA DE TARIFA'!$A$4:$C$68,3,FALSE)))</f>
        <v>4</v>
      </c>
      <c r="G912" s="66">
        <v>0.0</v>
      </c>
      <c r="H912" s="19">
        <f t="shared" si="1"/>
        <v>8.474576271</v>
      </c>
      <c r="I912" s="19">
        <f t="shared" si="2"/>
        <v>4</v>
      </c>
      <c r="J912" s="67"/>
      <c r="K912" s="44" t="str">
        <f>IF($B912="","",IFERROR(VLOOKUP($B912,Tiendas!$A$4:$B$176,2,FALSE),""))</f>
        <v>CHRISTIAN</v>
      </c>
      <c r="L912" s="68" t="s">
        <v>296</v>
      </c>
      <c r="M912" s="44" t="str">
        <f>IF($B912="","",IFERROR(VLOOKUP($B912,Tiendas!$A$4:$I$176,9,FALSE),""))</f>
        <v>Si</v>
      </c>
      <c r="N912" s="71">
        <f t="shared" si="3"/>
        <v>0</v>
      </c>
      <c r="O912" s="71">
        <f t="shared" si="4"/>
        <v>0</v>
      </c>
    </row>
    <row r="913" ht="15.75" customHeight="1">
      <c r="A913" s="17">
        <v>46023.0</v>
      </c>
      <c r="B913" s="44" t="s">
        <v>246</v>
      </c>
      <c r="C913" s="44" t="s">
        <v>83</v>
      </c>
      <c r="D913" s="45" t="s">
        <v>295</v>
      </c>
      <c r="E913" s="19">
        <f>IF($D913&lt;&gt;"Entregado",0,IF($C913="","",VLOOKUP($C913,'DATA DE TARIFA'!$A$4:$C$68,2,FALSE)/1.18))</f>
        <v>14.40677966</v>
      </c>
      <c r="F913" s="19">
        <f>IF($C913="","",IF($D913="",0,VLOOKUP($C913,'DATA DE TARIFA'!$A$4:$C$68,3,FALSE)))</f>
        <v>8.5</v>
      </c>
      <c r="G913" s="66">
        <v>0.0</v>
      </c>
      <c r="H913" s="19">
        <f t="shared" si="1"/>
        <v>14.40677966</v>
      </c>
      <c r="I913" s="19">
        <f t="shared" si="2"/>
        <v>8.5</v>
      </c>
      <c r="J913" s="67"/>
      <c r="K913" s="44" t="str">
        <f>IF($B913="","",IFERROR(VLOOKUP($B913,Tiendas!$A$4:$B$176,2,FALSE),""))</f>
        <v>CHRISTIAN</v>
      </c>
      <c r="L913" s="68" t="s">
        <v>296</v>
      </c>
      <c r="M913" s="44" t="str">
        <f>IF($B913="","",IFERROR(VLOOKUP($B913,Tiendas!$A$4:$I$176,9,FALSE),""))</f>
        <v>Si</v>
      </c>
      <c r="N913" s="71">
        <f t="shared" si="3"/>
        <v>0</v>
      </c>
      <c r="O913" s="71">
        <f t="shared" si="4"/>
        <v>0</v>
      </c>
    </row>
    <row r="914" ht="15.75" customHeight="1">
      <c r="A914" s="17">
        <v>46023.0</v>
      </c>
      <c r="B914" s="44" t="s">
        <v>246</v>
      </c>
      <c r="C914" s="44" t="s">
        <v>83</v>
      </c>
      <c r="D914" s="45" t="s">
        <v>295</v>
      </c>
      <c r="E914" s="19">
        <f>IF($D914&lt;&gt;"Entregado",0,IF($C914="","",VLOOKUP($C914,'DATA DE TARIFA'!$A$4:$C$68,2,FALSE)/1.18))</f>
        <v>14.40677966</v>
      </c>
      <c r="F914" s="19">
        <f>IF($C914="","",IF($D914="",0,VLOOKUP($C914,'DATA DE TARIFA'!$A$4:$C$68,3,FALSE)))</f>
        <v>8.5</v>
      </c>
      <c r="G914" s="66">
        <v>0.0</v>
      </c>
      <c r="H914" s="19">
        <f t="shared" si="1"/>
        <v>14.40677966</v>
      </c>
      <c r="I914" s="19">
        <f t="shared" si="2"/>
        <v>8.5</v>
      </c>
      <c r="J914" s="67"/>
      <c r="K914" s="44" t="str">
        <f>IF($B914="","",IFERROR(VLOOKUP($B914,Tiendas!$A$4:$B$176,2,FALSE),""))</f>
        <v>CHRISTIAN</v>
      </c>
      <c r="L914" s="68" t="s">
        <v>296</v>
      </c>
      <c r="M914" s="44" t="str">
        <f>IF($B914="","",IFERROR(VLOOKUP($B914,Tiendas!$A$4:$I$176,9,FALSE),""))</f>
        <v>Si</v>
      </c>
      <c r="N914" s="71">
        <f t="shared" si="3"/>
        <v>0</v>
      </c>
      <c r="O914" s="71">
        <f t="shared" si="4"/>
        <v>0</v>
      </c>
    </row>
    <row r="915" ht="15.75" customHeight="1">
      <c r="A915" s="17">
        <v>46023.0</v>
      </c>
      <c r="B915" s="44" t="s">
        <v>246</v>
      </c>
      <c r="C915" s="44" t="s">
        <v>55</v>
      </c>
      <c r="D915" s="45" t="s">
        <v>295</v>
      </c>
      <c r="E915" s="19">
        <f>IF($D915&lt;&gt;"Entregado",0,IF($C915="","",VLOOKUP($C915,'DATA DE TARIFA'!$A$4:$C$68,2,FALSE)/1.18))</f>
        <v>8.474576271</v>
      </c>
      <c r="F915" s="19">
        <f>IF($C915="","",IF($D915="",0,VLOOKUP($C915,'DATA DE TARIFA'!$A$4:$C$68,3,FALSE)))</f>
        <v>4</v>
      </c>
      <c r="G915" s="66">
        <v>0.0</v>
      </c>
      <c r="H915" s="19">
        <f t="shared" si="1"/>
        <v>8.474576271</v>
      </c>
      <c r="I915" s="19">
        <f t="shared" si="2"/>
        <v>4</v>
      </c>
      <c r="J915" s="67"/>
      <c r="K915" s="44" t="str">
        <f>IF($B915="","",IFERROR(VLOOKUP($B915,Tiendas!$A$4:$B$176,2,FALSE),""))</f>
        <v>CHRISTIAN</v>
      </c>
      <c r="L915" s="68" t="s">
        <v>296</v>
      </c>
      <c r="M915" s="44" t="str">
        <f>IF($B915="","",IFERROR(VLOOKUP($B915,Tiendas!$A$4:$I$176,9,FALSE),""))</f>
        <v>Si</v>
      </c>
      <c r="N915" s="71">
        <f t="shared" si="3"/>
        <v>0</v>
      </c>
      <c r="O915" s="71">
        <f t="shared" si="4"/>
        <v>0</v>
      </c>
    </row>
    <row r="916" ht="15.75" customHeight="1">
      <c r="A916" s="17">
        <v>46023.0</v>
      </c>
      <c r="B916" s="44" t="s">
        <v>246</v>
      </c>
      <c r="C916" s="44" t="s">
        <v>60</v>
      </c>
      <c r="D916" s="45" t="s">
        <v>295</v>
      </c>
      <c r="E916" s="19">
        <f>IF($D916&lt;&gt;"Entregado",0,IF($C916="","",VLOOKUP($C916,'DATA DE TARIFA'!$A$4:$C$68,2,FALSE)/1.18))</f>
        <v>8.474576271</v>
      </c>
      <c r="F916" s="19">
        <f>IF($C916="","",IF($D916="",0,VLOOKUP($C916,'DATA DE TARIFA'!$A$4:$C$68,3,FALSE)))</f>
        <v>4</v>
      </c>
      <c r="G916" s="66">
        <v>0.0</v>
      </c>
      <c r="H916" s="19">
        <f t="shared" si="1"/>
        <v>8.474576271</v>
      </c>
      <c r="I916" s="19">
        <f t="shared" si="2"/>
        <v>4</v>
      </c>
      <c r="J916" s="67"/>
      <c r="K916" s="44" t="str">
        <f>IF($B916="","",IFERROR(VLOOKUP($B916,Tiendas!$A$4:$B$176,2,FALSE),""))</f>
        <v>CHRISTIAN</v>
      </c>
      <c r="L916" s="68" t="s">
        <v>296</v>
      </c>
      <c r="M916" s="44" t="str">
        <f>IF($B916="","",IFERROR(VLOOKUP($B916,Tiendas!$A$4:$I$176,9,FALSE),""))</f>
        <v>Si</v>
      </c>
      <c r="N916" s="71">
        <f t="shared" si="3"/>
        <v>0</v>
      </c>
      <c r="O916" s="71">
        <f t="shared" si="4"/>
        <v>0</v>
      </c>
    </row>
    <row r="917" ht="15.75" customHeight="1">
      <c r="A917" s="17">
        <v>46023.0</v>
      </c>
      <c r="B917" s="44" t="s">
        <v>246</v>
      </c>
      <c r="C917" s="44" t="s">
        <v>85</v>
      </c>
      <c r="D917" s="45" t="s">
        <v>295</v>
      </c>
      <c r="E917" s="19">
        <f>IF($D917&lt;&gt;"Entregado",0,IF($C917="","",VLOOKUP($C917,'DATA DE TARIFA'!$A$4:$C$68,2,FALSE)/1.18))</f>
        <v>14.40677966</v>
      </c>
      <c r="F917" s="19">
        <f>IF($C917="","",IF($D917="",0,VLOOKUP($C917,'DATA DE TARIFA'!$A$4:$C$68,3,FALSE)))</f>
        <v>8.5</v>
      </c>
      <c r="G917" s="66">
        <v>0.0</v>
      </c>
      <c r="H917" s="19">
        <f t="shared" si="1"/>
        <v>14.40677966</v>
      </c>
      <c r="I917" s="19">
        <f t="shared" si="2"/>
        <v>8.5</v>
      </c>
      <c r="J917" s="67"/>
      <c r="K917" s="44" t="str">
        <f>IF($B917="","",IFERROR(VLOOKUP($B917,Tiendas!$A$4:$B$176,2,FALSE),""))</f>
        <v>CHRISTIAN</v>
      </c>
      <c r="L917" s="68" t="s">
        <v>296</v>
      </c>
      <c r="M917" s="44" t="str">
        <f>IF($B917="","",IFERROR(VLOOKUP($B917,Tiendas!$A$4:$I$176,9,FALSE),""))</f>
        <v>Si</v>
      </c>
      <c r="N917" s="71">
        <f t="shared" si="3"/>
        <v>0</v>
      </c>
      <c r="O917" s="71">
        <f t="shared" si="4"/>
        <v>0</v>
      </c>
    </row>
    <row r="918" ht="15.75" customHeight="1">
      <c r="A918" s="17">
        <v>46023.0</v>
      </c>
      <c r="B918" s="44" t="s">
        <v>246</v>
      </c>
      <c r="C918" s="44" t="s">
        <v>79</v>
      </c>
      <c r="D918" s="45" t="s">
        <v>295</v>
      </c>
      <c r="E918" s="19">
        <f>IF($D918&lt;&gt;"Entregado",0,IF($C918="","",VLOOKUP($C918,'DATA DE TARIFA'!$A$4:$C$68,2,FALSE)/1.18))</f>
        <v>10.16949153</v>
      </c>
      <c r="F918" s="19">
        <f>IF($C918="","",IF($D918="",0,VLOOKUP($C918,'DATA DE TARIFA'!$A$4:$C$68,3,FALSE)))</f>
        <v>5.5</v>
      </c>
      <c r="G918" s="66">
        <v>0.0</v>
      </c>
      <c r="H918" s="19">
        <f t="shared" si="1"/>
        <v>10.16949153</v>
      </c>
      <c r="I918" s="19">
        <f t="shared" si="2"/>
        <v>5.5</v>
      </c>
      <c r="J918" s="67"/>
      <c r="K918" s="44" t="str">
        <f>IF($B918="","",IFERROR(VLOOKUP($B918,Tiendas!$A$4:$B$176,2,FALSE),""))</f>
        <v>CHRISTIAN</v>
      </c>
      <c r="L918" s="68" t="s">
        <v>296</v>
      </c>
      <c r="M918" s="44" t="str">
        <f>IF($B918="","",IFERROR(VLOOKUP($B918,Tiendas!$A$4:$I$176,9,FALSE),""))</f>
        <v>Si</v>
      </c>
      <c r="N918" s="71">
        <f t="shared" si="3"/>
        <v>0</v>
      </c>
      <c r="O918" s="71">
        <f t="shared" si="4"/>
        <v>0</v>
      </c>
    </row>
    <row r="919" ht="15.75" customHeight="1">
      <c r="A919" s="17">
        <v>46023.0</v>
      </c>
      <c r="B919" s="44" t="s">
        <v>246</v>
      </c>
      <c r="C919" s="44" t="s">
        <v>82</v>
      </c>
      <c r="D919" s="45" t="s">
        <v>295</v>
      </c>
      <c r="E919" s="19">
        <f>IF($D919&lt;&gt;"Entregado",0,IF($C919="","",VLOOKUP($C919,'DATA DE TARIFA'!$A$4:$C$68,2,FALSE)/1.18))</f>
        <v>11.86440678</v>
      </c>
      <c r="F919" s="19">
        <f>IF($C919="","",IF($D919="",0,VLOOKUP($C919,'DATA DE TARIFA'!$A$4:$C$68,3,FALSE)))</f>
        <v>8.5</v>
      </c>
      <c r="G919" s="66">
        <v>0.0</v>
      </c>
      <c r="H919" s="19">
        <f t="shared" si="1"/>
        <v>11.86440678</v>
      </c>
      <c r="I919" s="19">
        <f t="shared" si="2"/>
        <v>8.5</v>
      </c>
      <c r="J919" s="67"/>
      <c r="K919" s="44" t="str">
        <f>IF($B919="","",IFERROR(VLOOKUP($B919,Tiendas!$A$4:$B$176,2,FALSE),""))</f>
        <v>CHRISTIAN</v>
      </c>
      <c r="L919" s="68" t="s">
        <v>296</v>
      </c>
      <c r="M919" s="44" t="str">
        <f>IF($B919="","",IFERROR(VLOOKUP($B919,Tiendas!$A$4:$I$176,9,FALSE),""))</f>
        <v>Si</v>
      </c>
      <c r="N919" s="71">
        <f t="shared" si="3"/>
        <v>0</v>
      </c>
      <c r="O919" s="71">
        <f t="shared" si="4"/>
        <v>0</v>
      </c>
    </row>
    <row r="920" ht="15.75" customHeight="1">
      <c r="A920" s="17">
        <v>46023.0</v>
      </c>
      <c r="B920" s="44" t="s">
        <v>246</v>
      </c>
      <c r="C920" s="44" t="s">
        <v>21</v>
      </c>
      <c r="D920" s="45" t="s">
        <v>295</v>
      </c>
      <c r="E920" s="19">
        <f>IF($D920&lt;&gt;"Entregado",0,IF($C920="","",VLOOKUP($C920,'DATA DE TARIFA'!$A$4:$C$68,2,FALSE)/1.18))</f>
        <v>10.16949153</v>
      </c>
      <c r="F920" s="19">
        <f>IF($C920="","",IF($D920="",0,VLOOKUP($C920,'DATA DE TARIFA'!$A$4:$C$68,3,FALSE)))</f>
        <v>4.5</v>
      </c>
      <c r="G920" s="66">
        <v>0.0</v>
      </c>
      <c r="H920" s="19">
        <f t="shared" si="1"/>
        <v>10.16949153</v>
      </c>
      <c r="I920" s="19">
        <f t="shared" si="2"/>
        <v>4.5</v>
      </c>
      <c r="J920" s="67"/>
      <c r="K920" s="44" t="str">
        <f>IF($B920="","",IFERROR(VLOOKUP($B920,Tiendas!$A$4:$B$176,2,FALSE),""))</f>
        <v>CHRISTIAN</v>
      </c>
      <c r="L920" s="68" t="s">
        <v>296</v>
      </c>
      <c r="M920" s="44" t="str">
        <f>IF($B920="","",IFERROR(VLOOKUP($B920,Tiendas!$A$4:$I$176,9,FALSE),""))</f>
        <v>Si</v>
      </c>
      <c r="N920" s="71">
        <f t="shared" si="3"/>
        <v>0</v>
      </c>
      <c r="O920" s="71">
        <f t="shared" si="4"/>
        <v>0</v>
      </c>
    </row>
    <row r="921" ht="15.75" customHeight="1">
      <c r="A921" s="17">
        <v>46023.0</v>
      </c>
      <c r="B921" s="44" t="s">
        <v>246</v>
      </c>
      <c r="C921" s="44" t="s">
        <v>30</v>
      </c>
      <c r="D921" s="45" t="s">
        <v>295</v>
      </c>
      <c r="E921" s="19">
        <f>IF($D921&lt;&gt;"Entregado",0,IF($C921="","",VLOOKUP($C921,'DATA DE TARIFA'!$A$4:$C$68,2,FALSE)/1.18))</f>
        <v>8.474576271</v>
      </c>
      <c r="F921" s="19">
        <f>IF($C921="","",IF($D921="",0,VLOOKUP($C921,'DATA DE TARIFA'!$A$4:$C$68,3,FALSE)))</f>
        <v>4.5</v>
      </c>
      <c r="G921" s="66">
        <v>0.0</v>
      </c>
      <c r="H921" s="19">
        <f t="shared" si="1"/>
        <v>8.474576271</v>
      </c>
      <c r="I921" s="19">
        <f t="shared" si="2"/>
        <v>4.5</v>
      </c>
      <c r="J921" s="67"/>
      <c r="K921" s="44" t="str">
        <f>IF($B921="","",IFERROR(VLOOKUP($B921,Tiendas!$A$4:$B$176,2,FALSE),""))</f>
        <v>CHRISTIAN</v>
      </c>
      <c r="L921" s="68" t="s">
        <v>296</v>
      </c>
      <c r="M921" s="44" t="str">
        <f>IF($B921="","",IFERROR(VLOOKUP($B921,Tiendas!$A$4:$I$176,9,FALSE),""))</f>
        <v>Si</v>
      </c>
      <c r="N921" s="71">
        <f t="shared" si="3"/>
        <v>0</v>
      </c>
      <c r="O921" s="71">
        <f t="shared" si="4"/>
        <v>0</v>
      </c>
    </row>
    <row r="922" ht="15.75" customHeight="1">
      <c r="A922" s="17">
        <v>46023.0</v>
      </c>
      <c r="B922" s="44" t="s">
        <v>246</v>
      </c>
      <c r="C922" s="44" t="s">
        <v>44</v>
      </c>
      <c r="D922" s="45" t="s">
        <v>295</v>
      </c>
      <c r="E922" s="19">
        <f>IF($D922&lt;&gt;"Entregado",0,IF($C922="","",VLOOKUP($C922,'DATA DE TARIFA'!$A$4:$C$68,2,FALSE)/1.18))</f>
        <v>10.16949153</v>
      </c>
      <c r="F922" s="19">
        <f>IF($C922="","",IF($D922="",0,VLOOKUP($C922,'DATA DE TARIFA'!$A$4:$C$68,3,FALSE)))</f>
        <v>5.5</v>
      </c>
      <c r="G922" s="66">
        <v>1.0</v>
      </c>
      <c r="H922" s="19">
        <f t="shared" si="1"/>
        <v>10.16949153</v>
      </c>
      <c r="I922" s="19">
        <f t="shared" si="2"/>
        <v>6.5</v>
      </c>
      <c r="J922" s="67"/>
      <c r="K922" s="44" t="str">
        <f>IF($B922="","",IFERROR(VLOOKUP($B922,Tiendas!$A$4:$B$176,2,FALSE),""))</f>
        <v>CHRISTIAN</v>
      </c>
      <c r="L922" s="68" t="s">
        <v>296</v>
      </c>
      <c r="M922" s="44" t="str">
        <f>IF($B922="","",IFERROR(VLOOKUP($B922,Tiendas!$A$4:$I$176,9,FALSE),""))</f>
        <v>Si</v>
      </c>
      <c r="N922" s="71">
        <f t="shared" si="3"/>
        <v>0</v>
      </c>
      <c r="O922" s="71">
        <f t="shared" si="4"/>
        <v>0</v>
      </c>
    </row>
    <row r="923" ht="15.75" customHeight="1">
      <c r="A923" s="17">
        <v>46023.0</v>
      </c>
      <c r="B923" s="44" t="s">
        <v>246</v>
      </c>
      <c r="C923" s="44" t="s">
        <v>44</v>
      </c>
      <c r="D923" s="45" t="s">
        <v>295</v>
      </c>
      <c r="E923" s="19">
        <f>IF($D923&lt;&gt;"Entregado",0,IF($C923="","",VLOOKUP($C923,'DATA DE TARIFA'!$A$4:$C$68,2,FALSE)/1.18))</f>
        <v>10.16949153</v>
      </c>
      <c r="F923" s="19">
        <f>IF($C923="","",IF($D923="",0,VLOOKUP($C923,'DATA DE TARIFA'!$A$4:$C$68,3,FALSE)))</f>
        <v>5.5</v>
      </c>
      <c r="G923" s="66">
        <v>0.0</v>
      </c>
      <c r="H923" s="19">
        <f t="shared" si="1"/>
        <v>10.16949153</v>
      </c>
      <c r="I923" s="19">
        <f t="shared" si="2"/>
        <v>5.5</v>
      </c>
      <c r="J923" s="67"/>
      <c r="K923" s="44" t="str">
        <f>IF($B923="","",IFERROR(VLOOKUP($B923,Tiendas!$A$4:$B$176,2,FALSE),""))</f>
        <v>CHRISTIAN</v>
      </c>
      <c r="L923" s="68" t="s">
        <v>296</v>
      </c>
      <c r="M923" s="44" t="str">
        <f>IF($B923="","",IFERROR(VLOOKUP($B923,Tiendas!$A$4:$I$176,9,FALSE),""))</f>
        <v>Si</v>
      </c>
      <c r="N923" s="71">
        <f t="shared" si="3"/>
        <v>0</v>
      </c>
      <c r="O923" s="71">
        <f t="shared" si="4"/>
        <v>0</v>
      </c>
    </row>
    <row r="924" ht="15.75" customHeight="1">
      <c r="A924" s="17">
        <v>46023.0</v>
      </c>
      <c r="B924" s="44" t="s">
        <v>246</v>
      </c>
      <c r="C924" s="44" t="s">
        <v>64</v>
      </c>
      <c r="D924" s="45" t="s">
        <v>295</v>
      </c>
      <c r="E924" s="19">
        <f>IF($D924&lt;&gt;"Entregado",0,IF($C924="","",VLOOKUP($C924,'DATA DE TARIFA'!$A$4:$C$68,2,FALSE)/1.18))</f>
        <v>8.474576271</v>
      </c>
      <c r="F924" s="19">
        <f>IF($C924="","",IF($D924="",0,VLOOKUP($C924,'DATA DE TARIFA'!$A$4:$C$68,3,FALSE)))</f>
        <v>4.5</v>
      </c>
      <c r="G924" s="66">
        <v>0.0</v>
      </c>
      <c r="H924" s="19">
        <f t="shared" si="1"/>
        <v>8.474576271</v>
      </c>
      <c r="I924" s="19">
        <f t="shared" si="2"/>
        <v>4.5</v>
      </c>
      <c r="J924" s="67"/>
      <c r="K924" s="44" t="str">
        <f>IF($B924="","",IFERROR(VLOOKUP($B924,Tiendas!$A$4:$B$176,2,FALSE),""))</f>
        <v>CHRISTIAN</v>
      </c>
      <c r="L924" s="68" t="s">
        <v>296</v>
      </c>
      <c r="M924" s="44" t="str">
        <f>IF($B924="","",IFERROR(VLOOKUP($B924,Tiendas!$A$4:$I$176,9,FALSE),""))</f>
        <v>Si</v>
      </c>
      <c r="N924" s="71">
        <f t="shared" si="3"/>
        <v>0</v>
      </c>
      <c r="O924" s="71">
        <f t="shared" si="4"/>
        <v>0</v>
      </c>
    </row>
    <row r="925" ht="15.75" customHeight="1">
      <c r="A925" s="17">
        <v>46023.0</v>
      </c>
      <c r="B925" s="44" t="s">
        <v>246</v>
      </c>
      <c r="C925" s="44" t="s">
        <v>32</v>
      </c>
      <c r="D925" s="45" t="s">
        <v>295</v>
      </c>
      <c r="E925" s="19">
        <f>IF($D925&lt;&gt;"Entregado",0,IF($C925="","",VLOOKUP($C925,'DATA DE TARIFA'!$A$4:$C$68,2,FALSE)/1.18))</f>
        <v>8.474576271</v>
      </c>
      <c r="F925" s="19">
        <f>IF($C925="","",IF($D925="",0,VLOOKUP($C925,'DATA DE TARIFA'!$A$4:$C$68,3,FALSE)))</f>
        <v>4.5</v>
      </c>
      <c r="G925" s="66">
        <v>1.0</v>
      </c>
      <c r="H925" s="19">
        <f t="shared" si="1"/>
        <v>8.474576271</v>
      </c>
      <c r="I925" s="19">
        <f t="shared" si="2"/>
        <v>5.5</v>
      </c>
      <c r="J925" s="67"/>
      <c r="K925" s="44" t="str">
        <f>IF($B925="","",IFERROR(VLOOKUP($B925,Tiendas!$A$4:$B$176,2,FALSE),""))</f>
        <v>CHRISTIAN</v>
      </c>
      <c r="L925" s="68" t="s">
        <v>296</v>
      </c>
      <c r="M925" s="44" t="str">
        <f>IF($B925="","",IFERROR(VLOOKUP($B925,Tiendas!$A$4:$I$176,9,FALSE),""))</f>
        <v>Si</v>
      </c>
      <c r="N925" s="71">
        <f t="shared" si="3"/>
        <v>0</v>
      </c>
      <c r="O925" s="71">
        <f t="shared" si="4"/>
        <v>0</v>
      </c>
    </row>
    <row r="926" ht="15.75" customHeight="1">
      <c r="A926" s="17">
        <v>46023.0</v>
      </c>
      <c r="B926" s="44" t="s">
        <v>246</v>
      </c>
      <c r="C926" s="44" t="s">
        <v>32</v>
      </c>
      <c r="D926" s="45" t="s">
        <v>295</v>
      </c>
      <c r="E926" s="19">
        <f>IF($D926&lt;&gt;"Entregado",0,IF($C926="","",VLOOKUP($C926,'DATA DE TARIFA'!$A$4:$C$68,2,FALSE)/1.18))</f>
        <v>8.474576271</v>
      </c>
      <c r="F926" s="19">
        <f>IF($C926="","",IF($D926="",0,VLOOKUP($C926,'DATA DE TARIFA'!$A$4:$C$68,3,FALSE)))</f>
        <v>4.5</v>
      </c>
      <c r="G926" s="66">
        <v>0.0</v>
      </c>
      <c r="H926" s="19">
        <f t="shared" si="1"/>
        <v>8.474576271</v>
      </c>
      <c r="I926" s="19">
        <f t="shared" si="2"/>
        <v>4.5</v>
      </c>
      <c r="J926" s="67"/>
      <c r="K926" s="44" t="str">
        <f>IF($B926="","",IFERROR(VLOOKUP($B926,Tiendas!$A$4:$B$176,2,FALSE),""))</f>
        <v>CHRISTIAN</v>
      </c>
      <c r="L926" s="68" t="s">
        <v>296</v>
      </c>
      <c r="M926" s="44" t="str">
        <f>IF($B926="","",IFERROR(VLOOKUP($B926,Tiendas!$A$4:$I$176,9,FALSE),""))</f>
        <v>Si</v>
      </c>
      <c r="N926" s="71">
        <f t="shared" si="3"/>
        <v>0</v>
      </c>
      <c r="O926" s="71">
        <f t="shared" si="4"/>
        <v>0</v>
      </c>
    </row>
    <row r="927" ht="15.75" customHeight="1">
      <c r="A927" s="17">
        <v>46023.0</v>
      </c>
      <c r="B927" s="44" t="s">
        <v>246</v>
      </c>
      <c r="C927" s="44" t="s">
        <v>32</v>
      </c>
      <c r="D927" s="45" t="s">
        <v>295</v>
      </c>
      <c r="E927" s="19">
        <f>IF($D927&lt;&gt;"Entregado",0,IF($C927="","",VLOOKUP($C927,'DATA DE TARIFA'!$A$4:$C$68,2,FALSE)/1.18))</f>
        <v>8.474576271</v>
      </c>
      <c r="F927" s="19">
        <f>IF($C927="","",IF($D927="",0,VLOOKUP($C927,'DATA DE TARIFA'!$A$4:$C$68,3,FALSE)))</f>
        <v>4.5</v>
      </c>
      <c r="G927" s="66">
        <v>1.0</v>
      </c>
      <c r="H927" s="19">
        <f t="shared" si="1"/>
        <v>8.474576271</v>
      </c>
      <c r="I927" s="19">
        <f t="shared" si="2"/>
        <v>5.5</v>
      </c>
      <c r="J927" s="67"/>
      <c r="K927" s="44" t="str">
        <f>IF($B927="","",IFERROR(VLOOKUP($B927,Tiendas!$A$4:$B$176,2,FALSE),""))</f>
        <v>CHRISTIAN</v>
      </c>
      <c r="L927" s="68" t="s">
        <v>296</v>
      </c>
      <c r="M927" s="44" t="str">
        <f>IF($B927="","",IFERROR(VLOOKUP($B927,Tiendas!$A$4:$I$176,9,FALSE),""))</f>
        <v>Si</v>
      </c>
      <c r="N927" s="71">
        <f t="shared" si="3"/>
        <v>0</v>
      </c>
      <c r="O927" s="71">
        <f t="shared" si="4"/>
        <v>0</v>
      </c>
    </row>
    <row r="928" ht="15.75" customHeight="1">
      <c r="A928" s="17">
        <v>46023.0</v>
      </c>
      <c r="B928" s="44" t="s">
        <v>246</v>
      </c>
      <c r="C928" s="44" t="s">
        <v>51</v>
      </c>
      <c r="D928" s="45" t="s">
        <v>295</v>
      </c>
      <c r="E928" s="19">
        <f>IF($D928&lt;&gt;"Entregado",0,IF($C928="","",VLOOKUP($C928,'DATA DE TARIFA'!$A$4:$C$68,2,FALSE)/1.18))</f>
        <v>10.16949153</v>
      </c>
      <c r="F928" s="19">
        <f>IF($C928="","",IF($D928="",0,VLOOKUP($C928,'DATA DE TARIFA'!$A$4:$C$68,3,FALSE)))</f>
        <v>5.5</v>
      </c>
      <c r="G928" s="66">
        <v>0.0</v>
      </c>
      <c r="H928" s="19">
        <f t="shared" si="1"/>
        <v>10.16949153</v>
      </c>
      <c r="I928" s="19">
        <f t="shared" si="2"/>
        <v>5.5</v>
      </c>
      <c r="J928" s="67"/>
      <c r="K928" s="44" t="str">
        <f>IF($B928="","",IFERROR(VLOOKUP($B928,Tiendas!$A$4:$B$176,2,FALSE),""))</f>
        <v>CHRISTIAN</v>
      </c>
      <c r="L928" s="68" t="s">
        <v>296</v>
      </c>
      <c r="M928" s="44" t="str">
        <f>IF($B928="","",IFERROR(VLOOKUP($B928,Tiendas!$A$4:$I$176,9,FALSE),""))</f>
        <v>Si</v>
      </c>
      <c r="N928" s="71">
        <f t="shared" si="3"/>
        <v>0</v>
      </c>
      <c r="O928" s="71">
        <f t="shared" si="4"/>
        <v>0</v>
      </c>
    </row>
    <row r="929" ht="15.75" customHeight="1">
      <c r="A929" s="17">
        <v>46023.0</v>
      </c>
      <c r="B929" s="44" t="s">
        <v>246</v>
      </c>
      <c r="C929" s="44" t="s">
        <v>60</v>
      </c>
      <c r="D929" s="45" t="s">
        <v>295</v>
      </c>
      <c r="E929" s="19">
        <f>IF($D929&lt;&gt;"Entregado",0,IF($C929="","",VLOOKUP($C929,'DATA DE TARIFA'!$A$4:$C$68,2,FALSE)/1.18))</f>
        <v>8.474576271</v>
      </c>
      <c r="F929" s="19">
        <f>IF($C929="","",IF($D929="",0,VLOOKUP($C929,'DATA DE TARIFA'!$A$4:$C$68,3,FALSE)))</f>
        <v>4</v>
      </c>
      <c r="G929" s="66">
        <v>0.0</v>
      </c>
      <c r="H929" s="19">
        <f t="shared" si="1"/>
        <v>8.474576271</v>
      </c>
      <c r="I929" s="19">
        <f t="shared" si="2"/>
        <v>4</v>
      </c>
      <c r="J929" s="67"/>
      <c r="K929" s="44" t="str">
        <f>IF($B929="","",IFERROR(VLOOKUP($B929,Tiendas!$A$4:$B$176,2,FALSE),""))</f>
        <v>CHRISTIAN</v>
      </c>
      <c r="L929" s="68" t="s">
        <v>296</v>
      </c>
      <c r="M929" s="44" t="str">
        <f>IF($B929="","",IFERROR(VLOOKUP($B929,Tiendas!$A$4:$I$176,9,FALSE),""))</f>
        <v>Si</v>
      </c>
      <c r="N929" s="71">
        <f t="shared" si="3"/>
        <v>0</v>
      </c>
      <c r="O929" s="71">
        <f t="shared" si="4"/>
        <v>0</v>
      </c>
    </row>
    <row r="930" ht="15.75" customHeight="1">
      <c r="A930" s="17">
        <v>46023.0</v>
      </c>
      <c r="B930" s="44" t="s">
        <v>246</v>
      </c>
      <c r="C930" s="44" t="s">
        <v>60</v>
      </c>
      <c r="D930" s="45" t="s">
        <v>295</v>
      </c>
      <c r="E930" s="19">
        <f>IF($D930&lt;&gt;"Entregado",0,IF($C930="","",VLOOKUP($C930,'DATA DE TARIFA'!$A$4:$C$68,2,FALSE)/1.18))</f>
        <v>8.474576271</v>
      </c>
      <c r="F930" s="19">
        <f>IF($C930="","",IF($D930="",0,VLOOKUP($C930,'DATA DE TARIFA'!$A$4:$C$68,3,FALSE)))</f>
        <v>4</v>
      </c>
      <c r="G930" s="66">
        <v>0.0</v>
      </c>
      <c r="H930" s="19">
        <f t="shared" si="1"/>
        <v>8.474576271</v>
      </c>
      <c r="I930" s="19">
        <f t="shared" si="2"/>
        <v>4</v>
      </c>
      <c r="J930" s="67"/>
      <c r="K930" s="44" t="str">
        <f>IF($B930="","",IFERROR(VLOOKUP($B930,Tiendas!$A$4:$B$176,2,FALSE),""))</f>
        <v>CHRISTIAN</v>
      </c>
      <c r="L930" s="68" t="s">
        <v>296</v>
      </c>
      <c r="M930" s="44" t="str">
        <f>IF($B930="","",IFERROR(VLOOKUP($B930,Tiendas!$A$4:$I$176,9,FALSE),""))</f>
        <v>Si</v>
      </c>
      <c r="N930" s="71">
        <f t="shared" si="3"/>
        <v>0</v>
      </c>
      <c r="O930" s="71">
        <f t="shared" si="4"/>
        <v>0</v>
      </c>
    </row>
    <row r="931" ht="15.75" customHeight="1">
      <c r="A931" s="17">
        <v>46023.0</v>
      </c>
      <c r="B931" s="44" t="s">
        <v>246</v>
      </c>
      <c r="C931" s="44" t="s">
        <v>44</v>
      </c>
      <c r="D931" s="45" t="s">
        <v>295</v>
      </c>
      <c r="E931" s="19">
        <f>IF($D931&lt;&gt;"Entregado",0,IF($C931="","",VLOOKUP($C931,'DATA DE TARIFA'!$A$4:$C$68,2,FALSE)/1.18))</f>
        <v>10.16949153</v>
      </c>
      <c r="F931" s="19">
        <f>IF($C931="","",IF($D931="",0,VLOOKUP($C931,'DATA DE TARIFA'!$A$4:$C$68,3,FALSE)))</f>
        <v>5.5</v>
      </c>
      <c r="G931" s="66">
        <v>0.0</v>
      </c>
      <c r="H931" s="19">
        <f t="shared" si="1"/>
        <v>10.16949153</v>
      </c>
      <c r="I931" s="19">
        <f t="shared" si="2"/>
        <v>5.5</v>
      </c>
      <c r="J931" s="67"/>
      <c r="K931" s="44" t="str">
        <f>IF($B931="","",IFERROR(VLOOKUP($B931,Tiendas!$A$4:$B$176,2,FALSE),""))</f>
        <v>CHRISTIAN</v>
      </c>
      <c r="L931" s="68" t="s">
        <v>296</v>
      </c>
      <c r="M931" s="44" t="str">
        <f>IF($B931="","",IFERROR(VLOOKUP($B931,Tiendas!$A$4:$I$176,9,FALSE),""))</f>
        <v>Si</v>
      </c>
      <c r="N931" s="71">
        <f t="shared" si="3"/>
        <v>0</v>
      </c>
      <c r="O931" s="71">
        <f t="shared" si="4"/>
        <v>0</v>
      </c>
    </row>
    <row r="932" ht="15.75" customHeight="1">
      <c r="A932" s="17">
        <v>46023.0</v>
      </c>
      <c r="B932" s="44" t="s">
        <v>246</v>
      </c>
      <c r="C932" s="44" t="s">
        <v>44</v>
      </c>
      <c r="D932" s="45" t="s">
        <v>295</v>
      </c>
      <c r="E932" s="19">
        <f>IF($D932&lt;&gt;"Entregado",0,IF($C932="","",VLOOKUP($C932,'DATA DE TARIFA'!$A$4:$C$68,2,FALSE)/1.18))</f>
        <v>10.16949153</v>
      </c>
      <c r="F932" s="19">
        <f>IF($C932="","",IF($D932="",0,VLOOKUP($C932,'DATA DE TARIFA'!$A$4:$C$68,3,FALSE)))</f>
        <v>5.5</v>
      </c>
      <c r="G932" s="66">
        <v>0.0</v>
      </c>
      <c r="H932" s="19">
        <f t="shared" si="1"/>
        <v>10.16949153</v>
      </c>
      <c r="I932" s="19">
        <f t="shared" si="2"/>
        <v>5.5</v>
      </c>
      <c r="J932" s="67"/>
      <c r="K932" s="44" t="str">
        <f>IF($B932="","",IFERROR(VLOOKUP($B932,Tiendas!$A$4:$B$176,2,FALSE),""))</f>
        <v>CHRISTIAN</v>
      </c>
      <c r="L932" s="68" t="s">
        <v>296</v>
      </c>
      <c r="M932" s="44" t="str">
        <f>IF($B932="","",IFERROR(VLOOKUP($B932,Tiendas!$A$4:$I$176,9,FALSE),""))</f>
        <v>Si</v>
      </c>
      <c r="N932" s="71">
        <f t="shared" si="3"/>
        <v>0</v>
      </c>
      <c r="O932" s="71">
        <f t="shared" si="4"/>
        <v>0</v>
      </c>
    </row>
    <row r="933" ht="15.75" customHeight="1">
      <c r="A933" s="17">
        <v>46023.0</v>
      </c>
      <c r="B933" s="44" t="s">
        <v>246</v>
      </c>
      <c r="C933" s="44" t="s">
        <v>15</v>
      </c>
      <c r="D933" s="45" t="s">
        <v>295</v>
      </c>
      <c r="E933" s="19">
        <f>IF($D933&lt;&gt;"Entregado",0,IF($C933="","",VLOOKUP($C933,'DATA DE TARIFA'!$A$4:$C$68,2,FALSE)/1.18))</f>
        <v>8.474576271</v>
      </c>
      <c r="F933" s="19">
        <f>IF($C933="","",IF($D933="",0,VLOOKUP($C933,'DATA DE TARIFA'!$A$4:$C$68,3,FALSE)))</f>
        <v>4.5</v>
      </c>
      <c r="G933" s="66">
        <v>0.0</v>
      </c>
      <c r="H933" s="19">
        <f t="shared" si="1"/>
        <v>8.474576271</v>
      </c>
      <c r="I933" s="19">
        <f t="shared" si="2"/>
        <v>4.5</v>
      </c>
      <c r="J933" s="67"/>
      <c r="K933" s="44" t="str">
        <f>IF($B933="","",IFERROR(VLOOKUP($B933,Tiendas!$A$4:$B$176,2,FALSE),""))</f>
        <v>CHRISTIAN</v>
      </c>
      <c r="L933" s="68" t="s">
        <v>296</v>
      </c>
      <c r="M933" s="44" t="str">
        <f>IF($B933="","",IFERROR(VLOOKUP($B933,Tiendas!$A$4:$I$176,9,FALSE),""))</f>
        <v>Si</v>
      </c>
      <c r="N933" s="71">
        <f t="shared" si="3"/>
        <v>0</v>
      </c>
      <c r="O933" s="71">
        <f t="shared" si="4"/>
        <v>0</v>
      </c>
    </row>
    <row r="934" ht="15.75" customHeight="1">
      <c r="A934" s="17">
        <v>46023.0</v>
      </c>
      <c r="B934" s="44" t="s">
        <v>246</v>
      </c>
      <c r="C934" s="44" t="s">
        <v>18</v>
      </c>
      <c r="D934" s="45" t="s">
        <v>295</v>
      </c>
      <c r="E934" s="19">
        <f>IF($D934&lt;&gt;"Entregado",0,IF($C934="","",VLOOKUP($C934,'DATA DE TARIFA'!$A$4:$C$68,2,FALSE)/1.18))</f>
        <v>10.16949153</v>
      </c>
      <c r="F934" s="19">
        <f>IF($C934="","",IF($D934="",0,VLOOKUP($C934,'DATA DE TARIFA'!$A$4:$C$68,3,FALSE)))</f>
        <v>4.5</v>
      </c>
      <c r="G934" s="66">
        <v>0.0</v>
      </c>
      <c r="H934" s="19">
        <f t="shared" si="1"/>
        <v>10.16949153</v>
      </c>
      <c r="I934" s="19">
        <f t="shared" si="2"/>
        <v>4.5</v>
      </c>
      <c r="J934" s="67"/>
      <c r="K934" s="44" t="str">
        <f>IF($B934="","",IFERROR(VLOOKUP($B934,Tiendas!$A$4:$B$176,2,FALSE),""))</f>
        <v>CHRISTIAN</v>
      </c>
      <c r="L934" s="68" t="s">
        <v>296</v>
      </c>
      <c r="M934" s="44" t="str">
        <f>IF($B934="","",IFERROR(VLOOKUP($B934,Tiendas!$A$4:$I$176,9,FALSE),""))</f>
        <v>Si</v>
      </c>
      <c r="N934" s="71">
        <f t="shared" si="3"/>
        <v>0</v>
      </c>
      <c r="O934" s="71">
        <f t="shared" si="4"/>
        <v>0</v>
      </c>
    </row>
    <row r="935" ht="15.75" customHeight="1">
      <c r="A935" s="17">
        <v>46023.0</v>
      </c>
      <c r="B935" s="44" t="s">
        <v>246</v>
      </c>
      <c r="C935" s="44" t="s">
        <v>15</v>
      </c>
      <c r="D935" s="45" t="s">
        <v>295</v>
      </c>
      <c r="E935" s="19">
        <f>IF($D935&lt;&gt;"Entregado",0,IF($C935="","",VLOOKUP($C935,'DATA DE TARIFA'!$A$4:$C$68,2,FALSE)/1.18))</f>
        <v>8.474576271</v>
      </c>
      <c r="F935" s="19">
        <f>IF($C935="","",IF($D935="",0,VLOOKUP($C935,'DATA DE TARIFA'!$A$4:$C$68,3,FALSE)))</f>
        <v>4.5</v>
      </c>
      <c r="G935" s="66">
        <v>0.0</v>
      </c>
      <c r="H935" s="19">
        <f t="shared" si="1"/>
        <v>8.474576271</v>
      </c>
      <c r="I935" s="19">
        <f t="shared" si="2"/>
        <v>4.5</v>
      </c>
      <c r="J935" s="67"/>
      <c r="K935" s="44" t="str">
        <f>IF($B935="","",IFERROR(VLOOKUP($B935,Tiendas!$A$4:$B$176,2,FALSE),""))</f>
        <v>CHRISTIAN</v>
      </c>
      <c r="L935" s="68" t="s">
        <v>296</v>
      </c>
      <c r="M935" s="44" t="str">
        <f>IF($B935="","",IFERROR(VLOOKUP($B935,Tiendas!$A$4:$I$176,9,FALSE),""))</f>
        <v>Si</v>
      </c>
      <c r="N935" s="71">
        <f t="shared" si="3"/>
        <v>0</v>
      </c>
      <c r="O935" s="71">
        <f t="shared" si="4"/>
        <v>0</v>
      </c>
    </row>
    <row r="936" ht="15.75" customHeight="1">
      <c r="A936" s="17">
        <v>46023.0</v>
      </c>
      <c r="B936" s="44" t="s">
        <v>246</v>
      </c>
      <c r="C936" s="44" t="s">
        <v>70</v>
      </c>
      <c r="D936" s="45" t="s">
        <v>295</v>
      </c>
      <c r="E936" s="19">
        <f>IF($D936&lt;&gt;"Entregado",0,IF($C936="","",VLOOKUP($C936,'DATA DE TARIFA'!$A$4:$C$68,2,FALSE)/1.18))</f>
        <v>8.474576271</v>
      </c>
      <c r="F936" s="19">
        <f>IF($C936="","",IF($D936="",0,VLOOKUP($C936,'DATA DE TARIFA'!$A$4:$C$68,3,FALSE)))</f>
        <v>4</v>
      </c>
      <c r="G936" s="66">
        <v>0.0</v>
      </c>
      <c r="H936" s="19">
        <f t="shared" si="1"/>
        <v>8.474576271</v>
      </c>
      <c r="I936" s="19">
        <f t="shared" si="2"/>
        <v>4</v>
      </c>
      <c r="J936" s="67"/>
      <c r="K936" s="44" t="str">
        <f>IF($B936="","",IFERROR(VLOOKUP($B936,Tiendas!$A$4:$B$176,2,FALSE),""))</f>
        <v>CHRISTIAN</v>
      </c>
      <c r="L936" s="68" t="s">
        <v>296</v>
      </c>
      <c r="M936" s="44" t="str">
        <f>IF($B936="","",IFERROR(VLOOKUP($B936,Tiendas!$A$4:$I$176,9,FALSE),""))</f>
        <v>Si</v>
      </c>
      <c r="N936" s="71">
        <f t="shared" si="3"/>
        <v>0</v>
      </c>
      <c r="O936" s="71">
        <f t="shared" si="4"/>
        <v>0</v>
      </c>
    </row>
    <row r="937" ht="15.75" customHeight="1">
      <c r="A937" s="17">
        <v>46023.0</v>
      </c>
      <c r="B937" s="44" t="s">
        <v>246</v>
      </c>
      <c r="C937" s="44" t="s">
        <v>67</v>
      </c>
      <c r="D937" s="45" t="s">
        <v>295</v>
      </c>
      <c r="E937" s="19">
        <f>IF($D937&lt;&gt;"Entregado",0,IF($C937="","",VLOOKUP($C937,'DATA DE TARIFA'!$A$4:$C$68,2,FALSE)/1.18))</f>
        <v>10.16949153</v>
      </c>
      <c r="F937" s="19">
        <f>IF($C937="","",IF($D937="",0,VLOOKUP($C937,'DATA DE TARIFA'!$A$4:$C$68,3,FALSE)))</f>
        <v>5.5</v>
      </c>
      <c r="G937" s="66">
        <v>0.0</v>
      </c>
      <c r="H937" s="19">
        <f t="shared" si="1"/>
        <v>10.16949153</v>
      </c>
      <c r="I937" s="19">
        <f t="shared" si="2"/>
        <v>5.5</v>
      </c>
      <c r="J937" s="67"/>
      <c r="K937" s="44" t="str">
        <f>IF($B937="","",IFERROR(VLOOKUP($B937,Tiendas!$A$4:$B$176,2,FALSE),""))</f>
        <v>CHRISTIAN</v>
      </c>
      <c r="L937" s="68" t="s">
        <v>296</v>
      </c>
      <c r="M937" s="44" t="str">
        <f>IF($B937="","",IFERROR(VLOOKUP($B937,Tiendas!$A$4:$I$176,9,FALSE),""))</f>
        <v>Si</v>
      </c>
      <c r="N937" s="71">
        <f t="shared" si="3"/>
        <v>0</v>
      </c>
      <c r="O937" s="71">
        <f t="shared" si="4"/>
        <v>0</v>
      </c>
    </row>
    <row r="938" ht="15.75" customHeight="1">
      <c r="A938" s="17">
        <v>46023.0</v>
      </c>
      <c r="B938" s="44" t="s">
        <v>246</v>
      </c>
      <c r="C938" s="44" t="s">
        <v>60</v>
      </c>
      <c r="D938" s="45" t="s">
        <v>295</v>
      </c>
      <c r="E938" s="19">
        <f>IF($D938&lt;&gt;"Entregado",0,IF($C938="","",VLOOKUP($C938,'DATA DE TARIFA'!$A$4:$C$68,2,FALSE)/1.18))</f>
        <v>8.474576271</v>
      </c>
      <c r="F938" s="19">
        <f>IF($C938="","",IF($D938="",0,VLOOKUP($C938,'DATA DE TARIFA'!$A$4:$C$68,3,FALSE)))</f>
        <v>4</v>
      </c>
      <c r="G938" s="66">
        <v>0.0</v>
      </c>
      <c r="H938" s="19">
        <f t="shared" si="1"/>
        <v>8.474576271</v>
      </c>
      <c r="I938" s="19">
        <f t="shared" si="2"/>
        <v>4</v>
      </c>
      <c r="J938" s="67"/>
      <c r="K938" s="44" t="str">
        <f>IF($B938="","",IFERROR(VLOOKUP($B938,Tiendas!$A$4:$B$176,2,FALSE),""))</f>
        <v>CHRISTIAN</v>
      </c>
      <c r="L938" s="68" t="s">
        <v>296</v>
      </c>
      <c r="M938" s="44" t="str">
        <f>IF($B938="","",IFERROR(VLOOKUP($B938,Tiendas!$A$4:$I$176,9,FALSE),""))</f>
        <v>Si</v>
      </c>
      <c r="N938" s="71">
        <f t="shared" si="3"/>
        <v>0</v>
      </c>
      <c r="O938" s="71">
        <f t="shared" si="4"/>
        <v>0</v>
      </c>
    </row>
    <row r="939" ht="15.75" customHeight="1">
      <c r="A939" s="17">
        <v>46023.0</v>
      </c>
      <c r="B939" s="44" t="s">
        <v>246</v>
      </c>
      <c r="C939" s="44" t="s">
        <v>55</v>
      </c>
      <c r="D939" s="45" t="s">
        <v>295</v>
      </c>
      <c r="E939" s="19">
        <f>IF($D939&lt;&gt;"Entregado",0,IF($C939="","",VLOOKUP($C939,'DATA DE TARIFA'!$A$4:$C$68,2,FALSE)/1.18))</f>
        <v>8.474576271</v>
      </c>
      <c r="F939" s="19">
        <f>IF($C939="","",IF($D939="",0,VLOOKUP($C939,'DATA DE TARIFA'!$A$4:$C$68,3,FALSE)))</f>
        <v>4</v>
      </c>
      <c r="G939" s="66">
        <v>0.0</v>
      </c>
      <c r="H939" s="19">
        <f t="shared" si="1"/>
        <v>8.474576271</v>
      </c>
      <c r="I939" s="19">
        <f t="shared" si="2"/>
        <v>4</v>
      </c>
      <c r="J939" s="67"/>
      <c r="K939" s="44" t="str">
        <f>IF($B939="","",IFERROR(VLOOKUP($B939,Tiendas!$A$4:$B$176,2,FALSE),""))</f>
        <v>CHRISTIAN</v>
      </c>
      <c r="L939" s="68" t="s">
        <v>296</v>
      </c>
      <c r="M939" s="44" t="str">
        <f>IF($B939="","",IFERROR(VLOOKUP($B939,Tiendas!$A$4:$I$176,9,FALSE),""))</f>
        <v>Si</v>
      </c>
      <c r="N939" s="71">
        <f t="shared" si="3"/>
        <v>0</v>
      </c>
      <c r="O939" s="71">
        <f t="shared" si="4"/>
        <v>0</v>
      </c>
    </row>
    <row r="940" ht="15.75" customHeight="1">
      <c r="A940" s="17">
        <v>46023.0</v>
      </c>
      <c r="B940" s="44" t="s">
        <v>246</v>
      </c>
      <c r="C940" s="44" t="s">
        <v>15</v>
      </c>
      <c r="D940" s="45" t="s">
        <v>295</v>
      </c>
      <c r="E940" s="19">
        <f>IF($D940&lt;&gt;"Entregado",0,IF($C940="","",VLOOKUP($C940,'DATA DE TARIFA'!$A$4:$C$68,2,FALSE)/1.18))</f>
        <v>8.474576271</v>
      </c>
      <c r="F940" s="19">
        <f>IF($C940="","",IF($D940="",0,VLOOKUP($C940,'DATA DE TARIFA'!$A$4:$C$68,3,FALSE)))</f>
        <v>4.5</v>
      </c>
      <c r="G940" s="66">
        <v>0.0</v>
      </c>
      <c r="H940" s="19">
        <f t="shared" si="1"/>
        <v>8.474576271</v>
      </c>
      <c r="I940" s="19">
        <f t="shared" si="2"/>
        <v>4.5</v>
      </c>
      <c r="J940" s="67"/>
      <c r="K940" s="44" t="str">
        <f>IF($B940="","",IFERROR(VLOOKUP($B940,Tiendas!$A$4:$B$176,2,FALSE),""))</f>
        <v>CHRISTIAN</v>
      </c>
      <c r="L940" s="68" t="s">
        <v>296</v>
      </c>
      <c r="M940" s="44" t="str">
        <f>IF($B940="","",IFERROR(VLOOKUP($B940,Tiendas!$A$4:$I$176,9,FALSE),""))</f>
        <v>Si</v>
      </c>
      <c r="N940" s="71">
        <f t="shared" si="3"/>
        <v>0</v>
      </c>
      <c r="O940" s="71">
        <f t="shared" si="4"/>
        <v>0</v>
      </c>
    </row>
    <row r="941" ht="15.75" customHeight="1">
      <c r="A941" s="17">
        <v>46023.0</v>
      </c>
      <c r="B941" s="44" t="s">
        <v>246</v>
      </c>
      <c r="C941" s="44" t="s">
        <v>30</v>
      </c>
      <c r="D941" s="45" t="s">
        <v>295</v>
      </c>
      <c r="E941" s="19">
        <f>IF($D941&lt;&gt;"Entregado",0,IF($C941="","",VLOOKUP($C941,'DATA DE TARIFA'!$A$4:$C$68,2,FALSE)/1.18))</f>
        <v>8.474576271</v>
      </c>
      <c r="F941" s="19">
        <f>IF($C941="","",IF($D941="",0,VLOOKUP($C941,'DATA DE TARIFA'!$A$4:$C$68,3,FALSE)))</f>
        <v>4.5</v>
      </c>
      <c r="G941" s="66">
        <v>0.0</v>
      </c>
      <c r="H941" s="19">
        <f t="shared" si="1"/>
        <v>8.474576271</v>
      </c>
      <c r="I941" s="19">
        <f t="shared" si="2"/>
        <v>4.5</v>
      </c>
      <c r="J941" s="67"/>
      <c r="K941" s="44" t="str">
        <f>IF($B941="","",IFERROR(VLOOKUP($B941,Tiendas!$A$4:$B$176,2,FALSE),""))</f>
        <v>CHRISTIAN</v>
      </c>
      <c r="L941" s="68" t="s">
        <v>296</v>
      </c>
      <c r="M941" s="44" t="str">
        <f>IF($B941="","",IFERROR(VLOOKUP($B941,Tiendas!$A$4:$I$176,9,FALSE),""))</f>
        <v>Si</v>
      </c>
      <c r="N941" s="71">
        <f t="shared" si="3"/>
        <v>0</v>
      </c>
      <c r="O941" s="71">
        <f t="shared" si="4"/>
        <v>0</v>
      </c>
    </row>
    <row r="942" ht="15.75" customHeight="1">
      <c r="A942" s="17">
        <v>46023.0</v>
      </c>
      <c r="B942" s="44" t="s">
        <v>246</v>
      </c>
      <c r="C942" s="44" t="s">
        <v>21</v>
      </c>
      <c r="D942" s="45" t="s">
        <v>295</v>
      </c>
      <c r="E942" s="19">
        <f>IF($D942&lt;&gt;"Entregado",0,IF($C942="","",VLOOKUP($C942,'DATA DE TARIFA'!$A$4:$C$68,2,FALSE)/1.18))</f>
        <v>10.16949153</v>
      </c>
      <c r="F942" s="19">
        <f>IF($C942="","",IF($D942="",0,VLOOKUP($C942,'DATA DE TARIFA'!$A$4:$C$68,3,FALSE)))</f>
        <v>4.5</v>
      </c>
      <c r="G942" s="66">
        <v>0.0</v>
      </c>
      <c r="H942" s="19">
        <f t="shared" si="1"/>
        <v>10.16949153</v>
      </c>
      <c r="I942" s="19">
        <f t="shared" si="2"/>
        <v>4.5</v>
      </c>
      <c r="J942" s="67"/>
      <c r="K942" s="44" t="str">
        <f>IF($B942="","",IFERROR(VLOOKUP($B942,Tiendas!$A$4:$B$176,2,FALSE),""))</f>
        <v>CHRISTIAN</v>
      </c>
      <c r="L942" s="68" t="s">
        <v>296</v>
      </c>
      <c r="M942" s="44" t="str">
        <f>IF($B942="","",IFERROR(VLOOKUP($B942,Tiendas!$A$4:$I$176,9,FALSE),""))</f>
        <v>Si</v>
      </c>
      <c r="N942" s="71">
        <f t="shared" si="3"/>
        <v>0</v>
      </c>
      <c r="O942" s="71">
        <f t="shared" si="4"/>
        <v>0</v>
      </c>
    </row>
    <row r="943" ht="15.75" customHeight="1">
      <c r="A943" s="17">
        <v>46023.0</v>
      </c>
      <c r="B943" s="44" t="s">
        <v>246</v>
      </c>
      <c r="C943" s="44" t="s">
        <v>34</v>
      </c>
      <c r="D943" s="45" t="s">
        <v>295</v>
      </c>
      <c r="E943" s="19">
        <f>IF($D943&lt;&gt;"Entregado",0,IF($C943="","",VLOOKUP($C943,'DATA DE TARIFA'!$A$4:$C$68,2,FALSE)/1.18))</f>
        <v>10.16949153</v>
      </c>
      <c r="F943" s="19">
        <f>IF($C943="","",IF($D943="",0,VLOOKUP($C943,'DATA DE TARIFA'!$A$4:$C$68,3,FALSE)))</f>
        <v>4.5</v>
      </c>
      <c r="G943" s="66">
        <v>0.0</v>
      </c>
      <c r="H943" s="19">
        <f t="shared" si="1"/>
        <v>10.16949153</v>
      </c>
      <c r="I943" s="19">
        <f t="shared" si="2"/>
        <v>4.5</v>
      </c>
      <c r="J943" s="67"/>
      <c r="K943" s="44" t="str">
        <f>IF($B943="","",IFERROR(VLOOKUP($B943,Tiendas!$A$4:$B$176,2,FALSE),""))</f>
        <v>CHRISTIAN</v>
      </c>
      <c r="L943" s="68" t="s">
        <v>296</v>
      </c>
      <c r="M943" s="44" t="str">
        <f>IF($B943="","",IFERROR(VLOOKUP($B943,Tiendas!$A$4:$I$176,9,FALSE),""))</f>
        <v>Si</v>
      </c>
      <c r="N943" s="71">
        <f t="shared" si="3"/>
        <v>0</v>
      </c>
      <c r="O943" s="71">
        <f t="shared" si="4"/>
        <v>0</v>
      </c>
    </row>
    <row r="944" ht="15.75" customHeight="1">
      <c r="A944" s="17">
        <v>46023.0</v>
      </c>
      <c r="B944" s="44" t="s">
        <v>246</v>
      </c>
      <c r="C944" s="44" t="s">
        <v>211</v>
      </c>
      <c r="D944" s="45" t="s">
        <v>295</v>
      </c>
      <c r="E944" s="19">
        <f>IF($D944&lt;&gt;"Entregado",0,IF($C944="","",VLOOKUP($C944,'DATA DE TARIFA'!$A$4:$C$68,2,FALSE)/1.18))</f>
        <v>6.779661017</v>
      </c>
      <c r="F944" s="19">
        <f>IF($C944="","",IF($D944="",0,VLOOKUP($C944,'DATA DE TARIFA'!$A$4:$C$68,3,FALSE)))</f>
        <v>4</v>
      </c>
      <c r="G944" s="66">
        <v>0.0</v>
      </c>
      <c r="H944" s="19">
        <f t="shared" si="1"/>
        <v>6.779661017</v>
      </c>
      <c r="I944" s="19">
        <f t="shared" si="2"/>
        <v>4</v>
      </c>
      <c r="J944" s="67"/>
      <c r="K944" s="44" t="str">
        <f>IF($B944="","",IFERROR(VLOOKUP($B944,Tiendas!$A$4:$B$176,2,FALSE),""))</f>
        <v>CHRISTIAN</v>
      </c>
      <c r="L944" s="68" t="s">
        <v>296</v>
      </c>
      <c r="M944" s="44" t="str">
        <f>IF($B944="","",IFERROR(VLOOKUP($B944,Tiendas!$A$4:$I$176,9,FALSE),""))</f>
        <v>Si</v>
      </c>
      <c r="N944" s="71">
        <f t="shared" si="3"/>
        <v>0</v>
      </c>
      <c r="O944" s="71">
        <f t="shared" si="4"/>
        <v>0</v>
      </c>
    </row>
    <row r="945" ht="15.75" customHeight="1">
      <c r="A945" s="17">
        <v>46023.0</v>
      </c>
      <c r="B945" s="44" t="s">
        <v>246</v>
      </c>
      <c r="C945" s="44" t="s">
        <v>84</v>
      </c>
      <c r="D945" s="45" t="s">
        <v>295</v>
      </c>
      <c r="E945" s="19">
        <f>IF($D945&lt;&gt;"Entregado",0,IF($C945="","",VLOOKUP($C945,'DATA DE TARIFA'!$A$4:$C$68,2,FALSE)/1.18))</f>
        <v>14.40677966</v>
      </c>
      <c r="F945" s="19">
        <f>IF($C945="","",IF($D945="",0,VLOOKUP($C945,'DATA DE TARIFA'!$A$4:$C$68,3,FALSE)))</f>
        <v>7.5</v>
      </c>
      <c r="G945" s="66">
        <v>0.0</v>
      </c>
      <c r="H945" s="19">
        <f t="shared" si="1"/>
        <v>14.40677966</v>
      </c>
      <c r="I945" s="19">
        <f t="shared" si="2"/>
        <v>7.5</v>
      </c>
      <c r="J945" s="67"/>
      <c r="K945" s="44" t="str">
        <f>IF($B945="","",IFERROR(VLOOKUP($B945,Tiendas!$A$4:$B$176,2,FALSE),""))</f>
        <v>CHRISTIAN</v>
      </c>
      <c r="L945" s="68" t="s">
        <v>296</v>
      </c>
      <c r="M945" s="44" t="str">
        <f>IF($B945="","",IFERROR(VLOOKUP($B945,Tiendas!$A$4:$I$176,9,FALSE),""))</f>
        <v>Si</v>
      </c>
      <c r="N945" s="71">
        <f t="shared" si="3"/>
        <v>0</v>
      </c>
      <c r="O945" s="71">
        <f t="shared" si="4"/>
        <v>0</v>
      </c>
    </row>
    <row r="946" ht="15.75" customHeight="1">
      <c r="A946" s="17">
        <v>46023.0</v>
      </c>
      <c r="B946" s="44" t="s">
        <v>246</v>
      </c>
      <c r="C946" s="44" t="s">
        <v>15</v>
      </c>
      <c r="D946" s="45" t="s">
        <v>295</v>
      </c>
      <c r="E946" s="19">
        <f>IF($D946&lt;&gt;"Entregado",0,IF($C946="","",VLOOKUP($C946,'DATA DE TARIFA'!$A$4:$C$68,2,FALSE)/1.18))</f>
        <v>8.474576271</v>
      </c>
      <c r="F946" s="19">
        <f>IF($C946="","",IF($D946="",0,VLOOKUP($C946,'DATA DE TARIFA'!$A$4:$C$68,3,FALSE)))</f>
        <v>4.5</v>
      </c>
      <c r="G946" s="66">
        <v>0.0</v>
      </c>
      <c r="H946" s="19">
        <f t="shared" si="1"/>
        <v>8.474576271</v>
      </c>
      <c r="I946" s="19">
        <f t="shared" si="2"/>
        <v>4.5</v>
      </c>
      <c r="J946" s="67"/>
      <c r="K946" s="44" t="str">
        <f>IF($B946="","",IFERROR(VLOOKUP($B946,Tiendas!$A$4:$B$176,2,FALSE),""))</f>
        <v>CHRISTIAN</v>
      </c>
      <c r="L946" s="68" t="s">
        <v>296</v>
      </c>
      <c r="M946" s="44" t="str">
        <f>IF($B946="","",IFERROR(VLOOKUP($B946,Tiendas!$A$4:$I$176,9,FALSE),""))</f>
        <v>Si</v>
      </c>
      <c r="N946" s="71">
        <f t="shared" si="3"/>
        <v>0</v>
      </c>
      <c r="O946" s="71">
        <f t="shared" si="4"/>
        <v>0</v>
      </c>
    </row>
    <row r="947" ht="15.75" customHeight="1">
      <c r="A947" s="17">
        <v>46023.0</v>
      </c>
      <c r="B947" s="44" t="s">
        <v>246</v>
      </c>
      <c r="C947" s="44" t="s">
        <v>15</v>
      </c>
      <c r="D947" s="45" t="s">
        <v>295</v>
      </c>
      <c r="E947" s="19">
        <f>IF($D947&lt;&gt;"Entregado",0,IF($C947="","",VLOOKUP($C947,'DATA DE TARIFA'!$A$4:$C$68,2,FALSE)/1.18))</f>
        <v>8.474576271</v>
      </c>
      <c r="F947" s="19">
        <f>IF($C947="","",IF($D947="",0,VLOOKUP($C947,'DATA DE TARIFA'!$A$4:$C$68,3,FALSE)))</f>
        <v>4.5</v>
      </c>
      <c r="G947" s="66">
        <v>0.0</v>
      </c>
      <c r="H947" s="19">
        <f t="shared" si="1"/>
        <v>8.474576271</v>
      </c>
      <c r="I947" s="19">
        <f t="shared" si="2"/>
        <v>4.5</v>
      </c>
      <c r="J947" s="67"/>
      <c r="K947" s="44" t="str">
        <f>IF($B947="","",IFERROR(VLOOKUP($B947,Tiendas!$A$4:$B$176,2,FALSE),""))</f>
        <v>CHRISTIAN</v>
      </c>
      <c r="L947" s="68" t="s">
        <v>296</v>
      </c>
      <c r="M947" s="44" t="str">
        <f>IF($B947="","",IFERROR(VLOOKUP($B947,Tiendas!$A$4:$I$176,9,FALSE),""))</f>
        <v>Si</v>
      </c>
      <c r="N947" s="71">
        <f t="shared" si="3"/>
        <v>0</v>
      </c>
      <c r="O947" s="71">
        <f t="shared" si="4"/>
        <v>0</v>
      </c>
    </row>
    <row r="948" ht="15.75" customHeight="1">
      <c r="A948" s="17">
        <v>46023.0</v>
      </c>
      <c r="B948" s="44" t="s">
        <v>246</v>
      </c>
      <c r="C948" s="44" t="s">
        <v>15</v>
      </c>
      <c r="D948" s="45" t="s">
        <v>295</v>
      </c>
      <c r="E948" s="19">
        <f>IF($D948&lt;&gt;"Entregado",0,IF($C948="","",VLOOKUP($C948,'DATA DE TARIFA'!$A$4:$C$68,2,FALSE)/1.18))</f>
        <v>8.474576271</v>
      </c>
      <c r="F948" s="19">
        <f>IF($C948="","",IF($D948="",0,VLOOKUP($C948,'DATA DE TARIFA'!$A$4:$C$68,3,FALSE)))</f>
        <v>4.5</v>
      </c>
      <c r="G948" s="66">
        <v>0.0</v>
      </c>
      <c r="H948" s="19">
        <f t="shared" si="1"/>
        <v>8.474576271</v>
      </c>
      <c r="I948" s="19">
        <f t="shared" si="2"/>
        <v>4.5</v>
      </c>
      <c r="J948" s="67"/>
      <c r="K948" s="44" t="str">
        <f>IF($B948="","",IFERROR(VLOOKUP($B948,Tiendas!$A$4:$B$176,2,FALSE),""))</f>
        <v>CHRISTIAN</v>
      </c>
      <c r="L948" s="68" t="s">
        <v>296</v>
      </c>
      <c r="M948" s="44" t="str">
        <f>IF($B948="","",IFERROR(VLOOKUP($B948,Tiendas!$A$4:$I$176,9,FALSE),""))</f>
        <v>Si</v>
      </c>
      <c r="N948" s="71">
        <f t="shared" si="3"/>
        <v>0</v>
      </c>
      <c r="O948" s="71">
        <f t="shared" si="4"/>
        <v>0</v>
      </c>
    </row>
    <row r="949" ht="15.75" customHeight="1">
      <c r="A949" s="17">
        <v>46023.0</v>
      </c>
      <c r="B949" s="44" t="s">
        <v>246</v>
      </c>
      <c r="C949" s="44" t="s">
        <v>15</v>
      </c>
      <c r="D949" s="45" t="s">
        <v>295</v>
      </c>
      <c r="E949" s="19">
        <f>IF($D949&lt;&gt;"Entregado",0,IF($C949="","",VLOOKUP($C949,'DATA DE TARIFA'!$A$4:$C$68,2,FALSE)/1.18))</f>
        <v>8.474576271</v>
      </c>
      <c r="F949" s="19">
        <f>IF($C949="","",IF($D949="",0,VLOOKUP($C949,'DATA DE TARIFA'!$A$4:$C$68,3,FALSE)))</f>
        <v>4.5</v>
      </c>
      <c r="G949" s="66">
        <v>0.0</v>
      </c>
      <c r="H949" s="19">
        <f t="shared" si="1"/>
        <v>8.474576271</v>
      </c>
      <c r="I949" s="19">
        <f t="shared" si="2"/>
        <v>4.5</v>
      </c>
      <c r="J949" s="67"/>
      <c r="K949" s="44" t="str">
        <f>IF($B949="","",IFERROR(VLOOKUP($B949,Tiendas!$A$4:$B$176,2,FALSE),""))</f>
        <v>CHRISTIAN</v>
      </c>
      <c r="L949" s="68" t="s">
        <v>296</v>
      </c>
      <c r="M949" s="44" t="str">
        <f>IF($B949="","",IFERROR(VLOOKUP($B949,Tiendas!$A$4:$I$176,9,FALSE),""))</f>
        <v>Si</v>
      </c>
      <c r="N949" s="71">
        <f t="shared" si="3"/>
        <v>0</v>
      </c>
      <c r="O949" s="71">
        <f t="shared" si="4"/>
        <v>0</v>
      </c>
    </row>
    <row r="950" ht="15.75" customHeight="1">
      <c r="A950" s="17">
        <v>46023.0</v>
      </c>
      <c r="B950" s="44" t="s">
        <v>246</v>
      </c>
      <c r="C950" s="44" t="s">
        <v>26</v>
      </c>
      <c r="D950" s="45" t="s">
        <v>295</v>
      </c>
      <c r="E950" s="19">
        <f>IF($D950&lt;&gt;"Entregado",0,IF($C950="","",VLOOKUP($C950,'DATA DE TARIFA'!$A$4:$C$68,2,FALSE)/1.18))</f>
        <v>10.16949153</v>
      </c>
      <c r="F950" s="19">
        <f>IF($C950="","",IF($D950="",0,VLOOKUP($C950,'DATA DE TARIFA'!$A$4:$C$68,3,FALSE)))</f>
        <v>5</v>
      </c>
      <c r="G950" s="66">
        <v>0.0</v>
      </c>
      <c r="H950" s="19">
        <f t="shared" si="1"/>
        <v>10.16949153</v>
      </c>
      <c r="I950" s="19">
        <f t="shared" si="2"/>
        <v>5</v>
      </c>
      <c r="J950" s="67"/>
      <c r="K950" s="44" t="str">
        <f>IF($B950="","",IFERROR(VLOOKUP($B950,Tiendas!$A$4:$B$176,2,FALSE),""))</f>
        <v>CHRISTIAN</v>
      </c>
      <c r="L950" s="68" t="s">
        <v>296</v>
      </c>
      <c r="M950" s="44" t="str">
        <f>IF($B950="","",IFERROR(VLOOKUP($B950,Tiendas!$A$4:$I$176,9,FALSE),""))</f>
        <v>Si</v>
      </c>
      <c r="N950" s="71">
        <f t="shared" si="3"/>
        <v>0</v>
      </c>
      <c r="O950" s="71">
        <f t="shared" si="4"/>
        <v>0</v>
      </c>
    </row>
    <row r="951" ht="15.75" customHeight="1">
      <c r="A951" s="17">
        <v>46023.0</v>
      </c>
      <c r="B951" s="44" t="s">
        <v>246</v>
      </c>
      <c r="C951" s="44" t="s">
        <v>60</v>
      </c>
      <c r="D951" s="45" t="s">
        <v>295</v>
      </c>
      <c r="E951" s="19">
        <f>IF($D951&lt;&gt;"Entregado",0,IF($C951="","",VLOOKUP($C951,'DATA DE TARIFA'!$A$4:$C$68,2,FALSE)/1.18))</f>
        <v>8.474576271</v>
      </c>
      <c r="F951" s="19">
        <f>IF($C951="","",IF($D951="",0,VLOOKUP($C951,'DATA DE TARIFA'!$A$4:$C$68,3,FALSE)))</f>
        <v>4</v>
      </c>
      <c r="G951" s="66">
        <v>1.0</v>
      </c>
      <c r="H951" s="19">
        <f t="shared" si="1"/>
        <v>8.474576271</v>
      </c>
      <c r="I951" s="19">
        <f t="shared" si="2"/>
        <v>5</v>
      </c>
      <c r="J951" s="67"/>
      <c r="K951" s="44" t="str">
        <f>IF($B951="","",IFERROR(VLOOKUP($B951,Tiendas!$A$4:$B$176,2,FALSE),""))</f>
        <v>CHRISTIAN</v>
      </c>
      <c r="L951" s="68" t="s">
        <v>296</v>
      </c>
      <c r="M951" s="44" t="str">
        <f>IF($B951="","",IFERROR(VLOOKUP($B951,Tiendas!$A$4:$I$176,9,FALSE),""))</f>
        <v>Si</v>
      </c>
      <c r="N951" s="71">
        <f t="shared" si="3"/>
        <v>0</v>
      </c>
      <c r="O951" s="71">
        <f t="shared" si="4"/>
        <v>0</v>
      </c>
    </row>
    <row r="952" ht="15.75" customHeight="1">
      <c r="A952" s="17">
        <v>46023.0</v>
      </c>
      <c r="B952" s="44" t="s">
        <v>246</v>
      </c>
      <c r="C952" s="44" t="s">
        <v>21</v>
      </c>
      <c r="D952" s="45" t="s">
        <v>295</v>
      </c>
      <c r="E952" s="19">
        <f>IF($D952&lt;&gt;"Entregado",0,IF($C952="","",VLOOKUP($C952,'DATA DE TARIFA'!$A$4:$C$68,2,FALSE)/1.18))</f>
        <v>10.16949153</v>
      </c>
      <c r="F952" s="19">
        <f>IF($C952="","",IF($D952="",0,VLOOKUP($C952,'DATA DE TARIFA'!$A$4:$C$68,3,FALSE)))</f>
        <v>4.5</v>
      </c>
      <c r="G952" s="66">
        <v>0.0</v>
      </c>
      <c r="H952" s="19">
        <f t="shared" si="1"/>
        <v>10.16949153</v>
      </c>
      <c r="I952" s="19">
        <f t="shared" si="2"/>
        <v>4.5</v>
      </c>
      <c r="J952" s="67"/>
      <c r="K952" s="44" t="str">
        <f>IF($B952="","",IFERROR(VLOOKUP($B952,Tiendas!$A$4:$B$176,2,FALSE),""))</f>
        <v>CHRISTIAN</v>
      </c>
      <c r="L952" s="68" t="s">
        <v>296</v>
      </c>
      <c r="M952" s="44" t="str">
        <f>IF($B952="","",IFERROR(VLOOKUP($B952,Tiendas!$A$4:$I$176,9,FALSE),""))</f>
        <v>Si</v>
      </c>
      <c r="N952" s="71">
        <f t="shared" si="3"/>
        <v>0</v>
      </c>
      <c r="O952" s="71">
        <f t="shared" si="4"/>
        <v>0</v>
      </c>
    </row>
    <row r="953" ht="15.75" customHeight="1">
      <c r="A953" s="17">
        <v>46023.0</v>
      </c>
      <c r="B953" s="44" t="s">
        <v>246</v>
      </c>
      <c r="C953" s="44" t="s">
        <v>21</v>
      </c>
      <c r="D953" s="45" t="s">
        <v>295</v>
      </c>
      <c r="E953" s="19">
        <f>IF($D953&lt;&gt;"Entregado",0,IF($C953="","",VLOOKUP($C953,'DATA DE TARIFA'!$A$4:$C$68,2,FALSE)/1.18))</f>
        <v>10.16949153</v>
      </c>
      <c r="F953" s="19">
        <f>IF($C953="","",IF($D953="",0,VLOOKUP($C953,'DATA DE TARIFA'!$A$4:$C$68,3,FALSE)))</f>
        <v>4.5</v>
      </c>
      <c r="G953" s="66">
        <v>0.0</v>
      </c>
      <c r="H953" s="19">
        <f t="shared" si="1"/>
        <v>10.16949153</v>
      </c>
      <c r="I953" s="19">
        <f t="shared" si="2"/>
        <v>4.5</v>
      </c>
      <c r="J953" s="67"/>
      <c r="K953" s="44" t="str">
        <f>IF($B953="","",IFERROR(VLOOKUP($B953,Tiendas!$A$4:$B$176,2,FALSE),""))</f>
        <v>CHRISTIAN</v>
      </c>
      <c r="L953" s="68" t="s">
        <v>296</v>
      </c>
      <c r="M953" s="44" t="str">
        <f>IF($B953="","",IFERROR(VLOOKUP($B953,Tiendas!$A$4:$I$176,9,FALSE),""))</f>
        <v>Si</v>
      </c>
      <c r="N953" s="71">
        <f t="shared" si="3"/>
        <v>0</v>
      </c>
      <c r="O953" s="71">
        <f t="shared" si="4"/>
        <v>0</v>
      </c>
    </row>
    <row r="954" ht="15.75" customHeight="1">
      <c r="A954" s="17">
        <v>46023.0</v>
      </c>
      <c r="B954" s="44" t="s">
        <v>246</v>
      </c>
      <c r="C954" s="44" t="s">
        <v>68</v>
      </c>
      <c r="D954" s="45" t="s">
        <v>295</v>
      </c>
      <c r="E954" s="19">
        <f>IF($D954&lt;&gt;"Entregado",0,IF($C954="","",VLOOKUP($C954,'DATA DE TARIFA'!$A$4:$C$68,2,FALSE)/1.18))</f>
        <v>11.86440678</v>
      </c>
      <c r="F954" s="19">
        <f>IF($C954="","",IF($D954="",0,VLOOKUP($C954,'DATA DE TARIFA'!$A$4:$C$68,3,FALSE)))</f>
        <v>7.5</v>
      </c>
      <c r="G954" s="66">
        <v>0.0</v>
      </c>
      <c r="H954" s="19">
        <f t="shared" si="1"/>
        <v>11.86440678</v>
      </c>
      <c r="I954" s="19">
        <f t="shared" si="2"/>
        <v>7.5</v>
      </c>
      <c r="J954" s="67"/>
      <c r="K954" s="44" t="str">
        <f>IF($B954="","",IFERROR(VLOOKUP($B954,Tiendas!$A$4:$B$176,2,FALSE),""))</f>
        <v>CHRISTIAN</v>
      </c>
      <c r="L954" s="68" t="s">
        <v>296</v>
      </c>
      <c r="M954" s="44" t="str">
        <f>IF($B954="","",IFERROR(VLOOKUP($B954,Tiendas!$A$4:$I$176,9,FALSE),""))</f>
        <v>Si</v>
      </c>
      <c r="N954" s="71">
        <f t="shared" si="3"/>
        <v>0</v>
      </c>
      <c r="O954" s="71">
        <f t="shared" si="4"/>
        <v>0</v>
      </c>
    </row>
    <row r="955" ht="15.75" customHeight="1">
      <c r="A955" s="17">
        <v>46023.0</v>
      </c>
      <c r="B955" s="44" t="s">
        <v>246</v>
      </c>
      <c r="C955" s="44" t="s">
        <v>15</v>
      </c>
      <c r="D955" s="45" t="s">
        <v>295</v>
      </c>
      <c r="E955" s="19">
        <f>IF($D955&lt;&gt;"Entregado",0,IF($C955="","",VLOOKUP($C955,'DATA DE TARIFA'!$A$4:$C$68,2,FALSE)/1.18))</f>
        <v>8.474576271</v>
      </c>
      <c r="F955" s="19">
        <f>IF($C955="","",IF($D955="",0,VLOOKUP($C955,'DATA DE TARIFA'!$A$4:$C$68,3,FALSE)))</f>
        <v>4.5</v>
      </c>
      <c r="G955" s="66">
        <v>0.0</v>
      </c>
      <c r="H955" s="19">
        <f t="shared" si="1"/>
        <v>8.474576271</v>
      </c>
      <c r="I955" s="19">
        <f t="shared" si="2"/>
        <v>4.5</v>
      </c>
      <c r="J955" s="67"/>
      <c r="K955" s="44" t="str">
        <f>IF($B955="","",IFERROR(VLOOKUP($B955,Tiendas!$A$4:$B$176,2,FALSE),""))</f>
        <v>CHRISTIAN</v>
      </c>
      <c r="L955" s="68" t="s">
        <v>296</v>
      </c>
      <c r="M955" s="44" t="str">
        <f>IF($B955="","",IFERROR(VLOOKUP($B955,Tiendas!$A$4:$I$176,9,FALSE),""))</f>
        <v>Si</v>
      </c>
      <c r="N955" s="71">
        <f t="shared" si="3"/>
        <v>0</v>
      </c>
      <c r="O955" s="71">
        <f t="shared" si="4"/>
        <v>0</v>
      </c>
    </row>
    <row r="956" ht="15.75" customHeight="1">
      <c r="A956" s="17">
        <v>46023.0</v>
      </c>
      <c r="B956" s="44" t="s">
        <v>246</v>
      </c>
      <c r="C956" s="44" t="s">
        <v>36</v>
      </c>
      <c r="D956" s="45" t="s">
        <v>295</v>
      </c>
      <c r="E956" s="19">
        <f>IF($D956&lt;&gt;"Entregado",0,IF($C956="","",VLOOKUP($C956,'DATA DE TARIFA'!$A$4:$C$68,2,FALSE)/1.18))</f>
        <v>10.16949153</v>
      </c>
      <c r="F956" s="19">
        <f>IF($C956="","",IF($D956="",0,VLOOKUP($C956,'DATA DE TARIFA'!$A$4:$C$68,3,FALSE)))</f>
        <v>4.5</v>
      </c>
      <c r="G956" s="66">
        <v>0.0</v>
      </c>
      <c r="H956" s="19">
        <f t="shared" si="1"/>
        <v>10.16949153</v>
      </c>
      <c r="I956" s="19">
        <f t="shared" si="2"/>
        <v>4.5</v>
      </c>
      <c r="J956" s="67"/>
      <c r="K956" s="44" t="str">
        <f>IF($B956="","",IFERROR(VLOOKUP($B956,Tiendas!$A$4:$B$176,2,FALSE),""))</f>
        <v>CHRISTIAN</v>
      </c>
      <c r="L956" s="68" t="s">
        <v>296</v>
      </c>
      <c r="M956" s="44" t="str">
        <f>IF($B956="","",IFERROR(VLOOKUP($B956,Tiendas!$A$4:$I$176,9,FALSE),""))</f>
        <v>Si</v>
      </c>
      <c r="N956" s="71">
        <f t="shared" si="3"/>
        <v>0</v>
      </c>
      <c r="O956" s="71">
        <f t="shared" si="4"/>
        <v>0</v>
      </c>
    </row>
    <row r="957" ht="15.75" customHeight="1">
      <c r="A957" s="17">
        <v>46023.0</v>
      </c>
      <c r="B957" s="44" t="s">
        <v>246</v>
      </c>
      <c r="C957" s="44" t="s">
        <v>36</v>
      </c>
      <c r="D957" s="45" t="s">
        <v>295</v>
      </c>
      <c r="E957" s="19">
        <f>IF($D957&lt;&gt;"Entregado",0,IF($C957="","",VLOOKUP($C957,'DATA DE TARIFA'!$A$4:$C$68,2,FALSE)/1.18))</f>
        <v>10.16949153</v>
      </c>
      <c r="F957" s="19">
        <f>IF($C957="","",IF($D957="",0,VLOOKUP($C957,'DATA DE TARIFA'!$A$4:$C$68,3,FALSE)))</f>
        <v>4.5</v>
      </c>
      <c r="G957" s="66">
        <v>0.0</v>
      </c>
      <c r="H957" s="19">
        <f t="shared" si="1"/>
        <v>10.16949153</v>
      </c>
      <c r="I957" s="19">
        <f t="shared" si="2"/>
        <v>4.5</v>
      </c>
      <c r="J957" s="67"/>
      <c r="K957" s="44" t="str">
        <f>IF($B957="","",IFERROR(VLOOKUP($B957,Tiendas!$A$4:$B$176,2,FALSE),""))</f>
        <v>CHRISTIAN</v>
      </c>
      <c r="L957" s="68" t="s">
        <v>296</v>
      </c>
      <c r="M957" s="44" t="str">
        <f>IF($B957="","",IFERROR(VLOOKUP($B957,Tiendas!$A$4:$I$176,9,FALSE),""))</f>
        <v>Si</v>
      </c>
      <c r="N957" s="71">
        <f t="shared" si="3"/>
        <v>0</v>
      </c>
      <c r="O957" s="71">
        <f t="shared" si="4"/>
        <v>0</v>
      </c>
    </row>
    <row r="958" ht="15.75" customHeight="1">
      <c r="A958" s="17">
        <v>46023.0</v>
      </c>
      <c r="B958" s="44" t="s">
        <v>246</v>
      </c>
      <c r="C958" s="44" t="s">
        <v>38</v>
      </c>
      <c r="D958" s="45" t="s">
        <v>295</v>
      </c>
      <c r="E958" s="19">
        <f>IF($D958&lt;&gt;"Entregado",0,IF($C958="","",VLOOKUP($C958,'DATA DE TARIFA'!$A$4:$C$68,2,FALSE)/1.18))</f>
        <v>8.474576271</v>
      </c>
      <c r="F958" s="19">
        <f>IF($C958="","",IF($D958="",0,VLOOKUP($C958,'DATA DE TARIFA'!$A$4:$C$68,3,FALSE)))</f>
        <v>4</v>
      </c>
      <c r="G958" s="66">
        <v>0.0</v>
      </c>
      <c r="H958" s="19">
        <f t="shared" si="1"/>
        <v>8.474576271</v>
      </c>
      <c r="I958" s="19">
        <f t="shared" si="2"/>
        <v>4</v>
      </c>
      <c r="J958" s="67"/>
      <c r="K958" s="44" t="str">
        <f>IF($B958="","",IFERROR(VLOOKUP($B958,Tiendas!$A$4:$B$176,2,FALSE),""))</f>
        <v>CHRISTIAN</v>
      </c>
      <c r="L958" s="68" t="s">
        <v>296</v>
      </c>
      <c r="M958" s="44" t="str">
        <f>IF($B958="","",IFERROR(VLOOKUP($B958,Tiendas!$A$4:$I$176,9,FALSE),""))</f>
        <v>Si</v>
      </c>
      <c r="N958" s="71">
        <f t="shared" si="3"/>
        <v>0</v>
      </c>
      <c r="O958" s="71">
        <f t="shared" si="4"/>
        <v>0</v>
      </c>
    </row>
    <row r="959" ht="15.75" customHeight="1">
      <c r="A959" s="17">
        <v>46023.0</v>
      </c>
      <c r="B959" s="44" t="s">
        <v>246</v>
      </c>
      <c r="C959" s="44" t="s">
        <v>40</v>
      </c>
      <c r="D959" s="45" t="s">
        <v>295</v>
      </c>
      <c r="E959" s="19">
        <f>IF($D959&lt;&gt;"Entregado",0,IF($C959="","",VLOOKUP($C959,'DATA DE TARIFA'!$A$4:$C$68,2,FALSE)/1.18))</f>
        <v>8.474576271</v>
      </c>
      <c r="F959" s="19">
        <f>IF($C959="","",IF($D959="",0,VLOOKUP($C959,'DATA DE TARIFA'!$A$4:$C$68,3,FALSE)))</f>
        <v>4</v>
      </c>
      <c r="G959" s="66">
        <v>0.0</v>
      </c>
      <c r="H959" s="19">
        <f t="shared" si="1"/>
        <v>8.474576271</v>
      </c>
      <c r="I959" s="19">
        <f t="shared" si="2"/>
        <v>4</v>
      </c>
      <c r="J959" s="67"/>
      <c r="K959" s="44" t="str">
        <f>IF($B959="","",IFERROR(VLOOKUP($B959,Tiendas!$A$4:$B$176,2,FALSE),""))</f>
        <v>CHRISTIAN</v>
      </c>
      <c r="L959" s="68" t="s">
        <v>296</v>
      </c>
      <c r="M959" s="44" t="str">
        <f>IF($B959="","",IFERROR(VLOOKUP($B959,Tiendas!$A$4:$I$176,9,FALSE),""))</f>
        <v>Si</v>
      </c>
      <c r="N959" s="71">
        <f t="shared" si="3"/>
        <v>0</v>
      </c>
      <c r="O959" s="71">
        <f t="shared" si="4"/>
        <v>0</v>
      </c>
    </row>
    <row r="960" ht="15.75" customHeight="1">
      <c r="A960" s="17">
        <v>46023.0</v>
      </c>
      <c r="B960" s="44" t="s">
        <v>246</v>
      </c>
      <c r="C960" s="44" t="s">
        <v>60</v>
      </c>
      <c r="D960" s="45" t="s">
        <v>295</v>
      </c>
      <c r="E960" s="19">
        <f>IF($D960&lt;&gt;"Entregado",0,IF($C960="","",VLOOKUP($C960,'DATA DE TARIFA'!$A$4:$C$68,2,FALSE)/1.18))</f>
        <v>8.474576271</v>
      </c>
      <c r="F960" s="19">
        <f>IF($C960="","",IF($D960="",0,VLOOKUP($C960,'DATA DE TARIFA'!$A$4:$C$68,3,FALSE)))</f>
        <v>4</v>
      </c>
      <c r="G960" s="66">
        <v>0.0</v>
      </c>
      <c r="H960" s="19">
        <f t="shared" si="1"/>
        <v>8.474576271</v>
      </c>
      <c r="I960" s="19">
        <f t="shared" si="2"/>
        <v>4</v>
      </c>
      <c r="J960" s="67"/>
      <c r="K960" s="44" t="str">
        <f>IF($B960="","",IFERROR(VLOOKUP($B960,Tiendas!$A$4:$B$176,2,FALSE),""))</f>
        <v>CHRISTIAN</v>
      </c>
      <c r="L960" s="68" t="s">
        <v>296</v>
      </c>
      <c r="M960" s="44" t="str">
        <f>IF($B960="","",IFERROR(VLOOKUP($B960,Tiendas!$A$4:$I$176,9,FALSE),""))</f>
        <v>Si</v>
      </c>
      <c r="N960" s="71">
        <f t="shared" si="3"/>
        <v>0</v>
      </c>
      <c r="O960" s="71">
        <f t="shared" si="4"/>
        <v>0</v>
      </c>
    </row>
    <row r="961" ht="15.75" customHeight="1">
      <c r="A961" s="17">
        <v>46023.0</v>
      </c>
      <c r="B961" s="44" t="s">
        <v>246</v>
      </c>
      <c r="C961" s="44" t="s">
        <v>60</v>
      </c>
      <c r="D961" s="45" t="s">
        <v>295</v>
      </c>
      <c r="E961" s="19">
        <f>IF($D961&lt;&gt;"Entregado",0,IF($C961="","",VLOOKUP($C961,'DATA DE TARIFA'!$A$4:$C$68,2,FALSE)/1.18))</f>
        <v>8.474576271</v>
      </c>
      <c r="F961" s="19">
        <f>IF($C961="","",IF($D961="",0,VLOOKUP($C961,'DATA DE TARIFA'!$A$4:$C$68,3,FALSE)))</f>
        <v>4</v>
      </c>
      <c r="G961" s="66">
        <v>0.0</v>
      </c>
      <c r="H961" s="19">
        <f t="shared" si="1"/>
        <v>8.474576271</v>
      </c>
      <c r="I961" s="19">
        <f t="shared" si="2"/>
        <v>4</v>
      </c>
      <c r="J961" s="67"/>
      <c r="K961" s="44" t="str">
        <f>IF($B961="","",IFERROR(VLOOKUP($B961,Tiendas!$A$4:$B$176,2,FALSE),""))</f>
        <v>CHRISTIAN</v>
      </c>
      <c r="L961" s="68" t="s">
        <v>296</v>
      </c>
      <c r="M961" s="44" t="str">
        <f>IF($B961="","",IFERROR(VLOOKUP($B961,Tiendas!$A$4:$I$176,9,FALSE),""))</f>
        <v>Si</v>
      </c>
      <c r="N961" s="71">
        <f t="shared" si="3"/>
        <v>0</v>
      </c>
      <c r="O961" s="71">
        <f t="shared" si="4"/>
        <v>0</v>
      </c>
    </row>
    <row r="962" ht="15.75" customHeight="1">
      <c r="A962" s="17">
        <v>46023.0</v>
      </c>
      <c r="B962" s="44" t="s">
        <v>246</v>
      </c>
      <c r="C962" s="44" t="s">
        <v>58</v>
      </c>
      <c r="D962" s="45" t="s">
        <v>295</v>
      </c>
      <c r="E962" s="19">
        <f>IF($D962&lt;&gt;"Entregado",0,IF($C962="","",VLOOKUP($C962,'DATA DE TARIFA'!$A$4:$C$68,2,FALSE)/1.18))</f>
        <v>8.474576271</v>
      </c>
      <c r="F962" s="19">
        <f>IF($C962="","",IF($D962="",0,VLOOKUP($C962,'DATA DE TARIFA'!$A$4:$C$68,3,FALSE)))</f>
        <v>4</v>
      </c>
      <c r="G962" s="66">
        <v>0.0</v>
      </c>
      <c r="H962" s="19">
        <f t="shared" si="1"/>
        <v>8.474576271</v>
      </c>
      <c r="I962" s="19">
        <f t="shared" si="2"/>
        <v>4</v>
      </c>
      <c r="J962" s="67"/>
      <c r="K962" s="44" t="str">
        <f>IF($B962="","",IFERROR(VLOOKUP($B962,Tiendas!$A$4:$B$176,2,FALSE),""))</f>
        <v>CHRISTIAN</v>
      </c>
      <c r="L962" s="68" t="s">
        <v>296</v>
      </c>
      <c r="M962" s="44" t="str">
        <f>IF($B962="","",IFERROR(VLOOKUP($B962,Tiendas!$A$4:$I$176,9,FALSE),""))</f>
        <v>Si</v>
      </c>
      <c r="N962" s="71">
        <f t="shared" si="3"/>
        <v>0</v>
      </c>
      <c r="O962" s="71">
        <f t="shared" si="4"/>
        <v>0</v>
      </c>
    </row>
    <row r="963" ht="15.75" customHeight="1">
      <c r="A963" s="17">
        <v>46023.0</v>
      </c>
      <c r="B963" s="44" t="s">
        <v>246</v>
      </c>
      <c r="C963" s="44" t="s">
        <v>60</v>
      </c>
      <c r="D963" s="45" t="s">
        <v>295</v>
      </c>
      <c r="E963" s="19">
        <f>IF($D963&lt;&gt;"Entregado",0,IF($C963="","",VLOOKUP($C963,'DATA DE TARIFA'!$A$4:$C$68,2,FALSE)/1.18))</f>
        <v>8.474576271</v>
      </c>
      <c r="F963" s="19">
        <f>IF($C963="","",IF($D963="",0,VLOOKUP($C963,'DATA DE TARIFA'!$A$4:$C$68,3,FALSE)))</f>
        <v>4</v>
      </c>
      <c r="G963" s="66">
        <v>0.0</v>
      </c>
      <c r="H963" s="19">
        <f t="shared" si="1"/>
        <v>8.474576271</v>
      </c>
      <c r="I963" s="19">
        <f t="shared" si="2"/>
        <v>4</v>
      </c>
      <c r="J963" s="67"/>
      <c r="K963" s="44" t="str">
        <f>IF($B963="","",IFERROR(VLOOKUP($B963,Tiendas!$A$4:$B$176,2,FALSE),""))</f>
        <v>CHRISTIAN</v>
      </c>
      <c r="L963" s="68" t="s">
        <v>296</v>
      </c>
      <c r="M963" s="44" t="str">
        <f>IF($B963="","",IFERROR(VLOOKUP($B963,Tiendas!$A$4:$I$176,9,FALSE),""))</f>
        <v>Si</v>
      </c>
      <c r="N963" s="71">
        <f t="shared" si="3"/>
        <v>0</v>
      </c>
      <c r="O963" s="71">
        <f t="shared" si="4"/>
        <v>0</v>
      </c>
    </row>
    <row r="964" ht="15.75" customHeight="1">
      <c r="A964" s="17">
        <v>46023.0</v>
      </c>
      <c r="B964" s="44" t="s">
        <v>246</v>
      </c>
      <c r="C964" s="44" t="s">
        <v>38</v>
      </c>
      <c r="D964" s="45" t="s">
        <v>295</v>
      </c>
      <c r="E964" s="19">
        <f>IF($D964&lt;&gt;"Entregado",0,IF($C964="","",VLOOKUP($C964,'DATA DE TARIFA'!$A$4:$C$68,2,FALSE)/1.18))</f>
        <v>8.474576271</v>
      </c>
      <c r="F964" s="19">
        <f>IF($C964="","",IF($D964="",0,VLOOKUP($C964,'DATA DE TARIFA'!$A$4:$C$68,3,FALSE)))</f>
        <v>4</v>
      </c>
      <c r="G964" s="66">
        <v>0.0</v>
      </c>
      <c r="H964" s="19">
        <f t="shared" si="1"/>
        <v>8.474576271</v>
      </c>
      <c r="I964" s="19">
        <f t="shared" si="2"/>
        <v>4</v>
      </c>
      <c r="J964" s="67"/>
      <c r="K964" s="44" t="str">
        <f>IF($B964="","",IFERROR(VLOOKUP($B964,Tiendas!$A$4:$B$176,2,FALSE),""))</f>
        <v>CHRISTIAN</v>
      </c>
      <c r="L964" s="68" t="s">
        <v>296</v>
      </c>
      <c r="M964" s="44" t="str">
        <f>IF($B964="","",IFERROR(VLOOKUP($B964,Tiendas!$A$4:$I$176,9,FALSE),""))</f>
        <v>Si</v>
      </c>
      <c r="N964" s="71">
        <f t="shared" si="3"/>
        <v>0</v>
      </c>
      <c r="O964" s="71">
        <f t="shared" si="4"/>
        <v>0</v>
      </c>
    </row>
    <row r="965" ht="15.75" customHeight="1">
      <c r="A965" s="17">
        <v>46023.0</v>
      </c>
      <c r="B965" s="44" t="s">
        <v>246</v>
      </c>
      <c r="C965" s="44" t="s">
        <v>15</v>
      </c>
      <c r="D965" s="45" t="s">
        <v>295</v>
      </c>
      <c r="E965" s="19">
        <f>IF($D965&lt;&gt;"Entregado",0,IF($C965="","",VLOOKUP($C965,'DATA DE TARIFA'!$A$4:$C$68,2,FALSE)/1.18))</f>
        <v>8.474576271</v>
      </c>
      <c r="F965" s="19">
        <f>IF($C965="","",IF($D965="",0,VLOOKUP($C965,'DATA DE TARIFA'!$A$4:$C$68,3,FALSE)))</f>
        <v>4.5</v>
      </c>
      <c r="G965" s="66">
        <v>0.0</v>
      </c>
      <c r="H965" s="19">
        <f t="shared" si="1"/>
        <v>8.474576271</v>
      </c>
      <c r="I965" s="19">
        <f t="shared" si="2"/>
        <v>4.5</v>
      </c>
      <c r="J965" s="67"/>
      <c r="K965" s="44" t="str">
        <f>IF($B965="","",IFERROR(VLOOKUP($B965,Tiendas!$A$4:$B$176,2,FALSE),""))</f>
        <v>CHRISTIAN</v>
      </c>
      <c r="L965" s="68" t="s">
        <v>296</v>
      </c>
      <c r="M965" s="44" t="str">
        <f>IF($B965="","",IFERROR(VLOOKUP($B965,Tiendas!$A$4:$I$176,9,FALSE),""))</f>
        <v>Si</v>
      </c>
      <c r="N965" s="71">
        <f t="shared" si="3"/>
        <v>0</v>
      </c>
      <c r="O965" s="71">
        <f t="shared" si="4"/>
        <v>0</v>
      </c>
    </row>
    <row r="966" ht="15.75" customHeight="1">
      <c r="A966" s="17">
        <v>46023.0</v>
      </c>
      <c r="B966" s="44" t="s">
        <v>246</v>
      </c>
      <c r="C966" s="44" t="s">
        <v>15</v>
      </c>
      <c r="D966" s="45" t="s">
        <v>295</v>
      </c>
      <c r="E966" s="19">
        <f>IF($D966&lt;&gt;"Entregado",0,IF($C966="","",VLOOKUP($C966,'DATA DE TARIFA'!$A$4:$C$68,2,FALSE)/1.18))</f>
        <v>8.474576271</v>
      </c>
      <c r="F966" s="19">
        <f>IF($C966="","",IF($D966="",0,VLOOKUP($C966,'DATA DE TARIFA'!$A$4:$C$68,3,FALSE)))</f>
        <v>4.5</v>
      </c>
      <c r="G966" s="66">
        <v>0.0</v>
      </c>
      <c r="H966" s="19">
        <f t="shared" si="1"/>
        <v>8.474576271</v>
      </c>
      <c r="I966" s="19">
        <f t="shared" si="2"/>
        <v>4.5</v>
      </c>
      <c r="J966" s="67"/>
      <c r="K966" s="44" t="str">
        <f>IF($B966="","",IFERROR(VLOOKUP($B966,Tiendas!$A$4:$B$176,2,FALSE),""))</f>
        <v>CHRISTIAN</v>
      </c>
      <c r="L966" s="68" t="s">
        <v>296</v>
      </c>
      <c r="M966" s="44" t="str">
        <f>IF($B966="","",IFERROR(VLOOKUP($B966,Tiendas!$A$4:$I$176,9,FALSE),""))</f>
        <v>Si</v>
      </c>
      <c r="N966" s="71">
        <f t="shared" si="3"/>
        <v>0</v>
      </c>
      <c r="O966" s="71">
        <f t="shared" si="4"/>
        <v>0</v>
      </c>
    </row>
    <row r="967" ht="15.75" customHeight="1">
      <c r="A967" s="17">
        <v>46023.0</v>
      </c>
      <c r="B967" s="44" t="s">
        <v>246</v>
      </c>
      <c r="C967" s="44" t="s">
        <v>15</v>
      </c>
      <c r="D967" s="45" t="s">
        <v>295</v>
      </c>
      <c r="E967" s="19">
        <f>IF($D967&lt;&gt;"Entregado",0,IF($C967="","",VLOOKUP($C967,'DATA DE TARIFA'!$A$4:$C$68,2,FALSE)/1.18))</f>
        <v>8.474576271</v>
      </c>
      <c r="F967" s="19">
        <f>IF($C967="","",IF($D967="",0,VLOOKUP($C967,'DATA DE TARIFA'!$A$4:$C$68,3,FALSE)))</f>
        <v>4.5</v>
      </c>
      <c r="G967" s="66">
        <v>0.0</v>
      </c>
      <c r="H967" s="19">
        <f t="shared" si="1"/>
        <v>8.474576271</v>
      </c>
      <c r="I967" s="19">
        <f t="shared" si="2"/>
        <v>4.5</v>
      </c>
      <c r="J967" s="67"/>
      <c r="K967" s="44" t="str">
        <f>IF($B967="","",IFERROR(VLOOKUP($B967,Tiendas!$A$4:$B$176,2,FALSE),""))</f>
        <v>CHRISTIAN</v>
      </c>
      <c r="L967" s="68" t="s">
        <v>296</v>
      </c>
      <c r="M967" s="44" t="str">
        <f>IF($B967="","",IFERROR(VLOOKUP($B967,Tiendas!$A$4:$I$176,9,FALSE),""))</f>
        <v>Si</v>
      </c>
      <c r="N967" s="71">
        <f t="shared" si="3"/>
        <v>0</v>
      </c>
      <c r="O967" s="71">
        <f t="shared" si="4"/>
        <v>0</v>
      </c>
    </row>
    <row r="968" ht="15.75" customHeight="1">
      <c r="A968" s="17">
        <v>46023.0</v>
      </c>
      <c r="B968" s="44" t="s">
        <v>246</v>
      </c>
      <c r="C968" s="44" t="s">
        <v>21</v>
      </c>
      <c r="D968" s="45" t="s">
        <v>295</v>
      </c>
      <c r="E968" s="19">
        <f>IF($D968&lt;&gt;"Entregado",0,IF($C968="","",VLOOKUP($C968,'DATA DE TARIFA'!$A$4:$C$68,2,FALSE)/1.18))</f>
        <v>10.16949153</v>
      </c>
      <c r="F968" s="19">
        <f>IF($C968="","",IF($D968="",0,VLOOKUP($C968,'DATA DE TARIFA'!$A$4:$C$68,3,FALSE)))</f>
        <v>4.5</v>
      </c>
      <c r="G968" s="66">
        <v>0.0</v>
      </c>
      <c r="H968" s="19">
        <f t="shared" si="1"/>
        <v>10.16949153</v>
      </c>
      <c r="I968" s="19">
        <f t="shared" si="2"/>
        <v>4.5</v>
      </c>
      <c r="J968" s="67"/>
      <c r="K968" s="44" t="str">
        <f>IF($B968="","",IFERROR(VLOOKUP($B968,Tiendas!$A$4:$B$176,2,FALSE),""))</f>
        <v>CHRISTIAN</v>
      </c>
      <c r="L968" s="68" t="s">
        <v>296</v>
      </c>
      <c r="M968" s="44" t="str">
        <f>IF($B968="","",IFERROR(VLOOKUP($B968,Tiendas!$A$4:$I$176,9,FALSE),""))</f>
        <v>Si</v>
      </c>
      <c r="N968" s="71">
        <f t="shared" si="3"/>
        <v>0</v>
      </c>
      <c r="O968" s="71">
        <f t="shared" si="4"/>
        <v>0</v>
      </c>
    </row>
    <row r="969" ht="15.75" customHeight="1">
      <c r="A969" s="17">
        <v>46023.0</v>
      </c>
      <c r="B969" s="44" t="s">
        <v>246</v>
      </c>
      <c r="C969" s="44" t="s">
        <v>93</v>
      </c>
      <c r="D969" s="45" t="s">
        <v>295</v>
      </c>
      <c r="E969" s="19">
        <f>IF($D969&lt;&gt;"Entregado",0,IF($C969="","",VLOOKUP($C969,'DATA DE TARIFA'!$A$4:$C$68,2,FALSE)/1.18))</f>
        <v>18.6440678</v>
      </c>
      <c r="F969" s="19">
        <f>IF($C969="","",IF($D969="",0,VLOOKUP($C969,'DATA DE TARIFA'!$A$4:$C$68,3,FALSE)))</f>
        <v>12</v>
      </c>
      <c r="G969" s="66">
        <v>0.0</v>
      </c>
      <c r="H969" s="19">
        <f t="shared" si="1"/>
        <v>18.6440678</v>
      </c>
      <c r="I969" s="19">
        <f t="shared" si="2"/>
        <v>12</v>
      </c>
      <c r="J969" s="67"/>
      <c r="K969" s="44" t="str">
        <f>IF($B969="","",IFERROR(VLOOKUP($B969,Tiendas!$A$4:$B$176,2,FALSE),""))</f>
        <v>CHRISTIAN</v>
      </c>
      <c r="L969" s="68" t="s">
        <v>296</v>
      </c>
      <c r="M969" s="44" t="str">
        <f>IF($B969="","",IFERROR(VLOOKUP($B969,Tiendas!$A$4:$I$176,9,FALSE),""))</f>
        <v>Si</v>
      </c>
      <c r="N969" s="71">
        <f t="shared" si="3"/>
        <v>0</v>
      </c>
      <c r="O969" s="71">
        <f t="shared" si="4"/>
        <v>0</v>
      </c>
    </row>
    <row r="970" ht="15.75" customHeight="1">
      <c r="A970" s="17">
        <v>46023.0</v>
      </c>
      <c r="B970" s="44" t="s">
        <v>246</v>
      </c>
      <c r="C970" s="44" t="s">
        <v>55</v>
      </c>
      <c r="D970" s="45" t="s">
        <v>295</v>
      </c>
      <c r="E970" s="19">
        <f>IF($D970&lt;&gt;"Entregado",0,IF($C970="","",VLOOKUP($C970,'DATA DE TARIFA'!$A$4:$C$68,2,FALSE)/1.18))</f>
        <v>8.474576271</v>
      </c>
      <c r="F970" s="19">
        <f>IF($C970="","",IF($D970="",0,VLOOKUP($C970,'DATA DE TARIFA'!$A$4:$C$68,3,FALSE)))</f>
        <v>4</v>
      </c>
      <c r="G970" s="66">
        <v>0.0</v>
      </c>
      <c r="H970" s="19">
        <f t="shared" si="1"/>
        <v>8.474576271</v>
      </c>
      <c r="I970" s="19">
        <f t="shared" si="2"/>
        <v>4</v>
      </c>
      <c r="J970" s="67"/>
      <c r="K970" s="44" t="str">
        <f>IF($B970="","",IFERROR(VLOOKUP($B970,Tiendas!$A$4:$B$176,2,FALSE),""))</f>
        <v>CHRISTIAN</v>
      </c>
      <c r="L970" s="68" t="s">
        <v>296</v>
      </c>
      <c r="M970" s="44" t="str">
        <f>IF($B970="","",IFERROR(VLOOKUP($B970,Tiendas!$A$4:$I$176,9,FALSE),""))</f>
        <v>Si</v>
      </c>
      <c r="N970" s="71">
        <f t="shared" si="3"/>
        <v>0</v>
      </c>
      <c r="O970" s="71">
        <f t="shared" si="4"/>
        <v>0</v>
      </c>
    </row>
    <row r="971" ht="15.75" customHeight="1">
      <c r="A971" s="17">
        <v>46023.0</v>
      </c>
      <c r="B971" s="44" t="s">
        <v>246</v>
      </c>
      <c r="C971" s="44" t="s">
        <v>38</v>
      </c>
      <c r="D971" s="45" t="s">
        <v>295</v>
      </c>
      <c r="E971" s="19">
        <f>IF($D971&lt;&gt;"Entregado",0,IF($C971="","",VLOOKUP($C971,'DATA DE TARIFA'!$A$4:$C$68,2,FALSE)/1.18))</f>
        <v>8.474576271</v>
      </c>
      <c r="F971" s="19">
        <f>IF($C971="","",IF($D971="",0,VLOOKUP($C971,'DATA DE TARIFA'!$A$4:$C$68,3,FALSE)))</f>
        <v>4</v>
      </c>
      <c r="G971" s="66">
        <v>0.0</v>
      </c>
      <c r="H971" s="19">
        <f t="shared" si="1"/>
        <v>8.474576271</v>
      </c>
      <c r="I971" s="19">
        <f t="shared" si="2"/>
        <v>4</v>
      </c>
      <c r="J971" s="67"/>
      <c r="K971" s="44" t="str">
        <f>IF($B971="","",IFERROR(VLOOKUP($B971,Tiendas!$A$4:$B$176,2,FALSE),""))</f>
        <v>CHRISTIAN</v>
      </c>
      <c r="L971" s="68" t="s">
        <v>296</v>
      </c>
      <c r="M971" s="44" t="str">
        <f>IF($B971="","",IFERROR(VLOOKUP($B971,Tiendas!$A$4:$I$176,9,FALSE),""))</f>
        <v>Si</v>
      </c>
      <c r="N971" s="71">
        <f t="shared" si="3"/>
        <v>0</v>
      </c>
      <c r="O971" s="71">
        <f t="shared" si="4"/>
        <v>0</v>
      </c>
    </row>
    <row r="972" ht="15.75" customHeight="1">
      <c r="A972" s="17">
        <v>46023.0</v>
      </c>
      <c r="B972" s="44" t="s">
        <v>246</v>
      </c>
      <c r="C972" s="44" t="s">
        <v>63</v>
      </c>
      <c r="D972" s="45" t="s">
        <v>295</v>
      </c>
      <c r="E972" s="19">
        <f>IF($D972&lt;&gt;"Entregado",0,IF($C972="","",VLOOKUP($C972,'DATA DE TARIFA'!$A$4:$C$68,2,FALSE)/1.18))</f>
        <v>8.474576271</v>
      </c>
      <c r="F972" s="19">
        <f>IF($C972="","",IF($D972="",0,VLOOKUP($C972,'DATA DE TARIFA'!$A$4:$C$68,3,FALSE)))</f>
        <v>4</v>
      </c>
      <c r="G972" s="66">
        <v>0.0</v>
      </c>
      <c r="H972" s="19">
        <f t="shared" si="1"/>
        <v>8.474576271</v>
      </c>
      <c r="I972" s="19">
        <f t="shared" si="2"/>
        <v>4</v>
      </c>
      <c r="J972" s="67"/>
      <c r="K972" s="44" t="str">
        <f>IF($B972="","",IFERROR(VLOOKUP($B972,Tiendas!$A$4:$B$176,2,FALSE),""))</f>
        <v>CHRISTIAN</v>
      </c>
      <c r="L972" s="68" t="s">
        <v>296</v>
      </c>
      <c r="M972" s="44" t="str">
        <f>IF($B972="","",IFERROR(VLOOKUP($B972,Tiendas!$A$4:$I$176,9,FALSE),""))</f>
        <v>Si</v>
      </c>
      <c r="N972" s="71">
        <f t="shared" si="3"/>
        <v>0</v>
      </c>
      <c r="O972" s="71">
        <f t="shared" si="4"/>
        <v>0</v>
      </c>
    </row>
    <row r="973" ht="15.75" customHeight="1">
      <c r="A973" s="17">
        <v>46023.0</v>
      </c>
      <c r="B973" s="44" t="s">
        <v>246</v>
      </c>
      <c r="C973" s="44" t="s">
        <v>46</v>
      </c>
      <c r="D973" s="45" t="s">
        <v>295</v>
      </c>
      <c r="E973" s="19">
        <f>IF($D973&lt;&gt;"Entregado",0,IF($C973="","",VLOOKUP($C973,'DATA DE TARIFA'!$A$4:$C$68,2,FALSE)/1.18))</f>
        <v>10.16949153</v>
      </c>
      <c r="F973" s="19">
        <f>IF($C973="","",IF($D973="",0,VLOOKUP($C973,'DATA DE TARIFA'!$A$4:$C$68,3,FALSE)))</f>
        <v>4.5</v>
      </c>
      <c r="G973" s="66">
        <v>0.0</v>
      </c>
      <c r="H973" s="19">
        <f t="shared" si="1"/>
        <v>10.16949153</v>
      </c>
      <c r="I973" s="19">
        <f t="shared" si="2"/>
        <v>4.5</v>
      </c>
      <c r="J973" s="67"/>
      <c r="K973" s="44" t="str">
        <f>IF($B973="","",IFERROR(VLOOKUP($B973,Tiendas!$A$4:$B$176,2,FALSE),""))</f>
        <v>CHRISTIAN</v>
      </c>
      <c r="L973" s="68" t="s">
        <v>296</v>
      </c>
      <c r="M973" s="44" t="str">
        <f>IF($B973="","",IFERROR(VLOOKUP($B973,Tiendas!$A$4:$I$176,9,FALSE),""))</f>
        <v>Si</v>
      </c>
      <c r="N973" s="71">
        <f t="shared" si="3"/>
        <v>0</v>
      </c>
      <c r="O973" s="71">
        <f t="shared" si="4"/>
        <v>0</v>
      </c>
    </row>
    <row r="974" ht="15.75" customHeight="1">
      <c r="A974" s="17">
        <v>46023.0</v>
      </c>
      <c r="B974" s="44" t="s">
        <v>246</v>
      </c>
      <c r="C974" s="44" t="s">
        <v>46</v>
      </c>
      <c r="D974" s="45" t="s">
        <v>295</v>
      </c>
      <c r="E974" s="19">
        <f>IF($D974&lt;&gt;"Entregado",0,IF($C974="","",VLOOKUP($C974,'DATA DE TARIFA'!$A$4:$C$68,2,FALSE)/1.18))</f>
        <v>10.16949153</v>
      </c>
      <c r="F974" s="19">
        <f>IF($C974="","",IF($D974="",0,VLOOKUP($C974,'DATA DE TARIFA'!$A$4:$C$68,3,FALSE)))</f>
        <v>4.5</v>
      </c>
      <c r="G974" s="66">
        <v>0.0</v>
      </c>
      <c r="H974" s="19">
        <f t="shared" si="1"/>
        <v>10.16949153</v>
      </c>
      <c r="I974" s="19">
        <f t="shared" si="2"/>
        <v>4.5</v>
      </c>
      <c r="J974" s="67"/>
      <c r="K974" s="44" t="str">
        <f>IF($B974="","",IFERROR(VLOOKUP($B974,Tiendas!$A$4:$B$176,2,FALSE),""))</f>
        <v>CHRISTIAN</v>
      </c>
      <c r="L974" s="68" t="s">
        <v>296</v>
      </c>
      <c r="M974" s="44" t="str">
        <f>IF($B974="","",IFERROR(VLOOKUP($B974,Tiendas!$A$4:$I$176,9,FALSE),""))</f>
        <v>Si</v>
      </c>
      <c r="N974" s="71">
        <f t="shared" si="3"/>
        <v>0</v>
      </c>
      <c r="O974" s="71">
        <f t="shared" si="4"/>
        <v>0</v>
      </c>
    </row>
    <row r="975" ht="15.75" customHeight="1">
      <c r="A975" s="17">
        <v>46023.0</v>
      </c>
      <c r="B975" s="44" t="s">
        <v>246</v>
      </c>
      <c r="C975" s="44" t="s">
        <v>24</v>
      </c>
      <c r="D975" s="45" t="s">
        <v>295</v>
      </c>
      <c r="E975" s="19">
        <f>IF($D975&lt;&gt;"Entregado",0,IF($C975="","",VLOOKUP($C975,'DATA DE TARIFA'!$A$4:$C$68,2,FALSE)/1.18))</f>
        <v>8.474576271</v>
      </c>
      <c r="F975" s="19">
        <f>IF($C975="","",IF($D975="",0,VLOOKUP($C975,'DATA DE TARIFA'!$A$4:$C$68,3,FALSE)))</f>
        <v>4.5</v>
      </c>
      <c r="G975" s="66">
        <v>0.0</v>
      </c>
      <c r="H975" s="19">
        <f t="shared" si="1"/>
        <v>8.474576271</v>
      </c>
      <c r="I975" s="19">
        <f t="shared" si="2"/>
        <v>4.5</v>
      </c>
      <c r="J975" s="67"/>
      <c r="K975" s="44" t="str">
        <f>IF($B975="","",IFERROR(VLOOKUP($B975,Tiendas!$A$4:$B$176,2,FALSE),""))</f>
        <v>CHRISTIAN</v>
      </c>
      <c r="L975" s="68" t="s">
        <v>296</v>
      </c>
      <c r="M975" s="44" t="str">
        <f>IF($B975="","",IFERROR(VLOOKUP($B975,Tiendas!$A$4:$I$176,9,FALSE),""))</f>
        <v>Si</v>
      </c>
      <c r="N975" s="71">
        <f t="shared" si="3"/>
        <v>0</v>
      </c>
      <c r="O975" s="71">
        <f t="shared" si="4"/>
        <v>0</v>
      </c>
    </row>
    <row r="976" ht="15.75" customHeight="1">
      <c r="A976" s="17">
        <v>46023.0</v>
      </c>
      <c r="B976" s="44" t="s">
        <v>246</v>
      </c>
      <c r="C976" s="44" t="s">
        <v>38</v>
      </c>
      <c r="D976" s="45" t="s">
        <v>295</v>
      </c>
      <c r="E976" s="19">
        <f>IF($D976&lt;&gt;"Entregado",0,IF($C976="","",VLOOKUP($C976,'DATA DE TARIFA'!$A$4:$C$68,2,FALSE)/1.18))</f>
        <v>8.474576271</v>
      </c>
      <c r="F976" s="19">
        <f>IF($C976="","",IF($D976="",0,VLOOKUP($C976,'DATA DE TARIFA'!$A$4:$C$68,3,FALSE)))</f>
        <v>4</v>
      </c>
      <c r="G976" s="66">
        <v>0.0</v>
      </c>
      <c r="H976" s="19">
        <f t="shared" si="1"/>
        <v>8.474576271</v>
      </c>
      <c r="I976" s="19">
        <f t="shared" si="2"/>
        <v>4</v>
      </c>
      <c r="J976" s="67"/>
      <c r="K976" s="44" t="str">
        <f>IF($B976="","",IFERROR(VLOOKUP($B976,Tiendas!$A$4:$B$176,2,FALSE),""))</f>
        <v>CHRISTIAN</v>
      </c>
      <c r="L976" s="68" t="s">
        <v>296</v>
      </c>
      <c r="M976" s="44" t="str">
        <f>IF($B976="","",IFERROR(VLOOKUP($B976,Tiendas!$A$4:$I$176,9,FALSE),""))</f>
        <v>Si</v>
      </c>
      <c r="N976" s="71">
        <f t="shared" si="3"/>
        <v>0</v>
      </c>
      <c r="O976" s="71">
        <f t="shared" si="4"/>
        <v>0</v>
      </c>
    </row>
    <row r="977" ht="15.75" customHeight="1">
      <c r="A977" s="17">
        <v>46023.0</v>
      </c>
      <c r="B977" s="44" t="s">
        <v>246</v>
      </c>
      <c r="C977" s="44" t="s">
        <v>38</v>
      </c>
      <c r="D977" s="45" t="s">
        <v>295</v>
      </c>
      <c r="E977" s="19">
        <f>IF($D977&lt;&gt;"Entregado",0,IF($C977="","",VLOOKUP($C977,'DATA DE TARIFA'!$A$4:$C$68,2,FALSE)/1.18))</f>
        <v>8.474576271</v>
      </c>
      <c r="F977" s="19">
        <f>IF($C977="","",IF($D977="",0,VLOOKUP($C977,'DATA DE TARIFA'!$A$4:$C$68,3,FALSE)))</f>
        <v>4</v>
      </c>
      <c r="G977" s="66">
        <v>0.0</v>
      </c>
      <c r="H977" s="19">
        <f t="shared" si="1"/>
        <v>8.474576271</v>
      </c>
      <c r="I977" s="19">
        <f t="shared" si="2"/>
        <v>4</v>
      </c>
      <c r="J977" s="67"/>
      <c r="K977" s="44" t="str">
        <f>IF($B977="","",IFERROR(VLOOKUP($B977,Tiendas!$A$4:$B$176,2,FALSE),""))</f>
        <v>CHRISTIAN</v>
      </c>
      <c r="L977" s="68" t="s">
        <v>296</v>
      </c>
      <c r="M977" s="44" t="str">
        <f>IF($B977="","",IFERROR(VLOOKUP($B977,Tiendas!$A$4:$I$176,9,FALSE),""))</f>
        <v>Si</v>
      </c>
      <c r="N977" s="71">
        <f t="shared" si="3"/>
        <v>0</v>
      </c>
      <c r="O977" s="71">
        <f t="shared" si="4"/>
        <v>0</v>
      </c>
    </row>
    <row r="978" ht="15.75" customHeight="1">
      <c r="A978" s="17">
        <v>46023.0</v>
      </c>
      <c r="B978" s="44" t="s">
        <v>246</v>
      </c>
      <c r="C978" s="44" t="s">
        <v>36</v>
      </c>
      <c r="D978" s="45" t="s">
        <v>295</v>
      </c>
      <c r="E978" s="19">
        <f>IF($D978&lt;&gt;"Entregado",0,IF($C978="","",VLOOKUP($C978,'DATA DE TARIFA'!$A$4:$C$68,2,FALSE)/1.18))</f>
        <v>10.16949153</v>
      </c>
      <c r="F978" s="19">
        <f>IF($C978="","",IF($D978="",0,VLOOKUP($C978,'DATA DE TARIFA'!$A$4:$C$68,3,FALSE)))</f>
        <v>4.5</v>
      </c>
      <c r="G978" s="66">
        <v>1.0</v>
      </c>
      <c r="H978" s="19">
        <f t="shared" si="1"/>
        <v>10.16949153</v>
      </c>
      <c r="I978" s="19">
        <f t="shared" si="2"/>
        <v>5.5</v>
      </c>
      <c r="J978" s="67"/>
      <c r="K978" s="44" t="str">
        <f>IF($B978="","",IFERROR(VLOOKUP($B978,Tiendas!$A$4:$B$176,2,FALSE),""))</f>
        <v>CHRISTIAN</v>
      </c>
      <c r="L978" s="68" t="s">
        <v>296</v>
      </c>
      <c r="M978" s="44" t="str">
        <f>IF($B978="","",IFERROR(VLOOKUP($B978,Tiendas!$A$4:$I$176,9,FALSE),""))</f>
        <v>Si</v>
      </c>
      <c r="N978" s="71">
        <f t="shared" si="3"/>
        <v>0</v>
      </c>
      <c r="O978" s="71">
        <f t="shared" si="4"/>
        <v>0</v>
      </c>
    </row>
    <row r="979" ht="15.75" customHeight="1">
      <c r="A979" s="17">
        <v>46023.0</v>
      </c>
      <c r="B979" s="44" t="s">
        <v>246</v>
      </c>
      <c r="C979" s="44" t="s">
        <v>47</v>
      </c>
      <c r="D979" s="45" t="s">
        <v>295</v>
      </c>
      <c r="E979" s="19">
        <f>IF($D979&lt;&gt;"Entregado",0,IF($C979="","",VLOOKUP($C979,'DATA DE TARIFA'!$A$4:$C$68,2,FALSE)/1.18))</f>
        <v>10.16949153</v>
      </c>
      <c r="F979" s="19">
        <f>IF($C979="","",IF($D979="",0,VLOOKUP($C979,'DATA DE TARIFA'!$A$4:$C$68,3,FALSE)))</f>
        <v>5.5</v>
      </c>
      <c r="G979" s="66">
        <v>0.0</v>
      </c>
      <c r="H979" s="19">
        <f t="shared" si="1"/>
        <v>10.16949153</v>
      </c>
      <c r="I979" s="19">
        <f t="shared" si="2"/>
        <v>5.5</v>
      </c>
      <c r="J979" s="67"/>
      <c r="K979" s="44" t="str">
        <f>IF($B979="","",IFERROR(VLOOKUP($B979,Tiendas!$A$4:$B$176,2,FALSE),""))</f>
        <v>CHRISTIAN</v>
      </c>
      <c r="L979" s="68" t="s">
        <v>296</v>
      </c>
      <c r="M979" s="44" t="str">
        <f>IF($B979="","",IFERROR(VLOOKUP($B979,Tiendas!$A$4:$I$176,9,FALSE),""))</f>
        <v>Si</v>
      </c>
      <c r="N979" s="71">
        <f t="shared" si="3"/>
        <v>0</v>
      </c>
      <c r="O979" s="71">
        <f t="shared" si="4"/>
        <v>0</v>
      </c>
    </row>
    <row r="980" ht="15.75" customHeight="1">
      <c r="A980" s="17">
        <v>46023.0</v>
      </c>
      <c r="B980" s="44" t="s">
        <v>253</v>
      </c>
      <c r="C980" s="44" t="s">
        <v>21</v>
      </c>
      <c r="D980" s="45" t="s">
        <v>295</v>
      </c>
      <c r="E980" s="19">
        <f>IF($D980&lt;&gt;"Entregado",0,IF($C980="","",VLOOKUP($C980,'DATA DE TARIFA'!$A$4:$C$68,2,FALSE)/1.18))</f>
        <v>10.16949153</v>
      </c>
      <c r="F980" s="19">
        <f>IF($C980="","",IF($D980="",0,VLOOKUP($C980,'DATA DE TARIFA'!$A$4:$C$68,3,FALSE)))</f>
        <v>4.5</v>
      </c>
      <c r="G980" s="66">
        <v>0.0</v>
      </c>
      <c r="H980" s="19">
        <f t="shared" si="1"/>
        <v>10.16949153</v>
      </c>
      <c r="I980" s="19">
        <f t="shared" si="2"/>
        <v>4.5</v>
      </c>
      <c r="J980" s="67"/>
      <c r="K980" s="44" t="str">
        <f>IF($B980="","",IFERROR(VLOOKUP($B980,Tiendas!$A$4:$B$176,2,FALSE),""))</f>
        <v>JORDAN</v>
      </c>
      <c r="L980" s="68" t="s">
        <v>296</v>
      </c>
      <c r="M980" s="44" t="str">
        <f>IF($B980="","",IFERROR(VLOOKUP($B980,Tiendas!$A$4:$I$176,9,FALSE),""))</f>
        <v>No</v>
      </c>
      <c r="N980" s="71">
        <f t="shared" si="3"/>
        <v>0</v>
      </c>
      <c r="O980" s="71">
        <f t="shared" si="4"/>
        <v>0</v>
      </c>
    </row>
    <row r="981" ht="15.75" customHeight="1">
      <c r="A981" s="17">
        <v>46023.0</v>
      </c>
      <c r="B981" s="44" t="s">
        <v>253</v>
      </c>
      <c r="C981" s="44" t="s">
        <v>70</v>
      </c>
      <c r="D981" s="45" t="s">
        <v>295</v>
      </c>
      <c r="E981" s="19">
        <f>IF($D981&lt;&gt;"Entregado",0,IF($C981="","",VLOOKUP($C981,'DATA DE TARIFA'!$A$4:$C$68,2,FALSE)/1.18))</f>
        <v>8.474576271</v>
      </c>
      <c r="F981" s="19">
        <f>IF($C981="","",IF($D981="",0,VLOOKUP($C981,'DATA DE TARIFA'!$A$4:$C$68,3,FALSE)))</f>
        <v>4</v>
      </c>
      <c r="G981" s="66">
        <v>0.0</v>
      </c>
      <c r="H981" s="19">
        <f t="shared" si="1"/>
        <v>8.474576271</v>
      </c>
      <c r="I981" s="19">
        <f t="shared" si="2"/>
        <v>4</v>
      </c>
      <c r="J981" s="67"/>
      <c r="K981" s="44" t="str">
        <f>IF($B981="","",IFERROR(VLOOKUP($B981,Tiendas!$A$4:$B$176,2,FALSE),""))</f>
        <v>JORDAN</v>
      </c>
      <c r="L981" s="68" t="s">
        <v>296</v>
      </c>
      <c r="M981" s="44" t="str">
        <f>IF($B981="","",IFERROR(VLOOKUP($B981,Tiendas!$A$4:$I$176,9,FALSE),""))</f>
        <v>No</v>
      </c>
      <c r="N981" s="71">
        <f t="shared" si="3"/>
        <v>0</v>
      </c>
      <c r="O981" s="71">
        <f t="shared" si="4"/>
        <v>0</v>
      </c>
    </row>
    <row r="982" ht="15.75" customHeight="1">
      <c r="A982" s="17">
        <v>46023.0</v>
      </c>
      <c r="B982" s="44" t="s">
        <v>253</v>
      </c>
      <c r="C982" s="44" t="s">
        <v>308</v>
      </c>
      <c r="D982" s="45" t="s">
        <v>295</v>
      </c>
      <c r="E982" s="19">
        <f>IF($D982&lt;&gt;"Entregado",0,IF($C982="","",VLOOKUP($C982,'DATA DE TARIFA'!$A$4:$C$68,2,FALSE)/1.18))</f>
        <v>4.237288136</v>
      </c>
      <c r="F982" s="19">
        <f>IF($C982="","",IF($D982="",0,VLOOKUP($C982,'DATA DE TARIFA'!$A$4:$C$68,3,FALSE)))</f>
        <v>0</v>
      </c>
      <c r="G982" s="66">
        <v>0.0</v>
      </c>
      <c r="H982" s="19">
        <f t="shared" si="1"/>
        <v>4.237288136</v>
      </c>
      <c r="I982" s="19">
        <f t="shared" si="2"/>
        <v>0</v>
      </c>
      <c r="J982" s="67"/>
      <c r="K982" s="44" t="str">
        <f>IF($B982="","",IFERROR(VLOOKUP($B982,Tiendas!$A$4:$B$176,2,FALSE),""))</f>
        <v>JORDAN</v>
      </c>
      <c r="L982" s="68" t="s">
        <v>296</v>
      </c>
      <c r="M982" s="44" t="str">
        <f>IF($B982="","",IFERROR(VLOOKUP($B982,Tiendas!$A$4:$I$176,9,FALSE),""))</f>
        <v>No</v>
      </c>
      <c r="N982" s="71">
        <f t="shared" si="3"/>
        <v>0</v>
      </c>
      <c r="O982" s="71">
        <f t="shared" si="4"/>
        <v>0</v>
      </c>
    </row>
    <row r="983" ht="15.75" customHeight="1">
      <c r="A983" s="17">
        <v>46023.0</v>
      </c>
      <c r="B983" s="44" t="s">
        <v>253</v>
      </c>
      <c r="C983" s="44" t="s">
        <v>67</v>
      </c>
      <c r="D983" s="45" t="s">
        <v>295</v>
      </c>
      <c r="E983" s="19">
        <f>IF($D983&lt;&gt;"Entregado",0,IF($C983="","",VLOOKUP($C983,'DATA DE TARIFA'!$A$4:$C$68,2,FALSE)/1.18))</f>
        <v>10.16949153</v>
      </c>
      <c r="F983" s="19">
        <f>IF($C983="","",IF($D983="",0,VLOOKUP($C983,'DATA DE TARIFA'!$A$4:$C$68,3,FALSE)))</f>
        <v>5.5</v>
      </c>
      <c r="G983" s="66">
        <v>0.0</v>
      </c>
      <c r="H983" s="19">
        <f t="shared" si="1"/>
        <v>10.16949153</v>
      </c>
      <c r="I983" s="19">
        <f t="shared" si="2"/>
        <v>5.5</v>
      </c>
      <c r="J983" s="67"/>
      <c r="K983" s="44" t="str">
        <f>IF($B983="","",IFERROR(VLOOKUP($B983,Tiendas!$A$4:$B$176,2,FALSE),""))</f>
        <v>JORDAN</v>
      </c>
      <c r="L983" s="68" t="s">
        <v>296</v>
      </c>
      <c r="M983" s="44" t="str">
        <f>IF($B983="","",IFERROR(VLOOKUP($B983,Tiendas!$A$4:$I$176,9,FALSE),""))</f>
        <v>No</v>
      </c>
      <c r="N983" s="71">
        <f t="shared" si="3"/>
        <v>0</v>
      </c>
      <c r="O983" s="71">
        <f t="shared" si="4"/>
        <v>0</v>
      </c>
    </row>
    <row r="984" ht="15.75" customHeight="1">
      <c r="A984" s="17">
        <v>46023.0</v>
      </c>
      <c r="B984" s="44" t="s">
        <v>253</v>
      </c>
      <c r="C984" s="44" t="s">
        <v>15</v>
      </c>
      <c r="D984" s="45" t="s">
        <v>295</v>
      </c>
      <c r="E984" s="19">
        <f>IF($D984&lt;&gt;"Entregado",0,IF($C984="","",VLOOKUP($C984,'DATA DE TARIFA'!$A$4:$C$68,2,FALSE)/1.18))</f>
        <v>8.474576271</v>
      </c>
      <c r="F984" s="19">
        <f>IF($C984="","",IF($D984="",0,VLOOKUP($C984,'DATA DE TARIFA'!$A$4:$C$68,3,FALSE)))</f>
        <v>4.5</v>
      </c>
      <c r="G984" s="66">
        <v>0.0</v>
      </c>
      <c r="H984" s="19">
        <f t="shared" si="1"/>
        <v>8.474576271</v>
      </c>
      <c r="I984" s="19">
        <f t="shared" si="2"/>
        <v>4.5</v>
      </c>
      <c r="J984" s="67"/>
      <c r="K984" s="44" t="str">
        <f>IF($B984="","",IFERROR(VLOOKUP($B984,Tiendas!$A$4:$B$176,2,FALSE),""))</f>
        <v>JORDAN</v>
      </c>
      <c r="L984" s="68" t="s">
        <v>296</v>
      </c>
      <c r="M984" s="44" t="str">
        <f>IF($B984="","",IFERROR(VLOOKUP($B984,Tiendas!$A$4:$I$176,9,FALSE),""))</f>
        <v>No</v>
      </c>
      <c r="N984" s="71">
        <f t="shared" si="3"/>
        <v>0</v>
      </c>
      <c r="O984" s="71">
        <f t="shared" si="4"/>
        <v>0</v>
      </c>
    </row>
    <row r="985" ht="15.75" customHeight="1">
      <c r="A985" s="17">
        <v>46023.0</v>
      </c>
      <c r="B985" s="44" t="s">
        <v>253</v>
      </c>
      <c r="C985" s="44" t="s">
        <v>65</v>
      </c>
      <c r="D985" s="45" t="s">
        <v>295</v>
      </c>
      <c r="E985" s="19">
        <f>IF($D985&lt;&gt;"Entregado",0,IF($C985="","",VLOOKUP($C985,'DATA DE TARIFA'!$A$4:$C$68,2,FALSE)/1.18))</f>
        <v>10.16949153</v>
      </c>
      <c r="F985" s="19">
        <f>IF($C985="","",IF($D985="",0,VLOOKUP($C985,'DATA DE TARIFA'!$A$4:$C$68,3,FALSE)))</f>
        <v>4.5</v>
      </c>
      <c r="G985" s="66">
        <v>0.0</v>
      </c>
      <c r="H985" s="19">
        <f t="shared" si="1"/>
        <v>10.16949153</v>
      </c>
      <c r="I985" s="19">
        <f t="shared" si="2"/>
        <v>4.5</v>
      </c>
      <c r="J985" s="67"/>
      <c r="K985" s="44" t="str">
        <f>IF($B985="","",IFERROR(VLOOKUP($B985,Tiendas!$A$4:$B$176,2,FALSE),""))</f>
        <v>JORDAN</v>
      </c>
      <c r="L985" s="68" t="s">
        <v>296</v>
      </c>
      <c r="M985" s="44" t="str">
        <f>IF($B985="","",IFERROR(VLOOKUP($B985,Tiendas!$A$4:$I$176,9,FALSE),""))</f>
        <v>No</v>
      </c>
      <c r="N985" s="71">
        <f t="shared" si="3"/>
        <v>0</v>
      </c>
      <c r="O985" s="71">
        <f t="shared" si="4"/>
        <v>0</v>
      </c>
    </row>
    <row r="986" ht="15.75" customHeight="1">
      <c r="A986" s="17">
        <v>46023.0</v>
      </c>
      <c r="B986" s="44" t="s">
        <v>253</v>
      </c>
      <c r="C986" s="44" t="s">
        <v>62</v>
      </c>
      <c r="D986" s="45" t="s">
        <v>295</v>
      </c>
      <c r="E986" s="19">
        <f>IF($D986&lt;&gt;"Entregado",0,IF($C986="","",VLOOKUP($C986,'DATA DE TARIFA'!$A$4:$C$68,2,FALSE)/1.18))</f>
        <v>8.474576271</v>
      </c>
      <c r="F986" s="19">
        <f>IF($C986="","",IF($D986="",0,VLOOKUP($C986,'DATA DE TARIFA'!$A$4:$C$68,3,FALSE)))</f>
        <v>4.5</v>
      </c>
      <c r="G986" s="66">
        <v>0.0</v>
      </c>
      <c r="H986" s="19">
        <f t="shared" si="1"/>
        <v>8.474576271</v>
      </c>
      <c r="I986" s="19">
        <f t="shared" si="2"/>
        <v>4.5</v>
      </c>
      <c r="J986" s="67"/>
      <c r="K986" s="44" t="str">
        <f>IF($B986="","",IFERROR(VLOOKUP($B986,Tiendas!$A$4:$B$176,2,FALSE),""))</f>
        <v>JORDAN</v>
      </c>
      <c r="L986" s="68" t="s">
        <v>296</v>
      </c>
      <c r="M986" s="44" t="str">
        <f>IF($B986="","",IFERROR(VLOOKUP($B986,Tiendas!$A$4:$I$176,9,FALSE),""))</f>
        <v>No</v>
      </c>
      <c r="N986" s="71">
        <f t="shared" si="3"/>
        <v>0</v>
      </c>
      <c r="O986" s="71">
        <f t="shared" si="4"/>
        <v>0</v>
      </c>
    </row>
    <row r="987" ht="15.75" customHeight="1">
      <c r="A987" s="17">
        <v>46023.0</v>
      </c>
      <c r="B987" s="44" t="s">
        <v>250</v>
      </c>
      <c r="C987" s="44" t="s">
        <v>61</v>
      </c>
      <c r="D987" s="45" t="s">
        <v>295</v>
      </c>
      <c r="E987" s="19">
        <f>IF($D987&lt;&gt;"Entregado",0,IF($C987="","",VLOOKUP($C987,'DATA DE TARIFA'!$A$4:$C$68,2,FALSE)/1.18))</f>
        <v>8.474576271</v>
      </c>
      <c r="F987" s="19">
        <f>IF($C987="","",IF($D987="",0,VLOOKUP($C987,'DATA DE TARIFA'!$A$4:$C$68,3,FALSE)))</f>
        <v>4.5</v>
      </c>
      <c r="G987" s="66">
        <v>0.0</v>
      </c>
      <c r="H987" s="19">
        <f t="shared" si="1"/>
        <v>8.474576271</v>
      </c>
      <c r="I987" s="19">
        <f t="shared" si="2"/>
        <v>4.5</v>
      </c>
      <c r="J987" s="67"/>
      <c r="K987" s="44" t="str">
        <f>IF($B987="","",IFERROR(VLOOKUP($B987,Tiendas!$A$4:$B$176,2,FALSE),""))</f>
        <v>CHRISTIAN</v>
      </c>
      <c r="L987" s="68" t="s">
        <v>296</v>
      </c>
      <c r="M987" s="44" t="str">
        <f>IF($B987="","",IFERROR(VLOOKUP($B987,Tiendas!$A$4:$I$176,9,FALSE),""))</f>
        <v>No</v>
      </c>
      <c r="N987" s="71">
        <f t="shared" si="3"/>
        <v>0</v>
      </c>
      <c r="O987" s="71">
        <f t="shared" si="4"/>
        <v>0</v>
      </c>
    </row>
    <row r="988" ht="15.75" customHeight="1">
      <c r="A988" s="17">
        <v>46023.0</v>
      </c>
      <c r="B988" s="44" t="s">
        <v>249</v>
      </c>
      <c r="C988" s="44" t="s">
        <v>309</v>
      </c>
      <c r="D988" s="45" t="s">
        <v>295</v>
      </c>
      <c r="E988" s="19">
        <f>IF($D988&lt;&gt;"Entregado",0,IF($C988="","",VLOOKUP($C988,'DATA DE TARIFA'!$A$4:$C$68,2,FALSE)/1.18))</f>
        <v>8.474576271</v>
      </c>
      <c r="F988" s="19">
        <f>IF($C988="","",IF($D988="",0,VLOOKUP($C988,'DATA DE TARIFA'!$A$4:$C$68,3,FALSE)))</f>
        <v>4.5</v>
      </c>
      <c r="G988" s="66">
        <v>0.0</v>
      </c>
      <c r="H988" s="19">
        <f t="shared" si="1"/>
        <v>8.474576271</v>
      </c>
      <c r="I988" s="19">
        <f t="shared" si="2"/>
        <v>4.5</v>
      </c>
      <c r="J988" s="67"/>
      <c r="K988" s="44" t="str">
        <f>IF($B988="","",IFERROR(VLOOKUP($B988,Tiendas!$A$4:$B$176,2,FALSE),""))</f>
        <v>CHRISTIAN</v>
      </c>
      <c r="L988" s="68" t="s">
        <v>296</v>
      </c>
      <c r="M988" s="44" t="str">
        <f>IF($B988="","",IFERROR(VLOOKUP($B988,Tiendas!$A$4:$I$176,9,FALSE),""))</f>
        <v>No</v>
      </c>
      <c r="N988" s="71">
        <f t="shared" si="3"/>
        <v>0</v>
      </c>
      <c r="O988" s="71">
        <f t="shared" si="4"/>
        <v>0</v>
      </c>
    </row>
    <row r="989" ht="15.75" customHeight="1">
      <c r="A989" s="17">
        <v>46023.0</v>
      </c>
      <c r="B989" s="44" t="s">
        <v>278</v>
      </c>
      <c r="C989" s="44" t="s">
        <v>21</v>
      </c>
      <c r="D989" s="45" t="s">
        <v>295</v>
      </c>
      <c r="E989" s="19">
        <f>IF($D989&lt;&gt;"Entregado",0,IF($C989="","",VLOOKUP($C989,'DATA DE TARIFA'!$A$4:$C$68,2,FALSE)/1.18))</f>
        <v>10.16949153</v>
      </c>
      <c r="F989" s="19">
        <f>IF($C989="","",IF($D989="",0,VLOOKUP($C989,'DATA DE TARIFA'!$A$4:$C$68,3,FALSE)))</f>
        <v>4.5</v>
      </c>
      <c r="G989" s="66">
        <v>0.0</v>
      </c>
      <c r="H989" s="19">
        <f t="shared" si="1"/>
        <v>10.16949153</v>
      </c>
      <c r="I989" s="19">
        <f t="shared" si="2"/>
        <v>4.5</v>
      </c>
      <c r="J989" s="67"/>
      <c r="K989" s="44" t="str">
        <f>IF($B989="","",IFERROR(VLOOKUP($B989,Tiendas!$A$4:$B$176,2,FALSE),""))</f>
        <v>CHRISTIAN</v>
      </c>
      <c r="L989" s="68" t="s">
        <v>296</v>
      </c>
      <c r="M989" s="44" t="str">
        <f>IF($B989="","",IFERROR(VLOOKUP($B989,Tiendas!$A$4:$I$176,9,FALSE),""))</f>
        <v>No</v>
      </c>
      <c r="N989" s="71">
        <f t="shared" si="3"/>
        <v>0</v>
      </c>
      <c r="O989" s="71">
        <f t="shared" si="4"/>
        <v>0</v>
      </c>
    </row>
    <row r="990" ht="15.75" customHeight="1">
      <c r="A990" s="17">
        <v>46023.0</v>
      </c>
      <c r="B990" s="44" t="s">
        <v>279</v>
      </c>
      <c r="C990" s="44" t="s">
        <v>63</v>
      </c>
      <c r="D990" s="45" t="s">
        <v>295</v>
      </c>
      <c r="E990" s="19">
        <f>IF($D990&lt;&gt;"Entregado",0,IF($C990="","",VLOOKUP($C990,'DATA DE TARIFA'!$A$4:$C$68,2,FALSE)/1.18))</f>
        <v>8.474576271</v>
      </c>
      <c r="F990" s="19">
        <f>IF($C990="","",IF($D990="",0,VLOOKUP($C990,'DATA DE TARIFA'!$A$4:$C$68,3,FALSE)))</f>
        <v>4</v>
      </c>
      <c r="G990" s="66">
        <v>4.0</v>
      </c>
      <c r="H990" s="19">
        <f t="shared" si="1"/>
        <v>8.474576271</v>
      </c>
      <c r="I990" s="19">
        <f t="shared" si="2"/>
        <v>8</v>
      </c>
      <c r="J990" s="67"/>
      <c r="K990" s="44" t="str">
        <f>IF($B990="","",IFERROR(VLOOKUP($B990,Tiendas!$A$4:$B$176,2,FALSE),""))</f>
        <v>CHRISTIAN</v>
      </c>
      <c r="L990" s="68" t="s">
        <v>296</v>
      </c>
      <c r="M990" s="44" t="str">
        <f>IF($B990="","",IFERROR(VLOOKUP($B990,Tiendas!$A$4:$I$176,9,FALSE),""))</f>
        <v>No</v>
      </c>
      <c r="N990" s="71">
        <f t="shared" si="3"/>
        <v>0</v>
      </c>
      <c r="O990" s="71">
        <f t="shared" si="4"/>
        <v>0</v>
      </c>
    </row>
    <row r="991" ht="15.75" customHeight="1">
      <c r="A991" s="17">
        <v>46023.0</v>
      </c>
      <c r="B991" s="44" t="s">
        <v>279</v>
      </c>
      <c r="C991" s="44" t="s">
        <v>75</v>
      </c>
      <c r="D991" s="45" t="s">
        <v>295</v>
      </c>
      <c r="E991" s="19">
        <f>IF($D991&lt;&gt;"Entregado",0,IF($C991="","",VLOOKUP($C991,'DATA DE TARIFA'!$A$4:$C$68,2,FALSE)/1.18))</f>
        <v>10.16949153</v>
      </c>
      <c r="F991" s="19">
        <f>IF($C991="","",IF($D991="",0,VLOOKUP($C991,'DATA DE TARIFA'!$A$4:$C$68,3,FALSE)))</f>
        <v>4.5</v>
      </c>
      <c r="G991" s="66">
        <v>0.0</v>
      </c>
      <c r="H991" s="19">
        <f t="shared" si="1"/>
        <v>10.16949153</v>
      </c>
      <c r="I991" s="19">
        <f t="shared" si="2"/>
        <v>4.5</v>
      </c>
      <c r="J991" s="67"/>
      <c r="K991" s="44" t="str">
        <f>IF($B991="","",IFERROR(VLOOKUP($B991,Tiendas!$A$4:$B$176,2,FALSE),""))</f>
        <v>CHRISTIAN</v>
      </c>
      <c r="L991" s="68" t="s">
        <v>296</v>
      </c>
      <c r="M991" s="44" t="str">
        <f>IF($B991="","",IFERROR(VLOOKUP($B991,Tiendas!$A$4:$I$176,9,FALSE),""))</f>
        <v>No</v>
      </c>
      <c r="N991" s="71">
        <f t="shared" si="3"/>
        <v>0</v>
      </c>
      <c r="O991" s="71">
        <f t="shared" si="4"/>
        <v>0</v>
      </c>
    </row>
    <row r="992" ht="15.75" customHeight="1">
      <c r="A992" s="17"/>
      <c r="B992" s="44"/>
      <c r="C992" s="44"/>
      <c r="D992" s="45"/>
      <c r="E992" s="19"/>
      <c r="F992" s="19"/>
      <c r="G992" s="66"/>
      <c r="H992" s="19"/>
      <c r="I992" s="19"/>
      <c r="J992" s="67"/>
      <c r="K992" s="44"/>
      <c r="L992" s="68"/>
      <c r="M992" s="44"/>
      <c r="N992" s="71"/>
      <c r="O992" s="71"/>
    </row>
    <row r="993" ht="15.75" customHeight="1">
      <c r="A993" s="17"/>
      <c r="B993" s="44"/>
      <c r="C993" s="44"/>
      <c r="D993" s="45"/>
      <c r="E993" s="19"/>
      <c r="F993" s="19"/>
      <c r="G993" s="66"/>
      <c r="H993" s="19"/>
      <c r="I993" s="19"/>
      <c r="J993" s="67"/>
      <c r="K993" s="44"/>
      <c r="L993" s="68"/>
      <c r="M993" s="44"/>
      <c r="N993" s="71"/>
      <c r="O993" s="71"/>
    </row>
    <row r="994" ht="15.75" customHeight="1">
      <c r="A994" s="17"/>
      <c r="B994" s="44"/>
      <c r="C994" s="44"/>
      <c r="D994" s="45"/>
      <c r="E994" s="19"/>
      <c r="F994" s="19"/>
      <c r="G994" s="66"/>
      <c r="H994" s="19"/>
      <c r="I994" s="19"/>
      <c r="J994" s="67"/>
      <c r="K994" s="44"/>
      <c r="L994" s="68"/>
      <c r="M994" s="44"/>
      <c r="N994" s="71"/>
      <c r="O994" s="71"/>
    </row>
    <row r="995" ht="15.75" customHeight="1">
      <c r="A995" s="17"/>
      <c r="B995" s="44"/>
      <c r="C995" s="44"/>
      <c r="D995" s="45"/>
      <c r="E995" s="19"/>
      <c r="F995" s="19"/>
      <c r="G995" s="66"/>
      <c r="H995" s="19"/>
      <c r="I995" s="19"/>
      <c r="J995" s="67"/>
      <c r="K995" s="44"/>
      <c r="L995" s="68"/>
      <c r="M995" s="44"/>
      <c r="N995" s="71"/>
      <c r="O995" s="71"/>
    </row>
    <row r="996" ht="15.75" customHeight="1">
      <c r="A996" s="17"/>
      <c r="B996" s="44"/>
      <c r="C996" s="44"/>
      <c r="D996" s="45"/>
      <c r="E996" s="19"/>
      <c r="F996" s="19"/>
      <c r="G996" s="66"/>
      <c r="H996" s="19"/>
      <c r="I996" s="19"/>
      <c r="J996" s="67"/>
      <c r="K996" s="44"/>
      <c r="L996" s="68"/>
      <c r="M996" s="44"/>
      <c r="N996" s="71"/>
      <c r="O996" s="71"/>
    </row>
    <row r="997" ht="15.75" customHeight="1">
      <c r="A997" s="17"/>
      <c r="B997" s="44"/>
      <c r="C997" s="44"/>
      <c r="D997" s="45"/>
      <c r="E997" s="19"/>
      <c r="F997" s="19"/>
      <c r="G997" s="66"/>
      <c r="H997" s="19"/>
      <c r="I997" s="19"/>
      <c r="J997" s="67"/>
      <c r="K997" s="44"/>
      <c r="L997" s="68"/>
      <c r="M997" s="44"/>
      <c r="N997" s="71"/>
      <c r="O997" s="71"/>
    </row>
    <row r="998" ht="15.75" customHeight="1">
      <c r="A998" s="17"/>
      <c r="B998" s="44"/>
      <c r="C998" s="44"/>
      <c r="D998" s="45"/>
      <c r="E998" s="19"/>
      <c r="F998" s="19"/>
      <c r="G998" s="66"/>
      <c r="H998" s="19"/>
      <c r="I998" s="19"/>
      <c r="J998" s="67"/>
      <c r="K998" s="44"/>
      <c r="L998" s="68"/>
      <c r="M998" s="44"/>
      <c r="N998" s="71"/>
      <c r="O998" s="71"/>
    </row>
    <row r="999" ht="15.75" customHeight="1">
      <c r="A999" s="17"/>
      <c r="B999" s="44"/>
      <c r="C999" s="44"/>
      <c r="D999" s="45"/>
      <c r="E999" s="19"/>
      <c r="F999" s="19"/>
      <c r="G999" s="66"/>
      <c r="H999" s="19"/>
      <c r="I999" s="19"/>
      <c r="J999" s="67"/>
      <c r="K999" s="44"/>
      <c r="L999" s="68"/>
      <c r="M999" s="44"/>
      <c r="N999" s="71"/>
      <c r="O999" s="71"/>
    </row>
    <row r="1000" ht="15.75" customHeight="1">
      <c r="A1000" s="17"/>
      <c r="B1000" s="44"/>
      <c r="C1000" s="44"/>
      <c r="D1000" s="45"/>
      <c r="E1000" s="19"/>
      <c r="F1000" s="19"/>
      <c r="G1000" s="66"/>
      <c r="H1000" s="19"/>
      <c r="I1000" s="19"/>
      <c r="J1000" s="67"/>
      <c r="K1000" s="44"/>
      <c r="L1000" s="68"/>
      <c r="M1000" s="44"/>
      <c r="N1000" s="71"/>
      <c r="O1000" s="71"/>
    </row>
    <row r="1001" ht="15.75" customHeight="1">
      <c r="A1001" s="17"/>
      <c r="B1001" s="44"/>
      <c r="C1001" s="44"/>
      <c r="D1001" s="45"/>
      <c r="E1001" s="19"/>
      <c r="F1001" s="19"/>
      <c r="G1001" s="66"/>
      <c r="H1001" s="19"/>
      <c r="I1001" s="19"/>
      <c r="J1001" s="67"/>
      <c r="K1001" s="44"/>
      <c r="L1001" s="68"/>
      <c r="M1001" s="44"/>
      <c r="N1001" s="71"/>
      <c r="O1001" s="71"/>
    </row>
    <row r="1002" ht="15.75" customHeight="1">
      <c r="A1002" s="17"/>
      <c r="B1002" s="44"/>
      <c r="C1002" s="44"/>
      <c r="D1002" s="45"/>
      <c r="E1002" s="19"/>
      <c r="F1002" s="19"/>
      <c r="G1002" s="66"/>
      <c r="H1002" s="19"/>
      <c r="I1002" s="19"/>
      <c r="J1002" s="67"/>
      <c r="K1002" s="44"/>
      <c r="L1002" s="68"/>
      <c r="M1002" s="44"/>
      <c r="N1002" s="71"/>
      <c r="O1002" s="71"/>
    </row>
    <row r="1003" ht="15.75" customHeight="1">
      <c r="A1003" s="17"/>
      <c r="B1003" s="44"/>
      <c r="C1003" s="44"/>
      <c r="D1003" s="45"/>
      <c r="E1003" s="19"/>
      <c r="F1003" s="19"/>
      <c r="G1003" s="66"/>
      <c r="H1003" s="19"/>
      <c r="I1003" s="19"/>
      <c r="J1003" s="67"/>
      <c r="K1003" s="44"/>
      <c r="L1003" s="68"/>
      <c r="M1003" s="44"/>
      <c r="N1003" s="71"/>
      <c r="O1003" s="71"/>
    </row>
    <row r="1004" ht="15.75" customHeight="1">
      <c r="A1004" s="17"/>
      <c r="B1004" s="44"/>
      <c r="C1004" s="44"/>
      <c r="D1004" s="45"/>
      <c r="E1004" s="19"/>
      <c r="F1004" s="19"/>
      <c r="G1004" s="66"/>
      <c r="H1004" s="19"/>
      <c r="I1004" s="19"/>
      <c r="J1004" s="67"/>
      <c r="K1004" s="44"/>
      <c r="L1004" s="68"/>
      <c r="M1004" s="44"/>
      <c r="N1004" s="71"/>
      <c r="O1004" s="71"/>
    </row>
    <row r="1005" ht="15.75" customHeight="1">
      <c r="A1005" s="17"/>
      <c r="B1005" s="44"/>
      <c r="C1005" s="44"/>
      <c r="D1005" s="45"/>
      <c r="E1005" s="19"/>
      <c r="F1005" s="19"/>
      <c r="G1005" s="66"/>
      <c r="H1005" s="19"/>
      <c r="I1005" s="19"/>
      <c r="J1005" s="67"/>
      <c r="K1005" s="44"/>
      <c r="L1005" s="68"/>
      <c r="M1005" s="44"/>
      <c r="N1005" s="71"/>
      <c r="O1005" s="71"/>
    </row>
    <row r="1006" ht="15.75" customHeight="1">
      <c r="A1006" s="17"/>
      <c r="B1006" s="44"/>
      <c r="C1006" s="44"/>
      <c r="D1006" s="45"/>
      <c r="E1006" s="19"/>
      <c r="F1006" s="19"/>
      <c r="G1006" s="66"/>
      <c r="H1006" s="19"/>
      <c r="I1006" s="19"/>
      <c r="J1006" s="67"/>
      <c r="K1006" s="44"/>
      <c r="L1006" s="68"/>
      <c r="M1006" s="44"/>
      <c r="N1006" s="71"/>
      <c r="O1006" s="71"/>
    </row>
    <row r="1007" ht="15.75" customHeight="1">
      <c r="A1007" s="17"/>
      <c r="B1007" s="44"/>
      <c r="C1007" s="44"/>
      <c r="D1007" s="45"/>
      <c r="E1007" s="19"/>
      <c r="F1007" s="19"/>
      <c r="G1007" s="66"/>
      <c r="H1007" s="19"/>
      <c r="I1007" s="19"/>
      <c r="J1007" s="67"/>
      <c r="K1007" s="44"/>
      <c r="L1007" s="68"/>
      <c r="M1007" s="44"/>
      <c r="N1007" s="71"/>
      <c r="O1007" s="71"/>
    </row>
    <row r="1008" ht="15.75" customHeight="1">
      <c r="A1008" s="17"/>
      <c r="B1008" s="44"/>
      <c r="C1008" s="44"/>
      <c r="D1008" s="45"/>
      <c r="E1008" s="19"/>
      <c r="F1008" s="19"/>
      <c r="G1008" s="66"/>
      <c r="H1008" s="19"/>
      <c r="I1008" s="19"/>
      <c r="J1008" s="67"/>
      <c r="K1008" s="44"/>
      <c r="L1008" s="68"/>
      <c r="M1008" s="44"/>
      <c r="N1008" s="71"/>
      <c r="O1008" s="71"/>
    </row>
    <row r="1009" ht="15.75" customHeight="1">
      <c r="A1009" s="17"/>
      <c r="B1009" s="44"/>
      <c r="C1009" s="44"/>
      <c r="D1009" s="45"/>
      <c r="E1009" s="19"/>
      <c r="F1009" s="19"/>
      <c r="G1009" s="66"/>
      <c r="H1009" s="19"/>
      <c r="I1009" s="19"/>
      <c r="J1009" s="67"/>
      <c r="K1009" s="44"/>
      <c r="L1009" s="68"/>
      <c r="M1009" s="44"/>
      <c r="N1009" s="71"/>
      <c r="O1009" s="71"/>
    </row>
    <row r="1010" ht="15.75" customHeight="1">
      <c r="A1010" s="17"/>
      <c r="B1010" s="44"/>
      <c r="C1010" s="44"/>
      <c r="D1010" s="45"/>
      <c r="E1010" s="19"/>
      <c r="F1010" s="19"/>
      <c r="G1010" s="66"/>
      <c r="H1010" s="19"/>
      <c r="I1010" s="19"/>
      <c r="J1010" s="67"/>
      <c r="K1010" s="44"/>
      <c r="L1010" s="68"/>
      <c r="M1010" s="44"/>
      <c r="N1010" s="71"/>
      <c r="O1010" s="71"/>
    </row>
    <row r="1011" ht="15.75" customHeight="1">
      <c r="A1011" s="17"/>
      <c r="B1011" s="44"/>
      <c r="C1011" s="44"/>
      <c r="D1011" s="45"/>
      <c r="E1011" s="19"/>
      <c r="F1011" s="19"/>
      <c r="G1011" s="66"/>
      <c r="H1011" s="19"/>
      <c r="I1011" s="19"/>
      <c r="J1011" s="67"/>
      <c r="K1011" s="44"/>
      <c r="L1011" s="68"/>
      <c r="M1011" s="44"/>
      <c r="N1011" s="71"/>
      <c r="O1011" s="71"/>
    </row>
    <row r="1012" ht="15.75" customHeight="1">
      <c r="A1012" s="17"/>
      <c r="B1012" s="44"/>
      <c r="C1012" s="44"/>
      <c r="D1012" s="45"/>
      <c r="E1012" s="19"/>
      <c r="F1012" s="19"/>
      <c r="G1012" s="66"/>
      <c r="H1012" s="19"/>
      <c r="I1012" s="19"/>
      <c r="J1012" s="67"/>
      <c r="K1012" s="44"/>
      <c r="L1012" s="68"/>
      <c r="M1012" s="44"/>
      <c r="N1012" s="71"/>
      <c r="O1012" s="71"/>
    </row>
    <row r="1013" ht="15.75" customHeight="1">
      <c r="A1013" s="17"/>
      <c r="B1013" s="44"/>
      <c r="C1013" s="44"/>
      <c r="D1013" s="45"/>
      <c r="E1013" s="19"/>
      <c r="F1013" s="19"/>
      <c r="G1013" s="66"/>
      <c r="H1013" s="19"/>
      <c r="I1013" s="19"/>
      <c r="J1013" s="67"/>
      <c r="K1013" s="44"/>
      <c r="L1013" s="68"/>
      <c r="M1013" s="44"/>
      <c r="N1013" s="71"/>
      <c r="O1013" s="71"/>
    </row>
    <row r="1014" ht="15.75" customHeight="1">
      <c r="A1014" s="17"/>
      <c r="B1014" s="44"/>
      <c r="C1014" s="44"/>
      <c r="D1014" s="45"/>
      <c r="E1014" s="19"/>
      <c r="F1014" s="19"/>
      <c r="G1014" s="66"/>
      <c r="H1014" s="19"/>
      <c r="I1014" s="19"/>
      <c r="J1014" s="67"/>
      <c r="K1014" s="44"/>
      <c r="L1014" s="68"/>
      <c r="M1014" s="44"/>
      <c r="N1014" s="71"/>
      <c r="O1014" s="71"/>
    </row>
    <row r="1015" ht="15.75" customHeight="1">
      <c r="A1015" s="17"/>
      <c r="B1015" s="44"/>
      <c r="C1015" s="44"/>
      <c r="D1015" s="45"/>
      <c r="E1015" s="19"/>
      <c r="F1015" s="19"/>
      <c r="G1015" s="66"/>
      <c r="H1015" s="19"/>
      <c r="I1015" s="19"/>
      <c r="J1015" s="67"/>
      <c r="K1015" s="44"/>
      <c r="L1015" s="68"/>
      <c r="M1015" s="44"/>
      <c r="N1015" s="71"/>
      <c r="O1015" s="71"/>
    </row>
    <row r="1016" ht="15.75" customHeight="1">
      <c r="A1016" s="17"/>
      <c r="B1016" s="44"/>
      <c r="C1016" s="44"/>
      <c r="D1016" s="45"/>
      <c r="E1016" s="19"/>
      <c r="F1016" s="19"/>
      <c r="G1016" s="66"/>
      <c r="H1016" s="19"/>
      <c r="I1016" s="19"/>
      <c r="J1016" s="67"/>
      <c r="K1016" s="44"/>
      <c r="L1016" s="68"/>
      <c r="M1016" s="44"/>
      <c r="N1016" s="71"/>
      <c r="O1016" s="71"/>
    </row>
    <row r="1017" ht="15.75" customHeight="1">
      <c r="A1017" s="17"/>
      <c r="B1017" s="44"/>
      <c r="C1017" s="44"/>
      <c r="D1017" s="45"/>
      <c r="E1017" s="19"/>
      <c r="F1017" s="19"/>
      <c r="G1017" s="66"/>
      <c r="H1017" s="19"/>
      <c r="I1017" s="19"/>
      <c r="J1017" s="67"/>
      <c r="K1017" s="44"/>
      <c r="L1017" s="68"/>
      <c r="M1017" s="44"/>
      <c r="N1017" s="71"/>
      <c r="O1017" s="71"/>
    </row>
    <row r="1018" ht="15.75" customHeight="1">
      <c r="A1018" s="17"/>
      <c r="B1018" s="44"/>
      <c r="C1018" s="44"/>
      <c r="D1018" s="45"/>
      <c r="E1018" s="19"/>
      <c r="F1018" s="19"/>
      <c r="G1018" s="66"/>
      <c r="H1018" s="19"/>
      <c r="I1018" s="19"/>
      <c r="J1018" s="67"/>
      <c r="K1018" s="44"/>
      <c r="L1018" s="68"/>
      <c r="M1018" s="44"/>
      <c r="N1018" s="71"/>
      <c r="O1018" s="71"/>
    </row>
    <row r="1019" ht="15.75" customHeight="1">
      <c r="A1019" s="17"/>
      <c r="B1019" s="44"/>
      <c r="C1019" s="44"/>
      <c r="D1019" s="45"/>
      <c r="E1019" s="19"/>
      <c r="F1019" s="19"/>
      <c r="G1019" s="66"/>
      <c r="H1019" s="19"/>
      <c r="I1019" s="19"/>
      <c r="J1019" s="67"/>
      <c r="K1019" s="44"/>
      <c r="L1019" s="68"/>
      <c r="M1019" s="44"/>
      <c r="N1019" s="71"/>
      <c r="O1019" s="71"/>
    </row>
    <row r="1020" ht="15.75" customHeight="1">
      <c r="A1020" s="17"/>
      <c r="B1020" s="44"/>
      <c r="C1020" s="44"/>
      <c r="D1020" s="45"/>
      <c r="E1020" s="19"/>
      <c r="F1020" s="19"/>
      <c r="G1020" s="66"/>
      <c r="H1020" s="19"/>
      <c r="I1020" s="19"/>
      <c r="J1020" s="67"/>
      <c r="K1020" s="44"/>
      <c r="L1020" s="68"/>
      <c r="M1020" s="44"/>
      <c r="N1020" s="71"/>
      <c r="O1020" s="71"/>
    </row>
    <row r="1021" ht="15.75" customHeight="1">
      <c r="A1021" s="17"/>
      <c r="B1021" s="44"/>
      <c r="C1021" s="44"/>
      <c r="D1021" s="45"/>
      <c r="E1021" s="19"/>
      <c r="F1021" s="19"/>
      <c r="G1021" s="66"/>
      <c r="H1021" s="19"/>
      <c r="I1021" s="19"/>
      <c r="J1021" s="67"/>
      <c r="K1021" s="44"/>
      <c r="L1021" s="68"/>
      <c r="M1021" s="44"/>
      <c r="N1021" s="71"/>
      <c r="O1021" s="71"/>
    </row>
    <row r="1022" ht="15.75" customHeight="1">
      <c r="A1022" s="17"/>
      <c r="B1022" s="44"/>
      <c r="C1022" s="44"/>
      <c r="D1022" s="45"/>
      <c r="E1022" s="19"/>
      <c r="F1022" s="19"/>
      <c r="G1022" s="66"/>
      <c r="H1022" s="19"/>
      <c r="I1022" s="19"/>
      <c r="J1022" s="67"/>
      <c r="K1022" s="44"/>
      <c r="L1022" s="68"/>
      <c r="M1022" s="44"/>
      <c r="N1022" s="71"/>
      <c r="O1022" s="71"/>
    </row>
    <row r="1023" ht="15.75" customHeight="1">
      <c r="A1023" s="17"/>
      <c r="B1023" s="44"/>
      <c r="C1023" s="44"/>
      <c r="D1023" s="45"/>
      <c r="E1023" s="19"/>
      <c r="F1023" s="19"/>
      <c r="G1023" s="66"/>
      <c r="H1023" s="19"/>
      <c r="I1023" s="19"/>
      <c r="J1023" s="67"/>
      <c r="K1023" s="44"/>
      <c r="L1023" s="68"/>
      <c r="M1023" s="44"/>
      <c r="N1023" s="71"/>
      <c r="O1023" s="71"/>
    </row>
    <row r="1024" ht="15.75" customHeight="1">
      <c r="A1024" s="17"/>
      <c r="B1024" s="44"/>
      <c r="C1024" s="44"/>
      <c r="D1024" s="45"/>
      <c r="E1024" s="19"/>
      <c r="F1024" s="19"/>
      <c r="G1024" s="66"/>
      <c r="H1024" s="19"/>
      <c r="I1024" s="19"/>
      <c r="J1024" s="67"/>
      <c r="K1024" s="44"/>
      <c r="L1024" s="68"/>
      <c r="M1024" s="44"/>
      <c r="N1024" s="71"/>
      <c r="O1024" s="71"/>
    </row>
    <row r="1025" ht="15.75" customHeight="1">
      <c r="A1025" s="17"/>
      <c r="B1025" s="44"/>
      <c r="C1025" s="44"/>
      <c r="D1025" s="45"/>
      <c r="E1025" s="19"/>
      <c r="F1025" s="19"/>
      <c r="G1025" s="66"/>
      <c r="H1025" s="19"/>
      <c r="I1025" s="19"/>
      <c r="J1025" s="67"/>
      <c r="K1025" s="44"/>
      <c r="L1025" s="68"/>
      <c r="M1025" s="44"/>
      <c r="N1025" s="71"/>
      <c r="O1025" s="71"/>
    </row>
    <row r="1026" ht="15.75" customHeight="1">
      <c r="A1026" s="17"/>
      <c r="B1026" s="44"/>
      <c r="C1026" s="44"/>
      <c r="D1026" s="45"/>
      <c r="E1026" s="19"/>
      <c r="F1026" s="19"/>
      <c r="G1026" s="66"/>
      <c r="H1026" s="19"/>
      <c r="I1026" s="19"/>
      <c r="J1026" s="67"/>
      <c r="K1026" s="44"/>
      <c r="L1026" s="68"/>
      <c r="M1026" s="44"/>
      <c r="N1026" s="71"/>
      <c r="O1026" s="71"/>
    </row>
    <row r="1027" ht="15.75" customHeight="1">
      <c r="A1027" s="17"/>
      <c r="B1027" s="44"/>
      <c r="C1027" s="44"/>
      <c r="D1027" s="45"/>
      <c r="E1027" s="19"/>
      <c r="F1027" s="19"/>
      <c r="G1027" s="66"/>
      <c r="H1027" s="19"/>
      <c r="I1027" s="19"/>
      <c r="J1027" s="67"/>
      <c r="K1027" s="44"/>
      <c r="L1027" s="68"/>
      <c r="M1027" s="44"/>
      <c r="N1027" s="71"/>
      <c r="O1027" s="71"/>
    </row>
    <row r="1028" ht="15.75" customHeight="1">
      <c r="A1028" s="17"/>
      <c r="B1028" s="44"/>
      <c r="C1028" s="44"/>
      <c r="D1028" s="45"/>
      <c r="E1028" s="19"/>
      <c r="F1028" s="19"/>
      <c r="G1028" s="66"/>
      <c r="H1028" s="19"/>
      <c r="I1028" s="19"/>
      <c r="J1028" s="67"/>
      <c r="K1028" s="44"/>
      <c r="L1028" s="68"/>
      <c r="M1028" s="44"/>
      <c r="N1028" s="71"/>
      <c r="O1028" s="71"/>
    </row>
    <row r="1029" ht="15.75" customHeight="1">
      <c r="A1029" s="17"/>
      <c r="B1029" s="44"/>
      <c r="C1029" s="44"/>
      <c r="D1029" s="45"/>
      <c r="E1029" s="19"/>
      <c r="F1029" s="19"/>
      <c r="G1029" s="66"/>
      <c r="H1029" s="19"/>
      <c r="I1029" s="19"/>
      <c r="J1029" s="67"/>
      <c r="K1029" s="44"/>
      <c r="L1029" s="68"/>
      <c r="M1029" s="44"/>
      <c r="N1029" s="71"/>
      <c r="O1029" s="71"/>
    </row>
    <row r="1030" ht="15.75" customHeight="1">
      <c r="A1030" s="17"/>
      <c r="B1030" s="44"/>
      <c r="C1030" s="44"/>
      <c r="D1030" s="45"/>
      <c r="E1030" s="19"/>
      <c r="F1030" s="19"/>
      <c r="G1030" s="66"/>
      <c r="H1030" s="19"/>
      <c r="I1030" s="19"/>
      <c r="J1030" s="67"/>
      <c r="K1030" s="44"/>
      <c r="L1030" s="68"/>
      <c r="M1030" s="44"/>
      <c r="N1030" s="71"/>
      <c r="O1030" s="71"/>
    </row>
    <row r="1031" ht="15.75" customHeight="1">
      <c r="A1031" s="17"/>
      <c r="B1031" s="44"/>
      <c r="C1031" s="44"/>
      <c r="D1031" s="45"/>
      <c r="E1031" s="19"/>
      <c r="F1031" s="19"/>
      <c r="G1031" s="66"/>
      <c r="H1031" s="19"/>
      <c r="I1031" s="19"/>
      <c r="J1031" s="67"/>
      <c r="K1031" s="44"/>
      <c r="L1031" s="68"/>
      <c r="M1031" s="44"/>
      <c r="N1031" s="71"/>
      <c r="O1031" s="71"/>
    </row>
    <row r="1032" ht="15.75" customHeight="1">
      <c r="A1032" s="17"/>
      <c r="B1032" s="44"/>
      <c r="C1032" s="44"/>
      <c r="D1032" s="45"/>
      <c r="E1032" s="19"/>
      <c r="F1032" s="19"/>
      <c r="G1032" s="66"/>
      <c r="H1032" s="19"/>
      <c r="I1032" s="19"/>
      <c r="J1032" s="67"/>
      <c r="K1032" s="44"/>
      <c r="L1032" s="68"/>
      <c r="M1032" s="44"/>
      <c r="N1032" s="71"/>
      <c r="O1032" s="71"/>
    </row>
    <row r="1033" ht="15.75" customHeight="1">
      <c r="A1033" s="17"/>
      <c r="B1033" s="44"/>
      <c r="C1033" s="44"/>
      <c r="D1033" s="45"/>
      <c r="E1033" s="19"/>
      <c r="F1033" s="19"/>
      <c r="G1033" s="66"/>
      <c r="H1033" s="19"/>
      <c r="I1033" s="19"/>
      <c r="J1033" s="67"/>
      <c r="K1033" s="44"/>
      <c r="L1033" s="68"/>
      <c r="M1033" s="44"/>
      <c r="N1033" s="71"/>
      <c r="O1033" s="71"/>
    </row>
    <row r="1034" ht="15.75" customHeight="1">
      <c r="A1034" s="17"/>
      <c r="B1034" s="44"/>
      <c r="C1034" s="44"/>
      <c r="D1034" s="45"/>
      <c r="E1034" s="19"/>
      <c r="F1034" s="19"/>
      <c r="G1034" s="66"/>
      <c r="H1034" s="19"/>
      <c r="I1034" s="19"/>
      <c r="J1034" s="67"/>
      <c r="K1034" s="44"/>
      <c r="L1034" s="68"/>
      <c r="M1034" s="44"/>
      <c r="N1034" s="71"/>
      <c r="O1034" s="71"/>
    </row>
    <row r="1035" ht="15.75" customHeight="1">
      <c r="A1035" s="17"/>
      <c r="B1035" s="44"/>
      <c r="C1035" s="44"/>
      <c r="D1035" s="45"/>
      <c r="E1035" s="19"/>
      <c r="F1035" s="19"/>
      <c r="G1035" s="66"/>
      <c r="H1035" s="19"/>
      <c r="I1035" s="19"/>
      <c r="J1035" s="67"/>
      <c r="K1035" s="44"/>
      <c r="L1035" s="68"/>
      <c r="M1035" s="44"/>
      <c r="N1035" s="71"/>
      <c r="O1035" s="71"/>
    </row>
    <row r="1036" ht="15.75" customHeight="1">
      <c r="A1036" s="17"/>
      <c r="B1036" s="44"/>
      <c r="C1036" s="44"/>
      <c r="D1036" s="45"/>
      <c r="E1036" s="19"/>
      <c r="F1036" s="19"/>
      <c r="G1036" s="66"/>
      <c r="H1036" s="19"/>
      <c r="I1036" s="19"/>
      <c r="J1036" s="67"/>
      <c r="K1036" s="44"/>
      <c r="L1036" s="68"/>
      <c r="M1036" s="44"/>
      <c r="N1036" s="71"/>
      <c r="O1036" s="71"/>
    </row>
    <row r="1037" ht="15.75" customHeight="1">
      <c r="A1037" s="17"/>
      <c r="B1037" s="44"/>
      <c r="C1037" s="44"/>
      <c r="D1037" s="45"/>
      <c r="E1037" s="19"/>
      <c r="F1037" s="19"/>
      <c r="G1037" s="66"/>
      <c r="H1037" s="19"/>
      <c r="I1037" s="19"/>
      <c r="J1037" s="67"/>
      <c r="K1037" s="44"/>
      <c r="L1037" s="68"/>
      <c r="M1037" s="44"/>
      <c r="N1037" s="71"/>
      <c r="O1037" s="71"/>
    </row>
    <row r="1038" ht="15.75" customHeight="1">
      <c r="A1038" s="17"/>
      <c r="B1038" s="44"/>
      <c r="C1038" s="44"/>
      <c r="D1038" s="45"/>
      <c r="E1038" s="19"/>
      <c r="F1038" s="19"/>
      <c r="G1038" s="66"/>
      <c r="H1038" s="19"/>
      <c r="I1038" s="19"/>
      <c r="J1038" s="67"/>
      <c r="K1038" s="44"/>
      <c r="L1038" s="68"/>
      <c r="M1038" s="44"/>
      <c r="N1038" s="71"/>
      <c r="O1038" s="71"/>
    </row>
    <row r="1039" ht="15.75" customHeight="1">
      <c r="A1039" s="17"/>
      <c r="B1039" s="44"/>
      <c r="C1039" s="44"/>
      <c r="D1039" s="45"/>
      <c r="E1039" s="19"/>
      <c r="F1039" s="19"/>
      <c r="G1039" s="66"/>
      <c r="H1039" s="19"/>
      <c r="I1039" s="19"/>
      <c r="J1039" s="67"/>
      <c r="K1039" s="44"/>
      <c r="L1039" s="68"/>
      <c r="M1039" s="44"/>
      <c r="N1039" s="71"/>
      <c r="O1039" s="71"/>
    </row>
    <row r="1040" ht="15.75" customHeight="1">
      <c r="A1040" s="17"/>
      <c r="B1040" s="44"/>
      <c r="C1040" s="44"/>
      <c r="D1040" s="45"/>
      <c r="E1040" s="19"/>
      <c r="F1040" s="19"/>
      <c r="G1040" s="66"/>
      <c r="H1040" s="19"/>
      <c r="I1040" s="19"/>
      <c r="J1040" s="67"/>
      <c r="K1040" s="44"/>
      <c r="L1040" s="68"/>
      <c r="M1040" s="44"/>
      <c r="N1040" s="71"/>
      <c r="O1040" s="71"/>
    </row>
    <row r="1041" ht="15.75" customHeight="1">
      <c r="A1041" s="17"/>
      <c r="B1041" s="44"/>
      <c r="C1041" s="44"/>
      <c r="D1041" s="45"/>
      <c r="E1041" s="19"/>
      <c r="F1041" s="19"/>
      <c r="G1041" s="66"/>
      <c r="H1041" s="19"/>
      <c r="I1041" s="19"/>
      <c r="J1041" s="67"/>
      <c r="K1041" s="44"/>
      <c r="L1041" s="68"/>
      <c r="M1041" s="44"/>
      <c r="N1041" s="71"/>
      <c r="O1041" s="71"/>
    </row>
    <row r="1042" ht="15.75" customHeight="1">
      <c r="A1042" s="17"/>
      <c r="B1042" s="44"/>
      <c r="C1042" s="44"/>
      <c r="D1042" s="45"/>
      <c r="E1042" s="19"/>
      <c r="F1042" s="19"/>
      <c r="G1042" s="66"/>
      <c r="H1042" s="19"/>
      <c r="I1042" s="19"/>
      <c r="J1042" s="67"/>
      <c r="K1042" s="44"/>
      <c r="L1042" s="68"/>
      <c r="M1042" s="44"/>
      <c r="N1042" s="71"/>
      <c r="O1042" s="71"/>
    </row>
    <row r="1043" ht="15.75" customHeight="1">
      <c r="A1043" s="17"/>
      <c r="B1043" s="44"/>
      <c r="C1043" s="44"/>
      <c r="D1043" s="45"/>
      <c r="E1043" s="19"/>
      <c r="F1043" s="19"/>
      <c r="G1043" s="66"/>
      <c r="H1043" s="19"/>
      <c r="I1043" s="19"/>
      <c r="J1043" s="67"/>
      <c r="K1043" s="44"/>
      <c r="L1043" s="68"/>
      <c r="M1043" s="44"/>
      <c r="N1043" s="71"/>
      <c r="O1043" s="71"/>
    </row>
    <row r="1044" ht="15.75" customHeight="1">
      <c r="A1044" s="17"/>
      <c r="B1044" s="44"/>
      <c r="C1044" s="44"/>
      <c r="D1044" s="45"/>
      <c r="E1044" s="19"/>
      <c r="F1044" s="19"/>
      <c r="G1044" s="66"/>
      <c r="H1044" s="19"/>
      <c r="I1044" s="19"/>
      <c r="J1044" s="67"/>
      <c r="K1044" s="44"/>
      <c r="L1044" s="68"/>
      <c r="M1044" s="44"/>
      <c r="N1044" s="71"/>
      <c r="O1044" s="71"/>
    </row>
    <row r="1045" ht="15.75" customHeight="1">
      <c r="A1045" s="17"/>
      <c r="B1045" s="44"/>
      <c r="C1045" s="44"/>
      <c r="D1045" s="45"/>
      <c r="E1045" s="19"/>
      <c r="F1045" s="19"/>
      <c r="G1045" s="66"/>
      <c r="H1045" s="19"/>
      <c r="I1045" s="19"/>
      <c r="J1045" s="67"/>
      <c r="K1045" s="44"/>
      <c r="L1045" s="68"/>
      <c r="M1045" s="44"/>
      <c r="N1045" s="71"/>
      <c r="O1045" s="71"/>
    </row>
    <row r="1046" ht="15.75" customHeight="1">
      <c r="A1046" s="17"/>
      <c r="B1046" s="44"/>
      <c r="C1046" s="44"/>
      <c r="D1046" s="45"/>
      <c r="E1046" s="19"/>
      <c r="F1046" s="19"/>
      <c r="G1046" s="66"/>
      <c r="H1046" s="19"/>
      <c r="I1046" s="19"/>
      <c r="J1046" s="67"/>
      <c r="K1046" s="44"/>
      <c r="L1046" s="68"/>
      <c r="M1046" s="44"/>
      <c r="N1046" s="71"/>
      <c r="O1046" s="71"/>
    </row>
    <row r="1047" ht="15.75" customHeight="1">
      <c r="A1047" s="17"/>
      <c r="B1047" s="44"/>
      <c r="C1047" s="44"/>
      <c r="D1047" s="45"/>
      <c r="E1047" s="19"/>
      <c r="F1047" s="19"/>
      <c r="G1047" s="66"/>
      <c r="H1047" s="19"/>
      <c r="I1047" s="19"/>
      <c r="J1047" s="67"/>
      <c r="K1047" s="44"/>
      <c r="L1047" s="68"/>
      <c r="M1047" s="44"/>
      <c r="N1047" s="71"/>
      <c r="O1047" s="71"/>
    </row>
    <row r="1048" ht="15.75" customHeight="1">
      <c r="A1048" s="17"/>
      <c r="B1048" s="44"/>
      <c r="C1048" s="44"/>
      <c r="D1048" s="45"/>
      <c r="E1048" s="19"/>
      <c r="F1048" s="19"/>
      <c r="G1048" s="66"/>
      <c r="H1048" s="19"/>
      <c r="I1048" s="19"/>
      <c r="J1048" s="67"/>
      <c r="K1048" s="44"/>
      <c r="L1048" s="68"/>
      <c r="M1048" s="44"/>
      <c r="N1048" s="71"/>
      <c r="O1048" s="71"/>
    </row>
    <row r="1049" ht="15.75" customHeight="1">
      <c r="A1049" s="17"/>
      <c r="B1049" s="44"/>
      <c r="C1049" s="44"/>
      <c r="D1049" s="45"/>
      <c r="E1049" s="19"/>
      <c r="F1049" s="19"/>
      <c r="G1049" s="66"/>
      <c r="H1049" s="19"/>
      <c r="I1049" s="19"/>
      <c r="J1049" s="67"/>
      <c r="K1049" s="44"/>
      <c r="L1049" s="68"/>
      <c r="M1049" s="44"/>
      <c r="N1049" s="71"/>
      <c r="O1049" s="71"/>
    </row>
    <row r="1050" ht="15.75" customHeight="1">
      <c r="A1050" s="17"/>
      <c r="B1050" s="44"/>
      <c r="C1050" s="44"/>
      <c r="D1050" s="45"/>
      <c r="E1050" s="19"/>
      <c r="F1050" s="19"/>
      <c r="G1050" s="66"/>
      <c r="H1050" s="19"/>
      <c r="I1050" s="19"/>
      <c r="J1050" s="67"/>
      <c r="K1050" s="44"/>
      <c r="L1050" s="68"/>
      <c r="M1050" s="44"/>
      <c r="N1050" s="71"/>
      <c r="O1050" s="71"/>
    </row>
    <row r="1051" ht="15.75" customHeight="1">
      <c r="A1051" s="17"/>
      <c r="B1051" s="44"/>
      <c r="C1051" s="44"/>
      <c r="D1051" s="45"/>
      <c r="E1051" s="19"/>
      <c r="F1051" s="19"/>
      <c r="G1051" s="66"/>
      <c r="H1051" s="19"/>
      <c r="I1051" s="19"/>
      <c r="J1051" s="67"/>
      <c r="K1051" s="44"/>
      <c r="L1051" s="68"/>
      <c r="M1051" s="44"/>
      <c r="N1051" s="71"/>
      <c r="O1051" s="71"/>
    </row>
    <row r="1052" ht="15.75" customHeight="1">
      <c r="A1052" s="17"/>
      <c r="B1052" s="44"/>
      <c r="C1052" s="44"/>
      <c r="D1052" s="45"/>
      <c r="E1052" s="19"/>
      <c r="F1052" s="19"/>
      <c r="G1052" s="66"/>
      <c r="H1052" s="19"/>
      <c r="I1052" s="19"/>
      <c r="J1052" s="67"/>
      <c r="K1052" s="44"/>
      <c r="L1052" s="68"/>
      <c r="M1052" s="44"/>
      <c r="N1052" s="71"/>
      <c r="O1052" s="71"/>
    </row>
    <row r="1053" ht="15.75" customHeight="1">
      <c r="A1053" s="17"/>
      <c r="B1053" s="44"/>
      <c r="C1053" s="44"/>
      <c r="D1053" s="45"/>
      <c r="E1053" s="19"/>
      <c r="F1053" s="19"/>
      <c r="G1053" s="66"/>
      <c r="H1053" s="19"/>
      <c r="I1053" s="19"/>
      <c r="J1053" s="67"/>
      <c r="K1053" s="44"/>
      <c r="L1053" s="68"/>
      <c r="M1053" s="44"/>
      <c r="N1053" s="71"/>
      <c r="O1053" s="71"/>
    </row>
    <row r="1054" ht="15.75" customHeight="1">
      <c r="A1054" s="17"/>
      <c r="B1054" s="44"/>
      <c r="C1054" s="44"/>
      <c r="D1054" s="45"/>
      <c r="E1054" s="19"/>
      <c r="F1054" s="19"/>
      <c r="G1054" s="66"/>
      <c r="H1054" s="19"/>
      <c r="I1054" s="19"/>
      <c r="J1054" s="67"/>
      <c r="K1054" s="44"/>
      <c r="L1054" s="68"/>
      <c r="M1054" s="44"/>
      <c r="N1054" s="71"/>
      <c r="O1054" s="71"/>
    </row>
    <row r="1055" ht="15.75" customHeight="1">
      <c r="A1055" s="17"/>
      <c r="B1055" s="44"/>
      <c r="C1055" s="44"/>
      <c r="D1055" s="45"/>
      <c r="E1055" s="19"/>
      <c r="F1055" s="19"/>
      <c r="G1055" s="66"/>
      <c r="H1055" s="19"/>
      <c r="I1055" s="19"/>
      <c r="J1055" s="67"/>
      <c r="K1055" s="44"/>
      <c r="L1055" s="68"/>
      <c r="M1055" s="44"/>
      <c r="N1055" s="71"/>
      <c r="O1055" s="71"/>
    </row>
    <row r="1056" ht="15.75" customHeight="1">
      <c r="A1056" s="17"/>
      <c r="B1056" s="44"/>
      <c r="C1056" s="44"/>
      <c r="D1056" s="45"/>
      <c r="E1056" s="19"/>
      <c r="F1056" s="19"/>
      <c r="G1056" s="66"/>
      <c r="H1056" s="19"/>
      <c r="I1056" s="19"/>
      <c r="J1056" s="67"/>
      <c r="K1056" s="44"/>
      <c r="L1056" s="68"/>
      <c r="M1056" s="44"/>
      <c r="N1056" s="71"/>
      <c r="O1056" s="71"/>
    </row>
    <row r="1057" ht="15.75" customHeight="1">
      <c r="A1057" s="17"/>
      <c r="B1057" s="44"/>
      <c r="C1057" s="44"/>
      <c r="D1057" s="45"/>
      <c r="E1057" s="19"/>
      <c r="F1057" s="19"/>
      <c r="G1057" s="66"/>
      <c r="H1057" s="19"/>
      <c r="I1057" s="19"/>
      <c r="J1057" s="67"/>
      <c r="K1057" s="44"/>
      <c r="L1057" s="68"/>
      <c r="M1057" s="44"/>
      <c r="N1057" s="71"/>
      <c r="O1057" s="71"/>
    </row>
    <row r="1058" ht="15.75" customHeight="1">
      <c r="A1058" s="17"/>
      <c r="B1058" s="44"/>
      <c r="C1058" s="44"/>
      <c r="D1058" s="45"/>
      <c r="E1058" s="19"/>
      <c r="F1058" s="19"/>
      <c r="G1058" s="66"/>
      <c r="H1058" s="19"/>
      <c r="I1058" s="19"/>
      <c r="J1058" s="67"/>
      <c r="K1058" s="44"/>
      <c r="L1058" s="68"/>
      <c r="M1058" s="44"/>
      <c r="N1058" s="71"/>
      <c r="O1058" s="71"/>
    </row>
    <row r="1059" ht="15.75" customHeight="1">
      <c r="A1059" s="17"/>
      <c r="B1059" s="44"/>
      <c r="C1059" s="44"/>
      <c r="D1059" s="45"/>
      <c r="E1059" s="19"/>
      <c r="F1059" s="19"/>
      <c r="G1059" s="66"/>
      <c r="H1059" s="19"/>
      <c r="I1059" s="19"/>
      <c r="J1059" s="67"/>
      <c r="K1059" s="44"/>
      <c r="L1059" s="68"/>
      <c r="M1059" s="44"/>
      <c r="N1059" s="71"/>
      <c r="O1059" s="71"/>
    </row>
    <row r="1060" ht="15.75" customHeight="1">
      <c r="A1060" s="17"/>
      <c r="B1060" s="44"/>
      <c r="C1060" s="44"/>
      <c r="D1060" s="45"/>
      <c r="E1060" s="19"/>
      <c r="F1060" s="19"/>
      <c r="G1060" s="66"/>
      <c r="H1060" s="19"/>
      <c r="I1060" s="19"/>
      <c r="J1060" s="67"/>
      <c r="K1060" s="44"/>
      <c r="L1060" s="68"/>
      <c r="M1060" s="44"/>
      <c r="N1060" s="71"/>
      <c r="O1060" s="71"/>
    </row>
    <row r="1061" ht="15.75" customHeight="1">
      <c r="A1061" s="17"/>
      <c r="B1061" s="44"/>
      <c r="C1061" s="44"/>
      <c r="D1061" s="45"/>
      <c r="E1061" s="19"/>
      <c r="F1061" s="19"/>
      <c r="G1061" s="66"/>
      <c r="H1061" s="19"/>
      <c r="I1061" s="19"/>
      <c r="J1061" s="67"/>
      <c r="K1061" s="44"/>
      <c r="L1061" s="68"/>
      <c r="M1061" s="44"/>
      <c r="N1061" s="71"/>
      <c r="O1061" s="71"/>
    </row>
    <row r="1062" ht="15.75" customHeight="1">
      <c r="A1062" s="17"/>
      <c r="B1062" s="44"/>
      <c r="C1062" s="44"/>
      <c r="D1062" s="45"/>
      <c r="E1062" s="19"/>
      <c r="F1062" s="19"/>
      <c r="G1062" s="66"/>
      <c r="H1062" s="19"/>
      <c r="I1062" s="19"/>
      <c r="J1062" s="67"/>
      <c r="K1062" s="44"/>
      <c r="L1062" s="68"/>
      <c r="M1062" s="44"/>
      <c r="N1062" s="71"/>
      <c r="O1062" s="71"/>
    </row>
    <row r="1063" ht="15.75" customHeight="1">
      <c r="A1063" s="17"/>
      <c r="B1063" s="44"/>
      <c r="C1063" s="44"/>
      <c r="D1063" s="45"/>
      <c r="E1063" s="19"/>
      <c r="F1063" s="19"/>
      <c r="G1063" s="66"/>
      <c r="H1063" s="19"/>
      <c r="I1063" s="19"/>
      <c r="J1063" s="67"/>
      <c r="K1063" s="44"/>
      <c r="L1063" s="68"/>
      <c r="M1063" s="44"/>
      <c r="N1063" s="71"/>
      <c r="O1063" s="71"/>
    </row>
    <row r="1064" ht="15.75" customHeight="1">
      <c r="A1064" s="17"/>
      <c r="B1064" s="44"/>
      <c r="C1064" s="44"/>
      <c r="D1064" s="45"/>
      <c r="E1064" s="19"/>
      <c r="F1064" s="19"/>
      <c r="G1064" s="66"/>
      <c r="H1064" s="19"/>
      <c r="I1064" s="19"/>
      <c r="J1064" s="67"/>
      <c r="K1064" s="44"/>
      <c r="L1064" s="68"/>
      <c r="M1064" s="44"/>
      <c r="N1064" s="71"/>
      <c r="O1064" s="71"/>
    </row>
    <row r="1065" ht="15.75" customHeight="1">
      <c r="A1065" s="17"/>
      <c r="B1065" s="44"/>
      <c r="C1065" s="44"/>
      <c r="D1065" s="45"/>
      <c r="E1065" s="19"/>
      <c r="F1065" s="19"/>
      <c r="G1065" s="66"/>
      <c r="H1065" s="19"/>
      <c r="I1065" s="19"/>
      <c r="J1065" s="67"/>
      <c r="K1065" s="44"/>
      <c r="L1065" s="68"/>
      <c r="M1065" s="44"/>
      <c r="N1065" s="71"/>
      <c r="O1065" s="71"/>
    </row>
    <row r="1066" ht="15.75" customHeight="1">
      <c r="A1066" s="17"/>
      <c r="B1066" s="44"/>
      <c r="C1066" s="44"/>
      <c r="D1066" s="45"/>
      <c r="E1066" s="19"/>
      <c r="F1066" s="19"/>
      <c r="G1066" s="66"/>
      <c r="H1066" s="19"/>
      <c r="I1066" s="19"/>
      <c r="J1066" s="67"/>
      <c r="K1066" s="44"/>
      <c r="L1066" s="68"/>
      <c r="M1066" s="44"/>
      <c r="N1066" s="71"/>
      <c r="O1066" s="71"/>
    </row>
    <row r="1067" ht="15.75" customHeight="1">
      <c r="A1067" s="17"/>
      <c r="B1067" s="44"/>
      <c r="C1067" s="44"/>
      <c r="D1067" s="45"/>
      <c r="E1067" s="19"/>
      <c r="F1067" s="19"/>
      <c r="G1067" s="66"/>
      <c r="H1067" s="19"/>
      <c r="I1067" s="19"/>
      <c r="J1067" s="67"/>
      <c r="K1067" s="44"/>
      <c r="L1067" s="68"/>
      <c r="M1067" s="44"/>
      <c r="N1067" s="71"/>
      <c r="O1067" s="71"/>
    </row>
    <row r="1068" ht="15.75" customHeight="1">
      <c r="A1068" s="17"/>
      <c r="B1068" s="44"/>
      <c r="C1068" s="44"/>
      <c r="D1068" s="45"/>
      <c r="E1068" s="19"/>
      <c r="F1068" s="19"/>
      <c r="G1068" s="66"/>
      <c r="H1068" s="19"/>
      <c r="I1068" s="19"/>
      <c r="J1068" s="67"/>
      <c r="K1068" s="44"/>
      <c r="L1068" s="68"/>
      <c r="M1068" s="44"/>
      <c r="N1068" s="71"/>
      <c r="O1068" s="71"/>
    </row>
    <row r="1069" ht="15.75" customHeight="1">
      <c r="A1069" s="17"/>
      <c r="B1069" s="44"/>
      <c r="C1069" s="44"/>
      <c r="D1069" s="45"/>
      <c r="E1069" s="19"/>
      <c r="F1069" s="19"/>
      <c r="G1069" s="66"/>
      <c r="H1069" s="19"/>
      <c r="I1069" s="19"/>
      <c r="J1069" s="67"/>
      <c r="K1069" s="44"/>
      <c r="L1069" s="68"/>
      <c r="M1069" s="44"/>
      <c r="N1069" s="71"/>
      <c r="O1069" s="71"/>
    </row>
    <row r="1070" ht="15.75" customHeight="1">
      <c r="A1070" s="17"/>
      <c r="B1070" s="44"/>
      <c r="C1070" s="44"/>
      <c r="D1070" s="45"/>
      <c r="E1070" s="19"/>
      <c r="F1070" s="19"/>
      <c r="G1070" s="66"/>
      <c r="H1070" s="19"/>
      <c r="I1070" s="19"/>
      <c r="J1070" s="67"/>
      <c r="K1070" s="44"/>
      <c r="L1070" s="68"/>
      <c r="M1070" s="44"/>
      <c r="N1070" s="71"/>
      <c r="O1070" s="71"/>
    </row>
    <row r="1071" ht="15.75" customHeight="1">
      <c r="A1071" s="17"/>
      <c r="B1071" s="44"/>
      <c r="C1071" s="44"/>
      <c r="D1071" s="45"/>
      <c r="E1071" s="19"/>
      <c r="F1071" s="19"/>
      <c r="G1071" s="66"/>
      <c r="H1071" s="19"/>
      <c r="I1071" s="19"/>
      <c r="J1071" s="67"/>
      <c r="K1071" s="44"/>
      <c r="L1071" s="68"/>
      <c r="M1071" s="44"/>
      <c r="N1071" s="71"/>
      <c r="O1071" s="71"/>
    </row>
    <row r="1072" ht="15.75" customHeight="1">
      <c r="A1072" s="17"/>
      <c r="B1072" s="44"/>
      <c r="C1072" s="44"/>
      <c r="D1072" s="45"/>
      <c r="E1072" s="19"/>
      <c r="F1072" s="19"/>
      <c r="G1072" s="66"/>
      <c r="H1072" s="19"/>
      <c r="I1072" s="19"/>
      <c r="J1072" s="67"/>
      <c r="K1072" s="44"/>
      <c r="L1072" s="68"/>
      <c r="M1072" s="44"/>
      <c r="N1072" s="71"/>
      <c r="O1072" s="71"/>
    </row>
    <row r="1073" ht="15.75" customHeight="1">
      <c r="A1073" s="17"/>
      <c r="B1073" s="44"/>
      <c r="C1073" s="44"/>
      <c r="D1073" s="45"/>
      <c r="E1073" s="19"/>
      <c r="F1073" s="19"/>
      <c r="G1073" s="66"/>
      <c r="H1073" s="19"/>
      <c r="I1073" s="19"/>
      <c r="J1073" s="67"/>
      <c r="K1073" s="44"/>
      <c r="L1073" s="68"/>
      <c r="M1073" s="44"/>
      <c r="N1073" s="71"/>
      <c r="O1073" s="71"/>
    </row>
    <row r="1074" ht="15.75" customHeight="1">
      <c r="A1074" s="17"/>
      <c r="B1074" s="44"/>
      <c r="C1074" s="44"/>
      <c r="D1074" s="45"/>
      <c r="E1074" s="19"/>
      <c r="F1074" s="19"/>
      <c r="G1074" s="66"/>
      <c r="H1074" s="19"/>
      <c r="I1074" s="19"/>
      <c r="J1074" s="67"/>
      <c r="K1074" s="44"/>
      <c r="L1074" s="68"/>
      <c r="M1074" s="44"/>
      <c r="N1074" s="71"/>
      <c r="O1074" s="71"/>
    </row>
    <row r="1075" ht="15.75" customHeight="1">
      <c r="A1075" s="17"/>
      <c r="B1075" s="44"/>
      <c r="C1075" s="44"/>
      <c r="D1075" s="45"/>
      <c r="E1075" s="19"/>
      <c r="F1075" s="19"/>
      <c r="G1075" s="66"/>
      <c r="H1075" s="19"/>
      <c r="I1075" s="19"/>
      <c r="J1075" s="67"/>
      <c r="K1075" s="44"/>
      <c r="L1075" s="68"/>
      <c r="M1075" s="44"/>
      <c r="N1075" s="71"/>
      <c r="O1075" s="71"/>
    </row>
    <row r="1076" ht="15.75" customHeight="1">
      <c r="A1076" s="17"/>
      <c r="B1076" s="44"/>
      <c r="C1076" s="44"/>
      <c r="D1076" s="45"/>
      <c r="E1076" s="19"/>
      <c r="F1076" s="19"/>
      <c r="G1076" s="66"/>
      <c r="H1076" s="19"/>
      <c r="I1076" s="19"/>
      <c r="J1076" s="67"/>
      <c r="K1076" s="44"/>
      <c r="L1076" s="68"/>
      <c r="M1076" s="44"/>
      <c r="N1076" s="71"/>
      <c r="O1076" s="71"/>
    </row>
    <row r="1077" ht="15.75" customHeight="1">
      <c r="A1077" s="17"/>
      <c r="B1077" s="44"/>
      <c r="C1077" s="44"/>
      <c r="D1077" s="45"/>
      <c r="E1077" s="19"/>
      <c r="F1077" s="19"/>
      <c r="G1077" s="66"/>
      <c r="H1077" s="19"/>
      <c r="I1077" s="19"/>
      <c r="J1077" s="67"/>
      <c r="K1077" s="44"/>
      <c r="L1077" s="68"/>
      <c r="M1077" s="44"/>
      <c r="N1077" s="71"/>
      <c r="O1077" s="71"/>
    </row>
    <row r="1078" ht="15.75" customHeight="1">
      <c r="A1078" s="17"/>
      <c r="B1078" s="44"/>
      <c r="C1078" s="44"/>
      <c r="D1078" s="45"/>
      <c r="E1078" s="19"/>
      <c r="F1078" s="19"/>
      <c r="G1078" s="66"/>
      <c r="H1078" s="19"/>
      <c r="I1078" s="19"/>
      <c r="J1078" s="67"/>
      <c r="K1078" s="44"/>
      <c r="L1078" s="68"/>
      <c r="M1078" s="44"/>
      <c r="N1078" s="71"/>
      <c r="O1078" s="71"/>
    </row>
    <row r="1079" ht="15.75" customHeight="1">
      <c r="A1079" s="17"/>
      <c r="B1079" s="44"/>
      <c r="C1079" s="44"/>
      <c r="D1079" s="45"/>
      <c r="E1079" s="19"/>
      <c r="F1079" s="19"/>
      <c r="G1079" s="66"/>
      <c r="H1079" s="19"/>
      <c r="I1079" s="19"/>
      <c r="J1079" s="67"/>
      <c r="K1079" s="44"/>
      <c r="L1079" s="68"/>
      <c r="M1079" s="44"/>
      <c r="N1079" s="71"/>
      <c r="O1079" s="71"/>
    </row>
    <row r="1080" ht="15.75" customHeight="1">
      <c r="A1080" s="17"/>
      <c r="B1080" s="44"/>
      <c r="C1080" s="44"/>
      <c r="D1080" s="45"/>
      <c r="E1080" s="19"/>
      <c r="F1080" s="19"/>
      <c r="G1080" s="66"/>
      <c r="H1080" s="19"/>
      <c r="I1080" s="19"/>
      <c r="J1080" s="67"/>
      <c r="K1080" s="44"/>
      <c r="L1080" s="68"/>
      <c r="M1080" s="44"/>
      <c r="N1080" s="71"/>
      <c r="O1080" s="71"/>
    </row>
    <row r="1081" ht="15.75" customHeight="1">
      <c r="A1081" s="17"/>
      <c r="B1081" s="44"/>
      <c r="C1081" s="44"/>
      <c r="D1081" s="45"/>
      <c r="E1081" s="19"/>
      <c r="F1081" s="19"/>
      <c r="G1081" s="66"/>
      <c r="H1081" s="19"/>
      <c r="I1081" s="19"/>
      <c r="J1081" s="67"/>
      <c r="K1081" s="44"/>
      <c r="L1081" s="68"/>
      <c r="M1081" s="44"/>
      <c r="N1081" s="71"/>
      <c r="O1081" s="71"/>
    </row>
    <row r="1082" ht="15.75" customHeight="1">
      <c r="A1082" s="17"/>
      <c r="B1082" s="44"/>
      <c r="C1082" s="44"/>
      <c r="D1082" s="45"/>
      <c r="E1082" s="19"/>
      <c r="F1082" s="19"/>
      <c r="G1082" s="66"/>
      <c r="H1082" s="19"/>
      <c r="I1082" s="19"/>
      <c r="J1082" s="67"/>
      <c r="K1082" s="44"/>
      <c r="L1082" s="68"/>
      <c r="M1082" s="44"/>
      <c r="N1082" s="71"/>
      <c r="O1082" s="71"/>
    </row>
    <row r="1083" ht="15.75" customHeight="1">
      <c r="A1083" s="17"/>
      <c r="B1083" s="44"/>
      <c r="C1083" s="44"/>
      <c r="D1083" s="45"/>
      <c r="E1083" s="19"/>
      <c r="F1083" s="19"/>
      <c r="G1083" s="66"/>
      <c r="H1083" s="19"/>
      <c r="I1083" s="19"/>
      <c r="J1083" s="67"/>
      <c r="K1083" s="44"/>
      <c r="L1083" s="68"/>
      <c r="M1083" s="44"/>
      <c r="N1083" s="71"/>
      <c r="O1083" s="71"/>
    </row>
    <row r="1084" ht="15.75" customHeight="1">
      <c r="A1084" s="17"/>
      <c r="B1084" s="44"/>
      <c r="C1084" s="44"/>
      <c r="D1084" s="45"/>
      <c r="E1084" s="19"/>
      <c r="F1084" s="19"/>
      <c r="G1084" s="66"/>
      <c r="H1084" s="19"/>
      <c r="I1084" s="19"/>
      <c r="J1084" s="67"/>
      <c r="K1084" s="44"/>
      <c r="L1084" s="68"/>
      <c r="M1084" s="44"/>
      <c r="N1084" s="71"/>
      <c r="O1084" s="71"/>
    </row>
    <row r="1085" ht="15.75" customHeight="1">
      <c r="A1085" s="17"/>
      <c r="B1085" s="44"/>
      <c r="C1085" s="44"/>
      <c r="D1085" s="45"/>
      <c r="E1085" s="19"/>
      <c r="F1085" s="19"/>
      <c r="G1085" s="66"/>
      <c r="H1085" s="19"/>
      <c r="I1085" s="19"/>
      <c r="J1085" s="67"/>
      <c r="K1085" s="44"/>
      <c r="L1085" s="68"/>
      <c r="M1085" s="44"/>
      <c r="N1085" s="71"/>
      <c r="O1085" s="71"/>
    </row>
    <row r="1086" ht="15.75" customHeight="1">
      <c r="A1086" s="17"/>
      <c r="B1086" s="44"/>
      <c r="C1086" s="44"/>
      <c r="D1086" s="45"/>
      <c r="E1086" s="19"/>
      <c r="F1086" s="19"/>
      <c r="G1086" s="66"/>
      <c r="H1086" s="19"/>
      <c r="I1086" s="19"/>
      <c r="J1086" s="67"/>
      <c r="K1086" s="44"/>
      <c r="L1086" s="68"/>
      <c r="M1086" s="44"/>
      <c r="N1086" s="71"/>
      <c r="O1086" s="71"/>
    </row>
    <row r="1087" ht="15.75" customHeight="1">
      <c r="A1087" s="17"/>
      <c r="B1087" s="44"/>
      <c r="C1087" s="44"/>
      <c r="D1087" s="45"/>
      <c r="E1087" s="19"/>
      <c r="F1087" s="19"/>
      <c r="G1087" s="66"/>
      <c r="H1087" s="19"/>
      <c r="I1087" s="19"/>
      <c r="J1087" s="67"/>
      <c r="K1087" s="44"/>
      <c r="L1087" s="68"/>
      <c r="M1087" s="44"/>
      <c r="N1087" s="71"/>
      <c r="O1087" s="71"/>
    </row>
    <row r="1088" ht="15.75" customHeight="1">
      <c r="A1088" s="17"/>
      <c r="B1088" s="44"/>
      <c r="C1088" s="44"/>
      <c r="D1088" s="45"/>
      <c r="E1088" s="19"/>
      <c r="F1088" s="19"/>
      <c r="G1088" s="66"/>
      <c r="H1088" s="19"/>
      <c r="I1088" s="19"/>
      <c r="J1088" s="67"/>
      <c r="K1088" s="44"/>
      <c r="L1088" s="68"/>
      <c r="M1088" s="44"/>
      <c r="N1088" s="71"/>
      <c r="O1088" s="71"/>
    </row>
    <row r="1089" ht="15.75" customHeight="1">
      <c r="A1089" s="17"/>
      <c r="B1089" s="44"/>
      <c r="C1089" s="44"/>
      <c r="D1089" s="45"/>
      <c r="E1089" s="19"/>
      <c r="F1089" s="19"/>
      <c r="G1089" s="66"/>
      <c r="H1089" s="19"/>
      <c r="I1089" s="19"/>
      <c r="J1089" s="67"/>
      <c r="K1089" s="44"/>
      <c r="L1089" s="68"/>
      <c r="M1089" s="44"/>
      <c r="N1089" s="71"/>
      <c r="O1089" s="71"/>
    </row>
    <row r="1090" ht="15.75" customHeight="1">
      <c r="A1090" s="17"/>
      <c r="B1090" s="44"/>
      <c r="C1090" s="44"/>
      <c r="D1090" s="45"/>
      <c r="E1090" s="19"/>
      <c r="F1090" s="19"/>
      <c r="G1090" s="66"/>
      <c r="H1090" s="19"/>
      <c r="I1090" s="19"/>
      <c r="J1090" s="67"/>
      <c r="K1090" s="44"/>
      <c r="L1090" s="68"/>
      <c r="M1090" s="44"/>
      <c r="N1090" s="71"/>
      <c r="O1090" s="71"/>
    </row>
    <row r="1091" ht="15.75" customHeight="1">
      <c r="A1091" s="17"/>
      <c r="B1091" s="44"/>
      <c r="C1091" s="44"/>
      <c r="D1091" s="45"/>
      <c r="E1091" s="19"/>
      <c r="F1091" s="19"/>
      <c r="G1091" s="66"/>
      <c r="H1091" s="19"/>
      <c r="I1091" s="19"/>
      <c r="J1091" s="67"/>
      <c r="K1091" s="44"/>
      <c r="L1091" s="68"/>
      <c r="M1091" s="44"/>
      <c r="N1091" s="71"/>
      <c r="O1091" s="71"/>
    </row>
    <row r="1092" ht="15.75" customHeight="1">
      <c r="A1092" s="17"/>
      <c r="B1092" s="44"/>
      <c r="C1092" s="44"/>
      <c r="D1092" s="45"/>
      <c r="E1092" s="19"/>
      <c r="F1092" s="19"/>
      <c r="G1092" s="66"/>
      <c r="H1092" s="19"/>
      <c r="I1092" s="19"/>
      <c r="J1092" s="67"/>
      <c r="K1092" s="44"/>
      <c r="L1092" s="68"/>
      <c r="M1092" s="44"/>
      <c r="N1092" s="71"/>
      <c r="O1092" s="71"/>
    </row>
    <row r="1093" ht="15.75" customHeight="1">
      <c r="A1093" s="17"/>
      <c r="B1093" s="44"/>
      <c r="C1093" s="44"/>
      <c r="D1093" s="45"/>
      <c r="E1093" s="19"/>
      <c r="F1093" s="19"/>
      <c r="G1093" s="66"/>
      <c r="H1093" s="19"/>
      <c r="I1093" s="19"/>
      <c r="J1093" s="67"/>
      <c r="K1093" s="44"/>
      <c r="L1093" s="68"/>
      <c r="M1093" s="44"/>
      <c r="N1093" s="71"/>
      <c r="O1093" s="71"/>
    </row>
    <row r="1094" ht="15.75" customHeight="1">
      <c r="A1094" s="17"/>
      <c r="B1094" s="44"/>
      <c r="C1094" s="44"/>
      <c r="D1094" s="45"/>
      <c r="E1094" s="19"/>
      <c r="F1094" s="19"/>
      <c r="G1094" s="66"/>
      <c r="H1094" s="19"/>
      <c r="I1094" s="19"/>
      <c r="J1094" s="67"/>
      <c r="K1094" s="44"/>
      <c r="L1094" s="68"/>
      <c r="M1094" s="44"/>
      <c r="N1094" s="71"/>
      <c r="O1094" s="71"/>
    </row>
    <row r="1095" ht="15.75" customHeight="1">
      <c r="A1095" s="17"/>
      <c r="B1095" s="44"/>
      <c r="C1095" s="44"/>
      <c r="D1095" s="45"/>
      <c r="E1095" s="19"/>
      <c r="F1095" s="19"/>
      <c r="G1095" s="66"/>
      <c r="H1095" s="19"/>
      <c r="I1095" s="19"/>
      <c r="J1095" s="67"/>
      <c r="K1095" s="44"/>
      <c r="L1095" s="68"/>
      <c r="M1095" s="44"/>
      <c r="N1095" s="71"/>
      <c r="O1095" s="71"/>
    </row>
    <row r="1096" ht="15.75" customHeight="1">
      <c r="A1096" s="17"/>
      <c r="B1096" s="44"/>
      <c r="C1096" s="44"/>
      <c r="D1096" s="45"/>
      <c r="E1096" s="19"/>
      <c r="F1096" s="19"/>
      <c r="G1096" s="66"/>
      <c r="H1096" s="19"/>
      <c r="I1096" s="19"/>
      <c r="J1096" s="67"/>
      <c r="K1096" s="44"/>
      <c r="L1096" s="68"/>
      <c r="M1096" s="44"/>
      <c r="N1096" s="71"/>
      <c r="O1096" s="71"/>
    </row>
    <row r="1097" ht="15.75" customHeight="1">
      <c r="A1097" s="17"/>
      <c r="B1097" s="44"/>
      <c r="C1097" s="44"/>
      <c r="D1097" s="45"/>
      <c r="E1097" s="19"/>
      <c r="F1097" s="19"/>
      <c r="G1097" s="66"/>
      <c r="H1097" s="19"/>
      <c r="I1097" s="19"/>
      <c r="J1097" s="67"/>
      <c r="K1097" s="44"/>
      <c r="L1097" s="68"/>
      <c r="M1097" s="44"/>
      <c r="N1097" s="71"/>
      <c r="O1097" s="71"/>
    </row>
    <row r="1098" ht="15.75" customHeight="1">
      <c r="A1098" s="17"/>
      <c r="B1098" s="44"/>
      <c r="C1098" s="44"/>
      <c r="D1098" s="45"/>
      <c r="E1098" s="19"/>
      <c r="F1098" s="19"/>
      <c r="G1098" s="66"/>
      <c r="H1098" s="19"/>
      <c r="I1098" s="19"/>
      <c r="J1098" s="67"/>
      <c r="K1098" s="44"/>
      <c r="L1098" s="68"/>
      <c r="M1098" s="44"/>
      <c r="N1098" s="71"/>
      <c r="O1098" s="71"/>
    </row>
    <row r="1099" ht="15.75" customHeight="1">
      <c r="A1099" s="17"/>
      <c r="B1099" s="44"/>
      <c r="C1099" s="44"/>
      <c r="D1099" s="45"/>
      <c r="E1099" s="19"/>
      <c r="F1099" s="19"/>
      <c r="G1099" s="66"/>
      <c r="H1099" s="19"/>
      <c r="I1099" s="19"/>
      <c r="J1099" s="67"/>
      <c r="K1099" s="44"/>
      <c r="L1099" s="68"/>
      <c r="M1099" s="44"/>
      <c r="N1099" s="71"/>
      <c r="O1099" s="71"/>
    </row>
    <row r="1100" ht="15.75" customHeight="1">
      <c r="A1100" s="17"/>
      <c r="B1100" s="44"/>
      <c r="C1100" s="44"/>
      <c r="D1100" s="45"/>
      <c r="E1100" s="19"/>
      <c r="F1100" s="19"/>
      <c r="G1100" s="66"/>
      <c r="H1100" s="19"/>
      <c r="I1100" s="19"/>
      <c r="J1100" s="67"/>
      <c r="K1100" s="44"/>
      <c r="L1100" s="68"/>
      <c r="M1100" s="44"/>
      <c r="N1100" s="71"/>
      <c r="O1100" s="71"/>
    </row>
    <row r="1101" ht="15.75" customHeight="1">
      <c r="A1101" s="17"/>
      <c r="B1101" s="44"/>
      <c r="C1101" s="44"/>
      <c r="D1101" s="45"/>
      <c r="E1101" s="19"/>
      <c r="F1101" s="19"/>
      <c r="G1101" s="66"/>
      <c r="H1101" s="19"/>
      <c r="I1101" s="19"/>
      <c r="J1101" s="67"/>
      <c r="K1101" s="44"/>
      <c r="L1101" s="68"/>
      <c r="M1101" s="44"/>
      <c r="N1101" s="71"/>
      <c r="O1101" s="71"/>
    </row>
    <row r="1102" ht="15.75" customHeight="1">
      <c r="A1102" s="17"/>
      <c r="B1102" s="44"/>
      <c r="C1102" s="44"/>
      <c r="D1102" s="45"/>
      <c r="E1102" s="19"/>
      <c r="F1102" s="19"/>
      <c r="G1102" s="66"/>
      <c r="H1102" s="19"/>
      <c r="I1102" s="19"/>
      <c r="J1102" s="67"/>
      <c r="K1102" s="44"/>
      <c r="L1102" s="68"/>
      <c r="M1102" s="44"/>
      <c r="N1102" s="71"/>
      <c r="O1102" s="71"/>
    </row>
    <row r="1103" ht="15.75" customHeight="1">
      <c r="A1103" s="17"/>
      <c r="B1103" s="44"/>
      <c r="C1103" s="44"/>
      <c r="D1103" s="45"/>
      <c r="E1103" s="19"/>
      <c r="F1103" s="19"/>
      <c r="G1103" s="66"/>
      <c r="H1103" s="19"/>
      <c r="I1103" s="19"/>
      <c r="J1103" s="67"/>
      <c r="K1103" s="44"/>
      <c r="L1103" s="68"/>
      <c r="M1103" s="44"/>
      <c r="N1103" s="71"/>
      <c r="O1103" s="71"/>
    </row>
    <row r="1104" ht="15.75" customHeight="1">
      <c r="A1104" s="17"/>
      <c r="B1104" s="44"/>
      <c r="C1104" s="44"/>
      <c r="D1104" s="45"/>
      <c r="E1104" s="19"/>
      <c r="F1104" s="19"/>
      <c r="G1104" s="66"/>
      <c r="H1104" s="19"/>
      <c r="I1104" s="19"/>
      <c r="J1104" s="67"/>
      <c r="K1104" s="44"/>
      <c r="L1104" s="68"/>
      <c r="M1104" s="44"/>
      <c r="N1104" s="71"/>
      <c r="O1104" s="71"/>
    </row>
    <row r="1105" ht="15.75" customHeight="1">
      <c r="A1105" s="17"/>
      <c r="B1105" s="44"/>
      <c r="C1105" s="44"/>
      <c r="D1105" s="45"/>
      <c r="E1105" s="19"/>
      <c r="F1105" s="19"/>
      <c r="G1105" s="66"/>
      <c r="H1105" s="19"/>
      <c r="I1105" s="19"/>
      <c r="J1105" s="67"/>
      <c r="K1105" s="44"/>
      <c r="L1105" s="68"/>
      <c r="M1105" s="44"/>
      <c r="N1105" s="71"/>
      <c r="O1105" s="71"/>
    </row>
    <row r="1106" ht="15.75" customHeight="1">
      <c r="A1106" s="17"/>
      <c r="B1106" s="44"/>
      <c r="C1106" s="44"/>
      <c r="D1106" s="45"/>
      <c r="E1106" s="19"/>
      <c r="F1106" s="19"/>
      <c r="G1106" s="66"/>
      <c r="H1106" s="19"/>
      <c r="I1106" s="19"/>
      <c r="J1106" s="67"/>
      <c r="K1106" s="44"/>
      <c r="L1106" s="68"/>
      <c r="M1106" s="44"/>
      <c r="N1106" s="71"/>
      <c r="O1106" s="71"/>
    </row>
    <row r="1107" ht="15.75" customHeight="1">
      <c r="A1107" s="17"/>
      <c r="B1107" s="44"/>
      <c r="C1107" s="44"/>
      <c r="D1107" s="45"/>
      <c r="E1107" s="19"/>
      <c r="F1107" s="19"/>
      <c r="G1107" s="66"/>
      <c r="H1107" s="19"/>
      <c r="I1107" s="19"/>
      <c r="J1107" s="67"/>
      <c r="K1107" s="44"/>
      <c r="L1107" s="68"/>
      <c r="M1107" s="44"/>
      <c r="N1107" s="71"/>
      <c r="O1107" s="71"/>
    </row>
  </sheetData>
  <autoFilter ref="$A$3:$O$1107"/>
  <mergeCells count="1">
    <mergeCell ref="A1:J1"/>
  </mergeCells>
  <dataValidations>
    <dataValidation type="list" allowBlank="1" sqref="A4:A1107">
      <formula1>"2026-01,2026-02,2026-03"</formula1>
    </dataValidation>
  </dataValidations>
  <hyperlinks>
    <hyperlink r:id="rId1" ref="B709"/>
    <hyperlink r:id="rId2" ref="B710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3" width="19.71"/>
    <col customWidth="1" min="4" max="4" width="6.29"/>
    <col customWidth="1" min="5" max="5" width="27.43"/>
    <col customWidth="1" min="6" max="6" width="23.29"/>
    <col customWidth="1" min="7" max="7" width="22.14"/>
    <col customWidth="1" min="8" max="8" width="20.43"/>
    <col customWidth="1" hidden="1" min="9" max="9" width="30.0"/>
    <col customWidth="1" min="10" max="10" width="16.0"/>
    <col customWidth="1" min="11" max="26" width="8.86"/>
  </cols>
  <sheetData>
    <row r="1" ht="21.75" customHeight="1">
      <c r="A1" s="1" t="s">
        <v>310</v>
      </c>
      <c r="B1" s="2"/>
      <c r="C1" s="2"/>
      <c r="D1" s="2"/>
      <c r="E1" s="2"/>
      <c r="F1" s="2"/>
      <c r="G1" s="2"/>
      <c r="H1" s="2"/>
      <c r="I1" s="2"/>
      <c r="J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 ht="17.25" customHeight="1">
      <c r="A3" s="41" t="s">
        <v>281</v>
      </c>
      <c r="B3" s="41" t="s">
        <v>158</v>
      </c>
      <c r="C3" s="41" t="s">
        <v>311</v>
      </c>
      <c r="D3" s="41" t="s">
        <v>312</v>
      </c>
      <c r="E3" s="41" t="s">
        <v>313</v>
      </c>
      <c r="F3" s="41" t="s">
        <v>8</v>
      </c>
      <c r="G3" s="41" t="s">
        <v>314</v>
      </c>
      <c r="H3" s="41" t="s">
        <v>315</v>
      </c>
      <c r="I3" s="41" t="s">
        <v>289</v>
      </c>
      <c r="J3" s="41" t="s">
        <v>290</v>
      </c>
    </row>
    <row r="4" ht="30.0" customHeight="1">
      <c r="A4" s="17">
        <v>46023.0</v>
      </c>
      <c r="B4" s="44" t="s">
        <v>222</v>
      </c>
      <c r="C4" s="44" t="s">
        <v>316</v>
      </c>
      <c r="D4" s="81">
        <v>2.0</v>
      </c>
      <c r="E4" s="19">
        <f t="shared" ref="E4:E74" si="1">IF($C4="","",IF($C4="1 pedido (cobra S/8)",8,0))</f>
        <v>0</v>
      </c>
      <c r="F4" s="19">
        <f>Config!$B$8</f>
        <v>4</v>
      </c>
      <c r="G4" s="19">
        <f t="shared" ref="G4:G74" si="2">IF($D4="",0,$D4*$E4)</f>
        <v>0</v>
      </c>
      <c r="H4" s="19">
        <f t="shared" ref="H4:H74" si="3">IF($D4="",0,$D4*$F4)</f>
        <v>8</v>
      </c>
      <c r="I4" s="44"/>
      <c r="J4" s="44" t="str">
        <f>IF($B4="","",IFERROR(VLOOKUP($B4,Tiendas!$A$4:$B$176,2,FALSE),""))</f>
        <v>ALEXIS</v>
      </c>
    </row>
    <row r="5" ht="30.0" customHeight="1">
      <c r="A5" s="17">
        <v>46023.0</v>
      </c>
      <c r="B5" s="44" t="s">
        <v>247</v>
      </c>
      <c r="C5" s="44" t="s">
        <v>316</v>
      </c>
      <c r="D5" s="81">
        <v>3.0</v>
      </c>
      <c r="E5" s="19">
        <f t="shared" si="1"/>
        <v>0</v>
      </c>
      <c r="F5" s="19">
        <f>Config!$B$8</f>
        <v>4</v>
      </c>
      <c r="G5" s="19">
        <f t="shared" si="2"/>
        <v>0</v>
      </c>
      <c r="H5" s="19">
        <f t="shared" si="3"/>
        <v>12</v>
      </c>
      <c r="I5" s="44"/>
      <c r="J5" s="44" t="str">
        <f>IF($B5="","",IFERROR(VLOOKUP($B5,Tiendas!$A$4:$B$176,2,FALSE),""))</f>
        <v>ALEXIS</v>
      </c>
    </row>
    <row r="6" ht="30.0" customHeight="1">
      <c r="A6" s="17">
        <v>46023.0</v>
      </c>
      <c r="B6" s="44" t="s">
        <v>245</v>
      </c>
      <c r="C6" s="44" t="s">
        <v>317</v>
      </c>
      <c r="D6" s="81">
        <v>2.0</v>
      </c>
      <c r="E6" s="19">
        <f t="shared" si="1"/>
        <v>8</v>
      </c>
      <c r="F6" s="19">
        <f>Config!$B$8</f>
        <v>4</v>
      </c>
      <c r="G6" s="19">
        <f t="shared" si="2"/>
        <v>16</v>
      </c>
      <c r="H6" s="19">
        <f t="shared" si="3"/>
        <v>8</v>
      </c>
      <c r="I6" s="44"/>
      <c r="J6" s="44" t="str">
        <f>IF($B6="","",IFERROR(VLOOKUP($B6,Tiendas!$A$4:$B$176,2,FALSE),""))</f>
        <v>ALEXIS</v>
      </c>
    </row>
    <row r="7" ht="30.0" customHeight="1">
      <c r="A7" s="17">
        <v>46023.0</v>
      </c>
      <c r="B7" s="44" t="s">
        <v>257</v>
      </c>
      <c r="C7" s="44" t="s">
        <v>317</v>
      </c>
      <c r="D7" s="81">
        <v>2.0</v>
      </c>
      <c r="E7" s="19">
        <f t="shared" si="1"/>
        <v>8</v>
      </c>
      <c r="F7" s="19">
        <f>Config!$B$8</f>
        <v>4</v>
      </c>
      <c r="G7" s="19">
        <f t="shared" si="2"/>
        <v>16</v>
      </c>
      <c r="H7" s="19">
        <f t="shared" si="3"/>
        <v>8</v>
      </c>
      <c r="I7" s="44"/>
      <c r="J7" s="44" t="str">
        <f>IF($B7="","",IFERROR(VLOOKUP($B7,Tiendas!$A$4:$B$176,2,FALSE),""))</f>
        <v>ALEXIS</v>
      </c>
    </row>
    <row r="8" ht="30.0" customHeight="1">
      <c r="A8" s="17">
        <v>46023.0</v>
      </c>
      <c r="B8" s="44" t="s">
        <v>257</v>
      </c>
      <c r="C8" s="44" t="s">
        <v>316</v>
      </c>
      <c r="D8" s="81">
        <v>2.0</v>
      </c>
      <c r="E8" s="19">
        <f t="shared" si="1"/>
        <v>0</v>
      </c>
      <c r="F8" s="19">
        <f>Config!$B$8</f>
        <v>4</v>
      </c>
      <c r="G8" s="19">
        <f t="shared" si="2"/>
        <v>0</v>
      </c>
      <c r="H8" s="19">
        <f t="shared" si="3"/>
        <v>8</v>
      </c>
      <c r="I8" s="44"/>
      <c r="J8" s="44" t="str">
        <f>IF($B8="","",IFERROR(VLOOKUP($B8,Tiendas!$A$4:$B$176,2,FALSE),""))</f>
        <v>ALEXIS</v>
      </c>
    </row>
    <row r="9" ht="30.0" customHeight="1">
      <c r="A9" s="17">
        <v>46023.0</v>
      </c>
      <c r="B9" s="58" t="s">
        <v>200</v>
      </c>
      <c r="C9" s="44" t="s">
        <v>316</v>
      </c>
      <c r="D9" s="81">
        <v>13.0</v>
      </c>
      <c r="E9" s="19">
        <f t="shared" si="1"/>
        <v>0</v>
      </c>
      <c r="F9" s="19">
        <f>Config!$B$8</f>
        <v>4</v>
      </c>
      <c r="G9" s="19">
        <f t="shared" si="2"/>
        <v>0</v>
      </c>
      <c r="H9" s="19">
        <f t="shared" si="3"/>
        <v>52</v>
      </c>
      <c r="I9" s="44"/>
      <c r="J9" s="44" t="str">
        <f>IF($B9="","",IFERROR(VLOOKUP($B9,Tiendas!$A$4:$B$176,2,FALSE),""))</f>
        <v>ALEXIS</v>
      </c>
    </row>
    <row r="10" ht="30.0" customHeight="1">
      <c r="A10" s="17">
        <v>46023.0</v>
      </c>
      <c r="B10" s="44" t="s">
        <v>236</v>
      </c>
      <c r="C10" s="44" t="s">
        <v>316</v>
      </c>
      <c r="D10" s="81">
        <v>9.0</v>
      </c>
      <c r="E10" s="19">
        <f t="shared" si="1"/>
        <v>0</v>
      </c>
      <c r="F10" s="19">
        <f>Config!$B$8</f>
        <v>4</v>
      </c>
      <c r="G10" s="19">
        <f t="shared" si="2"/>
        <v>0</v>
      </c>
      <c r="H10" s="19">
        <f t="shared" si="3"/>
        <v>36</v>
      </c>
      <c r="I10" s="44"/>
      <c r="J10" s="44" t="str">
        <f>IF($B10="","",IFERROR(VLOOKUP($B10,Tiendas!$A$4:$B$176,2,FALSE),""))</f>
        <v>ALEXIS</v>
      </c>
    </row>
    <row r="11" ht="30.0" customHeight="1">
      <c r="A11" s="17">
        <v>46023.0</v>
      </c>
      <c r="B11" s="44" t="s">
        <v>221</v>
      </c>
      <c r="C11" s="44" t="s">
        <v>317</v>
      </c>
      <c r="D11" s="81">
        <v>1.0</v>
      </c>
      <c r="E11" s="19">
        <f t="shared" si="1"/>
        <v>8</v>
      </c>
      <c r="F11" s="19">
        <f>Config!$B$8</f>
        <v>4</v>
      </c>
      <c r="G11" s="19">
        <f t="shared" si="2"/>
        <v>8</v>
      </c>
      <c r="H11" s="19">
        <f t="shared" si="3"/>
        <v>4</v>
      </c>
      <c r="I11" s="44"/>
      <c r="J11" s="44" t="str">
        <f>IF($B11="","",IFERROR(VLOOKUP($B11,Tiendas!$A$4:$B$176,2,FALSE),""))</f>
        <v>ALEXIS</v>
      </c>
    </row>
    <row r="12" ht="30.0" customHeight="1">
      <c r="A12" s="17">
        <v>46023.0</v>
      </c>
      <c r="B12" s="44" t="s">
        <v>221</v>
      </c>
      <c r="C12" s="44" t="s">
        <v>316</v>
      </c>
      <c r="D12" s="81">
        <v>1.0</v>
      </c>
      <c r="E12" s="19">
        <f t="shared" si="1"/>
        <v>0</v>
      </c>
      <c r="F12" s="19">
        <f>Config!$B$8</f>
        <v>4</v>
      </c>
      <c r="G12" s="19">
        <f t="shared" si="2"/>
        <v>0</v>
      </c>
      <c r="H12" s="19">
        <f t="shared" si="3"/>
        <v>4</v>
      </c>
      <c r="I12" s="44"/>
      <c r="J12" s="44" t="str">
        <f>IF($B12="","",IFERROR(VLOOKUP($B12,Tiendas!$A$4:$B$176,2,FALSE),""))</f>
        <v>ALEXIS</v>
      </c>
    </row>
    <row r="13" ht="30.0" customHeight="1">
      <c r="A13" s="17">
        <v>46023.0</v>
      </c>
      <c r="B13" s="58" t="s">
        <v>223</v>
      </c>
      <c r="C13" s="44" t="s">
        <v>317</v>
      </c>
      <c r="D13" s="81">
        <v>4.0</v>
      </c>
      <c r="E13" s="19">
        <f t="shared" si="1"/>
        <v>8</v>
      </c>
      <c r="F13" s="19">
        <f>Config!$B$8</f>
        <v>4</v>
      </c>
      <c r="G13" s="19">
        <f t="shared" si="2"/>
        <v>32</v>
      </c>
      <c r="H13" s="19">
        <f t="shared" si="3"/>
        <v>16</v>
      </c>
      <c r="I13" s="44"/>
      <c r="J13" s="44" t="str">
        <f>IF($B13="","",IFERROR(VLOOKUP($B13,Tiendas!$A$4:$B$176,2,FALSE),""))</f>
        <v>ALEXIS</v>
      </c>
    </row>
    <row r="14" ht="30.0" customHeight="1">
      <c r="A14" s="17">
        <v>46023.0</v>
      </c>
      <c r="B14" s="44" t="s">
        <v>235</v>
      </c>
      <c r="C14" s="44" t="s">
        <v>317</v>
      </c>
      <c r="D14" s="81">
        <v>1.0</v>
      </c>
      <c r="E14" s="19">
        <f t="shared" si="1"/>
        <v>8</v>
      </c>
      <c r="F14" s="19">
        <f>Config!$B$8</f>
        <v>4</v>
      </c>
      <c r="G14" s="19">
        <f t="shared" si="2"/>
        <v>8</v>
      </c>
      <c r="H14" s="19">
        <f t="shared" si="3"/>
        <v>4</v>
      </c>
      <c r="I14" s="44"/>
      <c r="J14" s="44" t="str">
        <f>IF($B14="","",IFERROR(VLOOKUP($B14,Tiendas!$A$4:$B$176,2,FALSE),""))</f>
        <v>ALEXIS</v>
      </c>
    </row>
    <row r="15" ht="30.0" customHeight="1">
      <c r="A15" s="17">
        <v>46023.0</v>
      </c>
      <c r="B15" s="44" t="s">
        <v>197</v>
      </c>
      <c r="C15" s="44" t="s">
        <v>316</v>
      </c>
      <c r="D15" s="81">
        <v>4.0</v>
      </c>
      <c r="E15" s="19">
        <f t="shared" si="1"/>
        <v>0</v>
      </c>
      <c r="F15" s="19">
        <f>Config!$B$8</f>
        <v>4</v>
      </c>
      <c r="G15" s="19">
        <f t="shared" si="2"/>
        <v>0</v>
      </c>
      <c r="H15" s="19">
        <f t="shared" si="3"/>
        <v>16</v>
      </c>
      <c r="I15" s="44"/>
      <c r="J15" s="44" t="str">
        <f>IF($B15="","",IFERROR(VLOOKUP($B15,Tiendas!$A$4:$B$176,2,FALSE),""))</f>
        <v>ALEXIS</v>
      </c>
    </row>
    <row r="16" ht="30.0" customHeight="1">
      <c r="A16" s="17">
        <v>46023.0</v>
      </c>
      <c r="B16" s="44" t="s">
        <v>205</v>
      </c>
      <c r="C16" s="44" t="s">
        <v>316</v>
      </c>
      <c r="D16" s="81">
        <v>1.0</v>
      </c>
      <c r="E16" s="19">
        <f t="shared" si="1"/>
        <v>0</v>
      </c>
      <c r="F16" s="19">
        <f>Config!$B$8</f>
        <v>4</v>
      </c>
      <c r="G16" s="19">
        <f t="shared" si="2"/>
        <v>0</v>
      </c>
      <c r="H16" s="19">
        <f t="shared" si="3"/>
        <v>4</v>
      </c>
      <c r="I16" s="44"/>
      <c r="J16" s="44" t="str">
        <f>IF($B16="","",IFERROR(VLOOKUP($B16,Tiendas!$A$4:$B$176,2,FALSE),""))</f>
        <v>CHRISTIAN</v>
      </c>
    </row>
    <row r="17" ht="30.0" customHeight="1">
      <c r="A17" s="17">
        <v>46023.0</v>
      </c>
      <c r="B17" s="44" t="s">
        <v>266</v>
      </c>
      <c r="C17" s="44" t="s">
        <v>316</v>
      </c>
      <c r="D17" s="81">
        <v>3.0</v>
      </c>
      <c r="E17" s="19">
        <f t="shared" si="1"/>
        <v>0</v>
      </c>
      <c r="F17" s="19">
        <f>Config!$B$8</f>
        <v>4</v>
      </c>
      <c r="G17" s="19">
        <f t="shared" si="2"/>
        <v>0</v>
      </c>
      <c r="H17" s="19">
        <f t="shared" si="3"/>
        <v>12</v>
      </c>
      <c r="I17" s="44"/>
      <c r="J17" s="44" t="str">
        <f>IF($B17="","",IFERROR(VLOOKUP($B17,Tiendas!$A$4:$B$176,2,FALSE),""))</f>
        <v>CHRISTIAN</v>
      </c>
    </row>
    <row r="18" ht="30.0" customHeight="1">
      <c r="A18" s="17">
        <v>46023.0</v>
      </c>
      <c r="B18" s="44" t="s">
        <v>206</v>
      </c>
      <c r="C18" s="44" t="s">
        <v>316</v>
      </c>
      <c r="D18" s="81">
        <v>5.0</v>
      </c>
      <c r="E18" s="19">
        <f t="shared" si="1"/>
        <v>0</v>
      </c>
      <c r="F18" s="19">
        <f>Config!$B$8</f>
        <v>4</v>
      </c>
      <c r="G18" s="19">
        <f t="shared" si="2"/>
        <v>0</v>
      </c>
      <c r="H18" s="19">
        <f t="shared" si="3"/>
        <v>20</v>
      </c>
      <c r="I18" s="44"/>
      <c r="J18" s="44" t="str">
        <f>IF($B18="","",IFERROR(VLOOKUP($B18,Tiendas!$A$4:$B$176,2,FALSE),""))</f>
        <v>CHRISTIAN</v>
      </c>
    </row>
    <row r="19" ht="30.0" customHeight="1">
      <c r="A19" s="17">
        <v>46023.0</v>
      </c>
      <c r="B19" s="44" t="s">
        <v>202</v>
      </c>
      <c r="C19" s="44" t="s">
        <v>317</v>
      </c>
      <c r="D19" s="81">
        <v>1.0</v>
      </c>
      <c r="E19" s="19">
        <f t="shared" si="1"/>
        <v>8</v>
      </c>
      <c r="F19" s="19">
        <f>Config!$B$8</f>
        <v>4</v>
      </c>
      <c r="G19" s="19">
        <f t="shared" si="2"/>
        <v>8</v>
      </c>
      <c r="H19" s="19">
        <f t="shared" si="3"/>
        <v>4</v>
      </c>
      <c r="I19" s="44"/>
      <c r="J19" s="44" t="str">
        <f>IF($B19="","",IFERROR(VLOOKUP($B19,Tiendas!$A$4:$B$176,2,FALSE),""))</f>
        <v>CHRISTIAN</v>
      </c>
    </row>
    <row r="20" ht="30.0" customHeight="1">
      <c r="A20" s="17">
        <v>46023.0</v>
      </c>
      <c r="B20" s="44" t="s">
        <v>204</v>
      </c>
      <c r="C20" s="44" t="s">
        <v>316</v>
      </c>
      <c r="D20" s="81">
        <v>1.0</v>
      </c>
      <c r="E20" s="19">
        <f t="shared" si="1"/>
        <v>0</v>
      </c>
      <c r="F20" s="19">
        <f>Config!$B$8</f>
        <v>4</v>
      </c>
      <c r="G20" s="19">
        <f t="shared" si="2"/>
        <v>0</v>
      </c>
      <c r="H20" s="19">
        <f t="shared" si="3"/>
        <v>4</v>
      </c>
      <c r="I20" s="44"/>
      <c r="J20" s="44" t="str">
        <f>IF($B20="","",IFERROR(VLOOKUP($B20,Tiendas!$A$4:$B$176,2,FALSE),""))</f>
        <v>CHRISTIAN</v>
      </c>
    </row>
    <row r="21" ht="30.0" customHeight="1">
      <c r="A21" s="17">
        <v>46023.0</v>
      </c>
      <c r="B21" s="44" t="s">
        <v>203</v>
      </c>
      <c r="C21" s="44">
        <v>1.0</v>
      </c>
      <c r="D21" s="81">
        <v>1.0</v>
      </c>
      <c r="E21" s="19">
        <f t="shared" si="1"/>
        <v>0</v>
      </c>
      <c r="F21" s="19">
        <f>Config!$B$8</f>
        <v>4</v>
      </c>
      <c r="G21" s="19">
        <f t="shared" si="2"/>
        <v>0</v>
      </c>
      <c r="H21" s="19">
        <f t="shared" si="3"/>
        <v>4</v>
      </c>
      <c r="I21" s="44"/>
      <c r="J21" s="44" t="str">
        <f>IF($B21="","",IFERROR(VLOOKUP($B21,Tiendas!$A$4:$B$176,2,FALSE),""))</f>
        <v>CHRISTIAN</v>
      </c>
    </row>
    <row r="22" ht="30.0" customHeight="1">
      <c r="A22" s="17">
        <v>46023.0</v>
      </c>
      <c r="B22" s="44" t="s">
        <v>209</v>
      </c>
      <c r="C22" s="44" t="s">
        <v>316</v>
      </c>
      <c r="D22" s="81">
        <v>2.0</v>
      </c>
      <c r="E22" s="19">
        <f t="shared" si="1"/>
        <v>0</v>
      </c>
      <c r="F22" s="19">
        <f>Config!$B$8</f>
        <v>4</v>
      </c>
      <c r="G22" s="19">
        <f t="shared" si="2"/>
        <v>0</v>
      </c>
      <c r="H22" s="19">
        <f t="shared" si="3"/>
        <v>8</v>
      </c>
      <c r="I22" s="44"/>
      <c r="J22" s="44" t="str">
        <f>IF($B22="","",IFERROR(VLOOKUP($B22,Tiendas!$A$4:$B$176,2,FALSE),""))</f>
        <v>JORDAN</v>
      </c>
    </row>
    <row r="23" ht="30.0" customHeight="1">
      <c r="A23" s="17">
        <v>46023.0</v>
      </c>
      <c r="B23" s="44" t="s">
        <v>208</v>
      </c>
      <c r="C23" s="44" t="s">
        <v>317</v>
      </c>
      <c r="D23" s="81">
        <v>1.0</v>
      </c>
      <c r="E23" s="19">
        <f t="shared" si="1"/>
        <v>8</v>
      </c>
      <c r="F23" s="19">
        <f>Config!$B$8</f>
        <v>4</v>
      </c>
      <c r="G23" s="19">
        <f t="shared" si="2"/>
        <v>8</v>
      </c>
      <c r="H23" s="19">
        <f t="shared" si="3"/>
        <v>4</v>
      </c>
      <c r="I23" s="44"/>
      <c r="J23" s="44" t="str">
        <f>IF($B23="","",IFERROR(VLOOKUP($B23,Tiendas!$A$4:$B$176,2,FALSE),""))</f>
        <v>JORDAN</v>
      </c>
    </row>
    <row r="24" ht="30.0" customHeight="1">
      <c r="A24" s="17">
        <v>46023.0</v>
      </c>
      <c r="B24" s="44" t="s">
        <v>230</v>
      </c>
      <c r="C24" s="44" t="s">
        <v>317</v>
      </c>
      <c r="D24" s="81">
        <v>1.0</v>
      </c>
      <c r="E24" s="19">
        <f t="shared" si="1"/>
        <v>8</v>
      </c>
      <c r="F24" s="19">
        <f>Config!$B$8</f>
        <v>4</v>
      </c>
      <c r="G24" s="19">
        <f t="shared" si="2"/>
        <v>8</v>
      </c>
      <c r="H24" s="19">
        <f t="shared" si="3"/>
        <v>4</v>
      </c>
      <c r="I24" s="44"/>
      <c r="J24" s="44" t="str">
        <f>IF($B24="","",IFERROR(VLOOKUP($B24,Tiendas!$A$4:$B$176,2,FALSE),""))</f>
        <v>JORDAN</v>
      </c>
    </row>
    <row r="25" ht="30.0" customHeight="1">
      <c r="A25" s="17">
        <v>46023.0</v>
      </c>
      <c r="B25" s="44" t="s">
        <v>240</v>
      </c>
      <c r="C25" s="44" t="s">
        <v>317</v>
      </c>
      <c r="D25" s="81">
        <v>1.0</v>
      </c>
      <c r="E25" s="19">
        <f t="shared" si="1"/>
        <v>8</v>
      </c>
      <c r="F25" s="19">
        <f>Config!$B$8</f>
        <v>4</v>
      </c>
      <c r="G25" s="19">
        <f t="shared" si="2"/>
        <v>8</v>
      </c>
      <c r="H25" s="19">
        <f t="shared" si="3"/>
        <v>4</v>
      </c>
      <c r="I25" s="44"/>
      <c r="J25" s="44" t="str">
        <f>IF($B25="","",IFERROR(VLOOKUP($B25,Tiendas!$A$4:$B$176,2,FALSE),""))</f>
        <v>SANDRA</v>
      </c>
    </row>
    <row r="26" ht="30.0" customHeight="1">
      <c r="A26" s="17">
        <v>46023.0</v>
      </c>
      <c r="B26" s="44" t="s">
        <v>233</v>
      </c>
      <c r="C26" s="44" t="s">
        <v>316</v>
      </c>
      <c r="D26" s="81">
        <v>2.0</v>
      </c>
      <c r="E26" s="19">
        <f t="shared" si="1"/>
        <v>0</v>
      </c>
      <c r="F26" s="19">
        <f>Config!$B$8</f>
        <v>4</v>
      </c>
      <c r="G26" s="19">
        <f t="shared" si="2"/>
        <v>0</v>
      </c>
      <c r="H26" s="19">
        <f t="shared" si="3"/>
        <v>8</v>
      </c>
      <c r="I26" s="44"/>
      <c r="J26" s="44" t="str">
        <f>IF($B26="","",IFERROR(VLOOKUP($B26,Tiendas!$A$4:$B$176,2,FALSE),""))</f>
        <v>SANDRA</v>
      </c>
    </row>
    <row r="27" ht="30.0" customHeight="1">
      <c r="A27" s="17">
        <v>46023.0</v>
      </c>
      <c r="B27" s="58" t="s">
        <v>237</v>
      </c>
      <c r="C27" s="44" t="s">
        <v>316</v>
      </c>
      <c r="D27" s="81">
        <v>2.0</v>
      </c>
      <c r="E27" s="19">
        <f t="shared" si="1"/>
        <v>0</v>
      </c>
      <c r="F27" s="19">
        <f>Config!$B$8</f>
        <v>4</v>
      </c>
      <c r="G27" s="19">
        <f t="shared" si="2"/>
        <v>0</v>
      </c>
      <c r="H27" s="19">
        <f t="shared" si="3"/>
        <v>8</v>
      </c>
      <c r="I27" s="44"/>
      <c r="J27" s="44" t="str">
        <f>IF($B27="","",IFERROR(VLOOKUP($B27,Tiendas!$A$4:$B$176,2,FALSE),""))</f>
        <v>SANDRA</v>
      </c>
    </row>
    <row r="28" ht="30.0" customHeight="1">
      <c r="A28" s="17">
        <v>46023.0</v>
      </c>
      <c r="B28" s="58" t="s">
        <v>237</v>
      </c>
      <c r="C28" s="44" t="s">
        <v>317</v>
      </c>
      <c r="D28" s="81">
        <v>1.0</v>
      </c>
      <c r="E28" s="19">
        <f t="shared" si="1"/>
        <v>8</v>
      </c>
      <c r="F28" s="19">
        <f>Config!$B$8</f>
        <v>4</v>
      </c>
      <c r="G28" s="19">
        <f t="shared" si="2"/>
        <v>8</v>
      </c>
      <c r="H28" s="19">
        <f t="shared" si="3"/>
        <v>4</v>
      </c>
      <c r="I28" s="44"/>
      <c r="J28" s="44" t="str">
        <f>IF($B28="","",IFERROR(VLOOKUP($B28,Tiendas!$A$4:$B$176,2,FALSE),""))</f>
        <v>SANDRA</v>
      </c>
    </row>
    <row r="29" ht="30.0" customHeight="1">
      <c r="A29" s="17">
        <v>46023.0</v>
      </c>
      <c r="B29" s="44" t="s">
        <v>248</v>
      </c>
      <c r="C29" s="44" t="s">
        <v>317</v>
      </c>
      <c r="D29" s="81">
        <v>1.0</v>
      </c>
      <c r="E29" s="19">
        <f t="shared" si="1"/>
        <v>8</v>
      </c>
      <c r="F29" s="19">
        <f>Config!$B$8</f>
        <v>4</v>
      </c>
      <c r="G29" s="19">
        <f t="shared" si="2"/>
        <v>8</v>
      </c>
      <c r="H29" s="19">
        <f t="shared" si="3"/>
        <v>4</v>
      </c>
      <c r="I29" s="44"/>
      <c r="J29" s="44" t="str">
        <f>IF($B29="","",IFERROR(VLOOKUP($B29,Tiendas!$A$4:$B$176,2,FALSE),""))</f>
        <v>SANDRA</v>
      </c>
    </row>
    <row r="30" ht="30.0" customHeight="1">
      <c r="A30" s="17">
        <v>46023.0</v>
      </c>
      <c r="B30" s="58" t="s">
        <v>210</v>
      </c>
      <c r="C30" s="44" t="s">
        <v>317</v>
      </c>
      <c r="D30" s="82">
        <v>1.0</v>
      </c>
      <c r="E30" s="19">
        <f t="shared" si="1"/>
        <v>8</v>
      </c>
      <c r="F30" s="19">
        <f>Config!$B$8</f>
        <v>4</v>
      </c>
      <c r="G30" s="19">
        <f t="shared" si="2"/>
        <v>8</v>
      </c>
      <c r="H30" s="19">
        <f t="shared" si="3"/>
        <v>4</v>
      </c>
      <c r="I30" s="44"/>
      <c r="J30" s="44" t="str">
        <f>IF($B30="","",IFERROR(VLOOKUP($B30,Tiendas!$A$4:$B$176,2,FALSE),""))</f>
        <v>SANDRA</v>
      </c>
    </row>
    <row r="31" ht="30.0" customHeight="1">
      <c r="A31" s="17">
        <v>46023.0</v>
      </c>
      <c r="B31" s="44" t="s">
        <v>255</v>
      </c>
      <c r="C31" s="44" t="s">
        <v>316</v>
      </c>
      <c r="D31" s="81">
        <v>2.0</v>
      </c>
      <c r="E31" s="19">
        <f t="shared" si="1"/>
        <v>0</v>
      </c>
      <c r="F31" s="19">
        <f>Config!$B$8</f>
        <v>4</v>
      </c>
      <c r="G31" s="19">
        <f t="shared" si="2"/>
        <v>0</v>
      </c>
      <c r="H31" s="19">
        <f t="shared" si="3"/>
        <v>8</v>
      </c>
      <c r="I31" s="44"/>
      <c r="J31" s="44" t="str">
        <f>IF($B31="","",IFERROR(VLOOKUP($B31,Tiendas!$A$4:$B$176,2,FALSE),""))</f>
        <v>SANDRA</v>
      </c>
    </row>
    <row r="32" ht="30.0" customHeight="1">
      <c r="A32" s="17">
        <v>46023.0</v>
      </c>
      <c r="B32" s="44" t="s">
        <v>213</v>
      </c>
      <c r="C32" s="44" t="s">
        <v>316</v>
      </c>
      <c r="D32" s="81">
        <v>2.0</v>
      </c>
      <c r="E32" s="19">
        <f t="shared" si="1"/>
        <v>0</v>
      </c>
      <c r="F32" s="19">
        <f>Config!$B$8</f>
        <v>4</v>
      </c>
      <c r="G32" s="19">
        <f t="shared" si="2"/>
        <v>0</v>
      </c>
      <c r="H32" s="19">
        <f t="shared" si="3"/>
        <v>8</v>
      </c>
      <c r="I32" s="44"/>
      <c r="J32" s="44" t="str">
        <f>IF($B32="","",IFERROR(VLOOKUP($B32,Tiendas!$A$4:$B$176,2,FALSE),""))</f>
        <v>SANDRA</v>
      </c>
    </row>
    <row r="33" ht="30.0" customHeight="1">
      <c r="A33" s="17">
        <v>46023.0</v>
      </c>
      <c r="B33" s="58" t="s">
        <v>232</v>
      </c>
      <c r="C33" s="44" t="s">
        <v>316</v>
      </c>
      <c r="D33" s="81">
        <v>4.0</v>
      </c>
      <c r="E33" s="19">
        <f t="shared" si="1"/>
        <v>0</v>
      </c>
      <c r="F33" s="19">
        <f>Config!$B$8</f>
        <v>4</v>
      </c>
      <c r="G33" s="19">
        <f t="shared" si="2"/>
        <v>0</v>
      </c>
      <c r="H33" s="19">
        <f t="shared" si="3"/>
        <v>16</v>
      </c>
      <c r="I33" s="44"/>
      <c r="J33" s="44" t="str">
        <f>IF($B33="","",IFERROR(VLOOKUP($B33,Tiendas!$A$4:$B$176,2,FALSE),""))</f>
        <v>SANDRA</v>
      </c>
    </row>
    <row r="34" ht="30.0" customHeight="1">
      <c r="A34" s="17">
        <v>46023.0</v>
      </c>
      <c r="B34" s="44" t="s">
        <v>212</v>
      </c>
      <c r="C34" s="44" t="s">
        <v>317</v>
      </c>
      <c r="D34" s="81">
        <v>2.0</v>
      </c>
      <c r="E34" s="19">
        <f t="shared" si="1"/>
        <v>8</v>
      </c>
      <c r="F34" s="19">
        <f>Config!$B$8</f>
        <v>4</v>
      </c>
      <c r="G34" s="19">
        <f t="shared" si="2"/>
        <v>16</v>
      </c>
      <c r="H34" s="19">
        <f t="shared" si="3"/>
        <v>8</v>
      </c>
      <c r="I34" s="44"/>
      <c r="J34" s="44" t="str">
        <f>IF($B34="","",IFERROR(VLOOKUP($B34,Tiendas!$A$4:$B$176,2,FALSE),""))</f>
        <v>SANDRA</v>
      </c>
    </row>
    <row r="35" ht="30.0" customHeight="1">
      <c r="A35" s="17">
        <v>46023.0</v>
      </c>
      <c r="B35" s="44" t="s">
        <v>231</v>
      </c>
      <c r="C35" s="44" t="s">
        <v>317</v>
      </c>
      <c r="D35" s="81">
        <v>1.0</v>
      </c>
      <c r="E35" s="19">
        <f t="shared" si="1"/>
        <v>8</v>
      </c>
      <c r="F35" s="19">
        <f>Config!$B$8</f>
        <v>4</v>
      </c>
      <c r="G35" s="19">
        <f t="shared" si="2"/>
        <v>8</v>
      </c>
      <c r="H35" s="19">
        <f t="shared" si="3"/>
        <v>4</v>
      </c>
      <c r="I35" s="44"/>
      <c r="J35" s="44" t="str">
        <f>IF($B35="","",IFERROR(VLOOKUP($B35,Tiendas!$A$4:$B$176,2,FALSE),""))</f>
        <v>SANDRA</v>
      </c>
    </row>
    <row r="36" ht="30.0" customHeight="1">
      <c r="A36" s="17">
        <v>46023.0</v>
      </c>
      <c r="B36" s="44" t="s">
        <v>231</v>
      </c>
      <c r="C36" s="44" t="s">
        <v>316</v>
      </c>
      <c r="D36" s="81">
        <v>2.0</v>
      </c>
      <c r="E36" s="19">
        <f t="shared" si="1"/>
        <v>0</v>
      </c>
      <c r="F36" s="19">
        <f>Config!$B$8</f>
        <v>4</v>
      </c>
      <c r="G36" s="19">
        <f t="shared" si="2"/>
        <v>0</v>
      </c>
      <c r="H36" s="19">
        <f t="shared" si="3"/>
        <v>8</v>
      </c>
      <c r="I36" s="44"/>
      <c r="J36" s="44" t="str">
        <f>IF($B36="","",IFERROR(VLOOKUP($B36,Tiendas!$A$4:$B$176,2,FALSE),""))</f>
        <v>SANDRA</v>
      </c>
    </row>
    <row r="37" ht="30.0" customHeight="1">
      <c r="A37" s="17">
        <v>46023.0</v>
      </c>
      <c r="B37" s="44" t="s">
        <v>215</v>
      </c>
      <c r="C37" s="44" t="s">
        <v>316</v>
      </c>
      <c r="D37" s="81">
        <v>1.0</v>
      </c>
      <c r="E37" s="19">
        <f t="shared" si="1"/>
        <v>0</v>
      </c>
      <c r="F37" s="19">
        <f>Config!$B$8</f>
        <v>4</v>
      </c>
      <c r="G37" s="19">
        <f t="shared" si="2"/>
        <v>0</v>
      </c>
      <c r="H37" s="19">
        <f t="shared" si="3"/>
        <v>4</v>
      </c>
      <c r="I37" s="44"/>
      <c r="J37" s="44" t="str">
        <f>IF($B37="","",IFERROR(VLOOKUP($B37,Tiendas!$A$4:$B$176,2,FALSE),""))</f>
        <v>SEBASTIAN</v>
      </c>
    </row>
    <row r="38" ht="30.0" customHeight="1">
      <c r="A38" s="17">
        <v>46023.0</v>
      </c>
      <c r="B38" s="44" t="s">
        <v>226</v>
      </c>
      <c r="C38" s="44" t="s">
        <v>316</v>
      </c>
      <c r="D38" s="81">
        <v>1.0</v>
      </c>
      <c r="E38" s="19">
        <f t="shared" si="1"/>
        <v>0</v>
      </c>
      <c r="F38" s="19">
        <f>Config!$B$8</f>
        <v>4</v>
      </c>
      <c r="G38" s="19">
        <f t="shared" si="2"/>
        <v>0</v>
      </c>
      <c r="H38" s="19">
        <f t="shared" si="3"/>
        <v>4</v>
      </c>
      <c r="I38" s="44"/>
      <c r="J38" s="44" t="str">
        <f>IF($B38="","",IFERROR(VLOOKUP($B38,Tiendas!$A$4:$B$176,2,FALSE),""))</f>
        <v>SEBASTIAN</v>
      </c>
    </row>
    <row r="39" ht="30.0" customHeight="1">
      <c r="A39" s="17">
        <v>46023.0</v>
      </c>
      <c r="B39" s="44" t="s">
        <v>256</v>
      </c>
      <c r="C39" s="44" t="s">
        <v>317</v>
      </c>
      <c r="D39" s="81">
        <v>1.0</v>
      </c>
      <c r="E39" s="19">
        <f t="shared" si="1"/>
        <v>8</v>
      </c>
      <c r="F39" s="19">
        <f>Config!$B$8</f>
        <v>4</v>
      </c>
      <c r="G39" s="19">
        <f t="shared" si="2"/>
        <v>8</v>
      </c>
      <c r="H39" s="19">
        <f t="shared" si="3"/>
        <v>4</v>
      </c>
      <c r="I39" s="44"/>
      <c r="J39" s="44" t="str">
        <f>IF($B39="","",IFERROR(VLOOKUP($B39,Tiendas!$A$4:$B$176,2,FALSE),""))</f>
        <v>SEBASTIAN</v>
      </c>
    </row>
    <row r="40" ht="30.0" customHeight="1">
      <c r="A40" s="17">
        <v>46023.0</v>
      </c>
      <c r="B40" s="44" t="s">
        <v>225</v>
      </c>
      <c r="C40" s="44" t="s">
        <v>317</v>
      </c>
      <c r="D40" s="81">
        <v>1.0</v>
      </c>
      <c r="E40" s="19">
        <f t="shared" si="1"/>
        <v>8</v>
      </c>
      <c r="F40" s="19">
        <f>Config!$B$8</f>
        <v>4</v>
      </c>
      <c r="G40" s="19">
        <f t="shared" si="2"/>
        <v>8</v>
      </c>
      <c r="H40" s="19">
        <f t="shared" si="3"/>
        <v>4</v>
      </c>
      <c r="I40" s="44"/>
      <c r="J40" s="44" t="str">
        <f>IF($B40="","",IFERROR(VLOOKUP($B40,Tiendas!$A$4:$B$176,2,FALSE),""))</f>
        <v>SEBASTIAN</v>
      </c>
    </row>
    <row r="41" ht="30.0" customHeight="1">
      <c r="A41" s="17">
        <v>46023.0</v>
      </c>
      <c r="B41" s="58" t="s">
        <v>238</v>
      </c>
      <c r="C41" s="44" t="s">
        <v>317</v>
      </c>
      <c r="D41" s="81">
        <v>1.0</v>
      </c>
      <c r="E41" s="19">
        <f t="shared" si="1"/>
        <v>8</v>
      </c>
      <c r="F41" s="19">
        <f>Config!$B$8</f>
        <v>4</v>
      </c>
      <c r="G41" s="19">
        <f t="shared" si="2"/>
        <v>8</v>
      </c>
      <c r="H41" s="19">
        <f t="shared" si="3"/>
        <v>4</v>
      </c>
      <c r="I41" s="44"/>
      <c r="J41" s="44" t="str">
        <f>IF($B41="","",IFERROR(VLOOKUP($B41,Tiendas!$A$4:$B$176,2,FALSE),""))</f>
        <v>SEBASTIAN</v>
      </c>
    </row>
    <row r="42" ht="30.0" customHeight="1">
      <c r="A42" s="17">
        <v>46023.0</v>
      </c>
      <c r="B42" s="58" t="s">
        <v>251</v>
      </c>
      <c r="C42" s="44" t="s">
        <v>317</v>
      </c>
      <c r="D42" s="81">
        <v>2.0</v>
      </c>
      <c r="E42" s="19">
        <f t="shared" si="1"/>
        <v>8</v>
      </c>
      <c r="F42" s="19">
        <f>Config!$B$8</f>
        <v>4</v>
      </c>
      <c r="G42" s="19">
        <f t="shared" si="2"/>
        <v>16</v>
      </c>
      <c r="H42" s="19">
        <f t="shared" si="3"/>
        <v>8</v>
      </c>
      <c r="I42" s="44"/>
      <c r="J42" s="44" t="str">
        <f>IF($B42="","",IFERROR(VLOOKUP($B42,Tiendas!$A$4:$B$176,2,FALSE),""))</f>
        <v>SEBASTIAN</v>
      </c>
    </row>
    <row r="43" ht="30.0" customHeight="1">
      <c r="A43" s="17">
        <v>46023.0</v>
      </c>
      <c r="B43" s="58" t="s">
        <v>251</v>
      </c>
      <c r="C43" s="44" t="s">
        <v>316</v>
      </c>
      <c r="D43" s="81">
        <v>1.0</v>
      </c>
      <c r="E43" s="19">
        <f t="shared" si="1"/>
        <v>0</v>
      </c>
      <c r="F43" s="19">
        <f>Config!$B$8</f>
        <v>4</v>
      </c>
      <c r="G43" s="19">
        <f t="shared" si="2"/>
        <v>0</v>
      </c>
      <c r="H43" s="19">
        <f t="shared" si="3"/>
        <v>4</v>
      </c>
      <c r="I43" s="44"/>
      <c r="J43" s="44" t="str">
        <f>IF($B43="","",IFERROR(VLOOKUP($B43,Tiendas!$A$4:$B$176,2,FALSE),""))</f>
        <v>SEBASTIAN</v>
      </c>
    </row>
    <row r="44" ht="30.0" customHeight="1">
      <c r="A44" s="17">
        <v>46023.0</v>
      </c>
      <c r="B44" s="58" t="s">
        <v>219</v>
      </c>
      <c r="C44" s="44" t="s">
        <v>316</v>
      </c>
      <c r="D44" s="81">
        <v>9.0</v>
      </c>
      <c r="E44" s="19">
        <f t="shared" si="1"/>
        <v>0</v>
      </c>
      <c r="F44" s="19">
        <f>Config!$B$8</f>
        <v>4</v>
      </c>
      <c r="G44" s="19">
        <f t="shared" si="2"/>
        <v>0</v>
      </c>
      <c r="H44" s="19">
        <f t="shared" si="3"/>
        <v>36</v>
      </c>
      <c r="I44" s="44"/>
      <c r="J44" s="44" t="str">
        <f>IF($B44="","",IFERROR(VLOOKUP($B44,Tiendas!$A$4:$B$176,2,FALSE),""))</f>
        <v>SEBASTIAN</v>
      </c>
    </row>
    <row r="45" ht="30.0" customHeight="1">
      <c r="A45" s="17">
        <v>46023.0</v>
      </c>
      <c r="B45" s="58" t="s">
        <v>218</v>
      </c>
      <c r="C45" s="44" t="s">
        <v>316</v>
      </c>
      <c r="D45" s="81">
        <v>3.0</v>
      </c>
      <c r="E45" s="19">
        <f t="shared" si="1"/>
        <v>0</v>
      </c>
      <c r="F45" s="19">
        <f>Config!$B$8</f>
        <v>4</v>
      </c>
      <c r="G45" s="19">
        <f t="shared" si="2"/>
        <v>0</v>
      </c>
      <c r="H45" s="19">
        <f t="shared" si="3"/>
        <v>12</v>
      </c>
      <c r="I45" s="44"/>
      <c r="J45" s="44" t="str">
        <f>IF($B45="","",IFERROR(VLOOKUP($B45,Tiendas!$A$4:$B$176,2,FALSE),""))</f>
        <v>SEBASTIAN</v>
      </c>
    </row>
    <row r="46" ht="30.0" customHeight="1">
      <c r="A46" s="17">
        <v>46023.0</v>
      </c>
      <c r="B46" s="58" t="s">
        <v>217</v>
      </c>
      <c r="C46" s="44" t="s">
        <v>316</v>
      </c>
      <c r="D46" s="81">
        <v>1.0</v>
      </c>
      <c r="E46" s="19">
        <f t="shared" si="1"/>
        <v>0</v>
      </c>
      <c r="F46" s="19">
        <f>Config!$B$8</f>
        <v>4</v>
      </c>
      <c r="G46" s="19">
        <f t="shared" si="2"/>
        <v>0</v>
      </c>
      <c r="H46" s="19">
        <f t="shared" si="3"/>
        <v>4</v>
      </c>
      <c r="I46" s="44"/>
      <c r="J46" s="44" t="str">
        <f>IF($B46="","",IFERROR(VLOOKUP($B46,Tiendas!$A$4:$B$176,2,FALSE),""))</f>
        <v>SEBASTIAN</v>
      </c>
    </row>
    <row r="47" ht="30.0" customHeight="1">
      <c r="A47" s="17">
        <v>46023.0</v>
      </c>
      <c r="B47" s="58" t="s">
        <v>217</v>
      </c>
      <c r="C47" s="44" t="s">
        <v>317</v>
      </c>
      <c r="D47" s="81">
        <v>1.0</v>
      </c>
      <c r="E47" s="19">
        <f t="shared" si="1"/>
        <v>8</v>
      </c>
      <c r="F47" s="19">
        <f>Config!$B$8</f>
        <v>4</v>
      </c>
      <c r="G47" s="19">
        <f t="shared" si="2"/>
        <v>8</v>
      </c>
      <c r="H47" s="19">
        <f t="shared" si="3"/>
        <v>4</v>
      </c>
      <c r="I47" s="44"/>
      <c r="J47" s="44" t="str">
        <f>IF($B47="","",IFERROR(VLOOKUP($B47,Tiendas!$A$4:$B$176,2,FALSE),""))</f>
        <v>SEBASTIAN</v>
      </c>
    </row>
    <row r="48" ht="30.0" customHeight="1">
      <c r="A48" s="17">
        <v>46023.0</v>
      </c>
      <c r="B48" s="44" t="s">
        <v>214</v>
      </c>
      <c r="C48" s="44" t="s">
        <v>317</v>
      </c>
      <c r="D48" s="81">
        <v>1.0</v>
      </c>
      <c r="E48" s="19">
        <f t="shared" si="1"/>
        <v>8</v>
      </c>
      <c r="F48" s="19">
        <f>Config!$B$8</f>
        <v>4</v>
      </c>
      <c r="G48" s="19">
        <f t="shared" si="2"/>
        <v>8</v>
      </c>
      <c r="H48" s="19">
        <f t="shared" si="3"/>
        <v>4</v>
      </c>
      <c r="I48" s="44"/>
      <c r="J48" s="44" t="str">
        <f>IF($B48="","",IFERROR(VLOOKUP($B48,Tiendas!$A$4:$B$176,2,FALSE),""))</f>
        <v>SEBASTIAN</v>
      </c>
    </row>
    <row r="49" ht="30.0" customHeight="1">
      <c r="A49" s="17">
        <v>46023.0</v>
      </c>
      <c r="B49" s="44" t="s">
        <v>271</v>
      </c>
      <c r="C49" s="44" t="s">
        <v>316</v>
      </c>
      <c r="D49" s="81">
        <v>1.0</v>
      </c>
      <c r="E49" s="19">
        <f t="shared" si="1"/>
        <v>0</v>
      </c>
      <c r="F49" s="19">
        <f>Config!$B$8</f>
        <v>4</v>
      </c>
      <c r="G49" s="19">
        <f t="shared" si="2"/>
        <v>0</v>
      </c>
      <c r="H49" s="19">
        <f t="shared" si="3"/>
        <v>4</v>
      </c>
      <c r="I49" s="44"/>
      <c r="J49" s="44" t="str">
        <f>IF($B49="","",IFERROR(VLOOKUP($B49,Tiendas!$A$4:$B$176,2,FALSE),""))</f>
        <v>JORDAN</v>
      </c>
    </row>
    <row r="50" ht="30.0" customHeight="1">
      <c r="A50" s="17">
        <v>46023.0</v>
      </c>
      <c r="B50" s="58" t="s">
        <v>258</v>
      </c>
      <c r="C50" s="44" t="s">
        <v>316</v>
      </c>
      <c r="D50" s="81">
        <v>4.0</v>
      </c>
      <c r="E50" s="19">
        <f t="shared" si="1"/>
        <v>0</v>
      </c>
      <c r="F50" s="19">
        <f>Config!$B$8</f>
        <v>4</v>
      </c>
      <c r="G50" s="19">
        <f t="shared" si="2"/>
        <v>0</v>
      </c>
      <c r="H50" s="19">
        <f t="shared" si="3"/>
        <v>16</v>
      </c>
      <c r="I50" s="44"/>
      <c r="J50" s="44" t="str">
        <f>IF($B50="","",IFERROR(VLOOKUP($B50,Tiendas!$A$4:$B$176,2,FALSE),""))</f>
        <v>SEBASTIAN</v>
      </c>
    </row>
    <row r="51" ht="30.0" customHeight="1">
      <c r="A51" s="17">
        <v>46023.0</v>
      </c>
      <c r="B51" s="44" t="s">
        <v>252</v>
      </c>
      <c r="C51" s="44" t="s">
        <v>316</v>
      </c>
      <c r="D51" s="81">
        <v>3.0</v>
      </c>
      <c r="E51" s="19">
        <f t="shared" si="1"/>
        <v>0</v>
      </c>
      <c r="F51" s="19">
        <f>Config!$B$8</f>
        <v>4</v>
      </c>
      <c r="G51" s="19">
        <f t="shared" si="2"/>
        <v>0</v>
      </c>
      <c r="H51" s="19">
        <f t="shared" si="3"/>
        <v>12</v>
      </c>
      <c r="I51" s="44"/>
      <c r="J51" s="44" t="str">
        <f>IF($B51="","",IFERROR(VLOOKUP($B51,Tiendas!$A$4:$B$176,2,FALSE),""))</f>
        <v>SEBASTIAN</v>
      </c>
    </row>
    <row r="52" ht="30.0" customHeight="1">
      <c r="A52" s="17">
        <v>46023.0</v>
      </c>
      <c r="B52" s="44" t="s">
        <v>252</v>
      </c>
      <c r="C52" s="44" t="s">
        <v>317</v>
      </c>
      <c r="D52" s="81">
        <v>2.0</v>
      </c>
      <c r="E52" s="19">
        <f t="shared" si="1"/>
        <v>8</v>
      </c>
      <c r="F52" s="19">
        <f>Config!$B$8</f>
        <v>4</v>
      </c>
      <c r="G52" s="19">
        <f t="shared" si="2"/>
        <v>16</v>
      </c>
      <c r="H52" s="19">
        <f t="shared" si="3"/>
        <v>8</v>
      </c>
      <c r="I52" s="44"/>
      <c r="J52" s="44" t="str">
        <f>IF($B52="","",IFERROR(VLOOKUP($B52,Tiendas!$A$4:$B$176,2,FALSE),""))</f>
        <v>SEBASTIAN</v>
      </c>
    </row>
    <row r="53" ht="30.0" customHeight="1">
      <c r="A53" s="17">
        <v>46023.0</v>
      </c>
      <c r="B53" s="44" t="s">
        <v>261</v>
      </c>
      <c r="C53" s="44" t="s">
        <v>316</v>
      </c>
      <c r="D53" s="81">
        <v>1.0</v>
      </c>
      <c r="E53" s="19">
        <f t="shared" si="1"/>
        <v>0</v>
      </c>
      <c r="F53" s="19">
        <f>Config!$B$8</f>
        <v>4</v>
      </c>
      <c r="G53" s="19">
        <f t="shared" si="2"/>
        <v>0</v>
      </c>
      <c r="H53" s="19">
        <f t="shared" si="3"/>
        <v>4</v>
      </c>
      <c r="I53" s="44"/>
      <c r="J53" s="44" t="str">
        <f>IF($B53="","",IFERROR(VLOOKUP($B53,Tiendas!$A$4:$B$176,2,FALSE),""))</f>
        <v>ALEXIS</v>
      </c>
    </row>
    <row r="54" ht="30.0" customHeight="1">
      <c r="A54" s="17">
        <v>46023.0</v>
      </c>
      <c r="B54" s="44" t="s">
        <v>262</v>
      </c>
      <c r="C54" s="44" t="s">
        <v>316</v>
      </c>
      <c r="D54" s="81">
        <v>1.0</v>
      </c>
      <c r="E54" s="19">
        <f t="shared" si="1"/>
        <v>0</v>
      </c>
      <c r="F54" s="19">
        <f>Config!$B$8</f>
        <v>4</v>
      </c>
      <c r="G54" s="19">
        <f t="shared" si="2"/>
        <v>0</v>
      </c>
      <c r="H54" s="19">
        <f t="shared" si="3"/>
        <v>4</v>
      </c>
      <c r="I54" s="44"/>
      <c r="J54" s="44" t="str">
        <f>IF($B54="","",IFERROR(VLOOKUP($B54,Tiendas!$A$4:$B$176,2,FALSE),""))</f>
        <v>CHRISTIAN</v>
      </c>
    </row>
    <row r="55" ht="30.0" customHeight="1">
      <c r="A55" s="17">
        <v>46023.0</v>
      </c>
      <c r="B55" s="44" t="s">
        <v>264</v>
      </c>
      <c r="C55" s="44" t="s">
        <v>316</v>
      </c>
      <c r="D55" s="81">
        <v>1.0</v>
      </c>
      <c r="E55" s="19">
        <f t="shared" si="1"/>
        <v>0</v>
      </c>
      <c r="F55" s="19">
        <f>Config!$B$8</f>
        <v>4</v>
      </c>
      <c r="G55" s="19">
        <f t="shared" si="2"/>
        <v>0</v>
      </c>
      <c r="H55" s="19">
        <f t="shared" si="3"/>
        <v>4</v>
      </c>
      <c r="I55" s="44"/>
      <c r="J55" s="44" t="str">
        <f>IF($B55="","",IFERROR(VLOOKUP($B55,Tiendas!$A$4:$B$176,2,FALSE),""))</f>
        <v>CHRISTIAN</v>
      </c>
    </row>
    <row r="56" ht="30.0" customHeight="1">
      <c r="A56" s="17">
        <v>46023.0</v>
      </c>
      <c r="B56" s="44" t="s">
        <v>264</v>
      </c>
      <c r="C56" s="44" t="s">
        <v>317</v>
      </c>
      <c r="D56" s="81">
        <v>1.0</v>
      </c>
      <c r="E56" s="19">
        <f t="shared" si="1"/>
        <v>8</v>
      </c>
      <c r="F56" s="19">
        <f>Config!$B$8</f>
        <v>4</v>
      </c>
      <c r="G56" s="19">
        <f t="shared" si="2"/>
        <v>8</v>
      </c>
      <c r="H56" s="19">
        <f t="shared" si="3"/>
        <v>4</v>
      </c>
      <c r="I56" s="44"/>
      <c r="J56" s="44" t="str">
        <f>IF($B56="","",IFERROR(VLOOKUP($B56,Tiendas!$A$4:$B$176,2,FALSE),""))</f>
        <v>CHRISTIAN</v>
      </c>
    </row>
    <row r="57" ht="30.0" customHeight="1">
      <c r="A57" s="17">
        <v>46023.0</v>
      </c>
      <c r="B57" s="44" t="s">
        <v>260</v>
      </c>
      <c r="C57" s="44" t="s">
        <v>317</v>
      </c>
      <c r="D57" s="81">
        <v>1.0</v>
      </c>
      <c r="E57" s="19">
        <f t="shared" si="1"/>
        <v>8</v>
      </c>
      <c r="F57" s="19">
        <f>Config!$B$8</f>
        <v>4</v>
      </c>
      <c r="G57" s="19">
        <f t="shared" si="2"/>
        <v>8</v>
      </c>
      <c r="H57" s="19">
        <f t="shared" si="3"/>
        <v>4</v>
      </c>
      <c r="I57" s="44"/>
      <c r="J57" s="44" t="str">
        <f>IF($B57="","",IFERROR(VLOOKUP($B57,Tiendas!$A$4:$B$176,2,FALSE),""))</f>
        <v>ALEXIS</v>
      </c>
    </row>
    <row r="58" ht="30.0" customHeight="1">
      <c r="A58" s="17">
        <v>46023.0</v>
      </c>
      <c r="B58" s="44" t="s">
        <v>260</v>
      </c>
      <c r="C58" s="44" t="s">
        <v>316</v>
      </c>
      <c r="D58" s="81">
        <v>1.0</v>
      </c>
      <c r="E58" s="19">
        <f t="shared" si="1"/>
        <v>0</v>
      </c>
      <c r="F58" s="19">
        <f>Config!$B$8</f>
        <v>4</v>
      </c>
      <c r="G58" s="19">
        <f t="shared" si="2"/>
        <v>0</v>
      </c>
      <c r="H58" s="19">
        <f t="shared" si="3"/>
        <v>4</v>
      </c>
      <c r="I58" s="44"/>
      <c r="J58" s="44" t="str">
        <f>IF($B58="","",IFERROR(VLOOKUP($B58,Tiendas!$A$4:$B$176,2,FALSE),""))</f>
        <v>ALEXIS</v>
      </c>
    </row>
    <row r="59" ht="30.0" customHeight="1">
      <c r="A59" s="17">
        <v>46023.0</v>
      </c>
      <c r="B59" s="44" t="s">
        <v>267</v>
      </c>
      <c r="C59" s="44" t="s">
        <v>316</v>
      </c>
      <c r="D59" s="81">
        <v>2.0</v>
      </c>
      <c r="E59" s="19">
        <f t="shared" si="1"/>
        <v>0</v>
      </c>
      <c r="F59" s="19">
        <f>Config!$B$8</f>
        <v>4</v>
      </c>
      <c r="G59" s="19">
        <f t="shared" si="2"/>
        <v>0</v>
      </c>
      <c r="H59" s="19">
        <f t="shared" si="3"/>
        <v>8</v>
      </c>
      <c r="I59" s="44"/>
      <c r="J59" s="44" t="str">
        <f>IF($B59="","",IFERROR(VLOOKUP($B59,Tiendas!$A$4:$B$176,2,FALSE),""))</f>
        <v>SANDRA</v>
      </c>
    </row>
    <row r="60" ht="30.0" customHeight="1">
      <c r="A60" s="17">
        <v>46023.0</v>
      </c>
      <c r="B60" s="44" t="s">
        <v>269</v>
      </c>
      <c r="C60" s="44" t="s">
        <v>316</v>
      </c>
      <c r="D60" s="81">
        <v>1.0</v>
      </c>
      <c r="E60" s="19">
        <f t="shared" si="1"/>
        <v>0</v>
      </c>
      <c r="F60" s="19">
        <f>Config!$B$8</f>
        <v>4</v>
      </c>
      <c r="G60" s="19">
        <f t="shared" si="2"/>
        <v>0</v>
      </c>
      <c r="H60" s="19">
        <f t="shared" si="3"/>
        <v>4</v>
      </c>
      <c r="I60" s="44"/>
      <c r="J60" s="44" t="str">
        <f>IF($B60="","",IFERROR(VLOOKUP($B60,Tiendas!$A$4:$B$176,2,FALSE),""))</f>
        <v>JORDAN</v>
      </c>
    </row>
    <row r="61" ht="30.0" customHeight="1">
      <c r="A61" s="17">
        <v>46023.0</v>
      </c>
      <c r="B61" s="44" t="s">
        <v>272</v>
      </c>
      <c r="C61" s="44" t="s">
        <v>316</v>
      </c>
      <c r="D61" s="81">
        <v>6.0</v>
      </c>
      <c r="E61" s="19">
        <f t="shared" si="1"/>
        <v>0</v>
      </c>
      <c r="F61" s="19">
        <f>Config!$B$8</f>
        <v>4</v>
      </c>
      <c r="G61" s="19">
        <f t="shared" si="2"/>
        <v>0</v>
      </c>
      <c r="H61" s="19">
        <f t="shared" si="3"/>
        <v>24</v>
      </c>
      <c r="I61" s="44"/>
      <c r="J61" s="44" t="str">
        <f>IF($B61="","",IFERROR(VLOOKUP($B61,Tiendas!$A$4:$B$176,2,FALSE),""))</f>
        <v>SEBASTIAN</v>
      </c>
    </row>
    <row r="62" ht="30.0" customHeight="1">
      <c r="A62" s="17">
        <v>46023.0</v>
      </c>
      <c r="B62" s="44" t="s">
        <v>272</v>
      </c>
      <c r="C62" s="44" t="s">
        <v>317</v>
      </c>
      <c r="D62" s="81">
        <v>1.0</v>
      </c>
      <c r="E62" s="19">
        <f t="shared" si="1"/>
        <v>8</v>
      </c>
      <c r="F62" s="19">
        <f>Config!$B$8</f>
        <v>4</v>
      </c>
      <c r="G62" s="19">
        <f t="shared" si="2"/>
        <v>8</v>
      </c>
      <c r="H62" s="19">
        <f t="shared" si="3"/>
        <v>4</v>
      </c>
      <c r="I62" s="44"/>
      <c r="J62" s="44" t="str">
        <f>IF($B62="","",IFERROR(VLOOKUP($B62,Tiendas!$A$4:$B$176,2,FALSE),""))</f>
        <v>SEBASTIAN</v>
      </c>
    </row>
    <row r="63" ht="30.0" customHeight="1">
      <c r="A63" s="17">
        <v>46023.0</v>
      </c>
      <c r="B63" s="44" t="s">
        <v>275</v>
      </c>
      <c r="C63" s="44" t="s">
        <v>316</v>
      </c>
      <c r="D63" s="81">
        <v>1.0</v>
      </c>
      <c r="E63" s="19">
        <f t="shared" si="1"/>
        <v>0</v>
      </c>
      <c r="F63" s="19">
        <f>Config!$B$8</f>
        <v>4</v>
      </c>
      <c r="G63" s="19">
        <f t="shared" si="2"/>
        <v>0</v>
      </c>
      <c r="H63" s="19">
        <f t="shared" si="3"/>
        <v>4</v>
      </c>
      <c r="I63" s="44"/>
      <c r="J63" s="44" t="str">
        <f>IF($B63="","",IFERROR(VLOOKUP($B63,Tiendas!$A$4:$B$176,2,FALSE),""))</f>
        <v>JORDAN</v>
      </c>
    </row>
    <row r="64" ht="30.0" customHeight="1">
      <c r="A64" s="17">
        <v>46023.0</v>
      </c>
      <c r="B64" s="44" t="s">
        <v>277</v>
      </c>
      <c r="C64" s="44" t="s">
        <v>317</v>
      </c>
      <c r="D64" s="81">
        <v>1.0</v>
      </c>
      <c r="E64" s="19">
        <f t="shared" si="1"/>
        <v>8</v>
      </c>
      <c r="F64" s="19">
        <f>Config!$B$8</f>
        <v>4</v>
      </c>
      <c r="G64" s="19">
        <f t="shared" si="2"/>
        <v>8</v>
      </c>
      <c r="H64" s="19">
        <f t="shared" si="3"/>
        <v>4</v>
      </c>
      <c r="I64" s="44"/>
      <c r="J64" s="44" t="str">
        <f>IF($B64="","",IFERROR(VLOOKUP($B64,Tiendas!$A$4:$B$176,2,FALSE),""))</f>
        <v>CHRISTIAN</v>
      </c>
    </row>
    <row r="65" ht="30.0" customHeight="1">
      <c r="A65" s="17">
        <v>46023.0</v>
      </c>
      <c r="B65" s="44" t="s">
        <v>244</v>
      </c>
      <c r="C65" s="44" t="s">
        <v>317</v>
      </c>
      <c r="D65" s="81">
        <v>1.0</v>
      </c>
      <c r="E65" s="19">
        <f t="shared" si="1"/>
        <v>8</v>
      </c>
      <c r="F65" s="19">
        <f>Config!$B$8</f>
        <v>4</v>
      </c>
      <c r="G65" s="19">
        <f t="shared" si="2"/>
        <v>8</v>
      </c>
      <c r="H65" s="19">
        <f t="shared" si="3"/>
        <v>4</v>
      </c>
      <c r="I65" s="44"/>
      <c r="J65" s="44" t="str">
        <f>IF($B65="","",IFERROR(VLOOKUP($B65,Tiendas!$A$4:$B$176,2,FALSE),""))</f>
        <v>CHRISTIAN</v>
      </c>
    </row>
    <row r="66" ht="30.0" customHeight="1">
      <c r="A66" s="17">
        <v>46023.0</v>
      </c>
      <c r="B66" s="44" t="s">
        <v>276</v>
      </c>
      <c r="C66" s="44" t="s">
        <v>316</v>
      </c>
      <c r="D66" s="81">
        <v>4.0</v>
      </c>
      <c r="E66" s="19">
        <f t="shared" si="1"/>
        <v>0</v>
      </c>
      <c r="F66" s="19">
        <f>Config!$B$8</f>
        <v>4</v>
      </c>
      <c r="G66" s="19">
        <f t="shared" si="2"/>
        <v>0</v>
      </c>
      <c r="H66" s="19">
        <f t="shared" si="3"/>
        <v>16</v>
      </c>
      <c r="I66" s="44"/>
      <c r="J66" s="44" t="str">
        <f>IF($B66="","",IFERROR(VLOOKUP($B66,Tiendas!$A$4:$B$176,2,FALSE),""))</f>
        <v>SEBASTIAN</v>
      </c>
    </row>
    <row r="67" ht="30.0" customHeight="1">
      <c r="A67" s="17">
        <v>46023.0</v>
      </c>
      <c r="B67" s="44" t="s">
        <v>276</v>
      </c>
      <c r="C67" s="44" t="s">
        <v>317</v>
      </c>
      <c r="D67" s="81">
        <v>1.0</v>
      </c>
      <c r="E67" s="19">
        <f t="shared" si="1"/>
        <v>8</v>
      </c>
      <c r="F67" s="19">
        <f>Config!$B$8</f>
        <v>4</v>
      </c>
      <c r="G67" s="19">
        <f t="shared" si="2"/>
        <v>8</v>
      </c>
      <c r="H67" s="19">
        <f t="shared" si="3"/>
        <v>4</v>
      </c>
      <c r="I67" s="44"/>
      <c r="J67" s="44" t="str">
        <f>IF($B67="","",IFERROR(VLOOKUP($B67,Tiendas!$A$4:$B$176,2,FALSE),""))</f>
        <v>SEBASTIAN</v>
      </c>
    </row>
    <row r="68" ht="30.0" customHeight="1">
      <c r="A68" s="17">
        <v>46023.0</v>
      </c>
      <c r="B68" s="44" t="s">
        <v>274</v>
      </c>
      <c r="C68" s="44" t="s">
        <v>317</v>
      </c>
      <c r="D68" s="81">
        <v>2.0</v>
      </c>
      <c r="E68" s="19">
        <f t="shared" si="1"/>
        <v>8</v>
      </c>
      <c r="F68" s="19">
        <f>Config!$B$8</f>
        <v>4</v>
      </c>
      <c r="G68" s="19">
        <f t="shared" si="2"/>
        <v>16</v>
      </c>
      <c r="H68" s="19">
        <f t="shared" si="3"/>
        <v>8</v>
      </c>
      <c r="I68" s="44"/>
      <c r="J68" s="44" t="str">
        <f>IF($B68="","",IFERROR(VLOOKUP($B68,Tiendas!$A$4:$B$176,2,FALSE),""))</f>
        <v>ALEXIS</v>
      </c>
    </row>
    <row r="69" ht="30.0" customHeight="1">
      <c r="A69" s="17">
        <v>46023.0</v>
      </c>
      <c r="B69" s="44" t="s">
        <v>274</v>
      </c>
      <c r="C69" s="44" t="s">
        <v>316</v>
      </c>
      <c r="D69" s="81">
        <v>5.0</v>
      </c>
      <c r="E69" s="19">
        <f t="shared" si="1"/>
        <v>0</v>
      </c>
      <c r="F69" s="19">
        <f>Config!$B$8</f>
        <v>4</v>
      </c>
      <c r="G69" s="19">
        <f t="shared" si="2"/>
        <v>0</v>
      </c>
      <c r="H69" s="19">
        <f t="shared" si="3"/>
        <v>20</v>
      </c>
      <c r="I69" s="44"/>
      <c r="J69" s="44" t="str">
        <f>IF($B69="","",IFERROR(VLOOKUP($B69,Tiendas!$A$4:$B$176,2,FALSE),""))</f>
        <v>ALEXIS</v>
      </c>
    </row>
    <row r="70" ht="30.0" customHeight="1">
      <c r="A70" s="17">
        <v>46023.0</v>
      </c>
      <c r="B70" s="44" t="s">
        <v>253</v>
      </c>
      <c r="C70" s="44" t="s">
        <v>317</v>
      </c>
      <c r="D70" s="81">
        <v>3.0</v>
      </c>
      <c r="E70" s="19">
        <f t="shared" si="1"/>
        <v>8</v>
      </c>
      <c r="F70" s="19">
        <f>Config!$B$8</f>
        <v>4</v>
      </c>
      <c r="G70" s="19">
        <f t="shared" si="2"/>
        <v>24</v>
      </c>
      <c r="H70" s="19">
        <f t="shared" si="3"/>
        <v>12</v>
      </c>
      <c r="I70" s="44"/>
      <c r="J70" s="44" t="str">
        <f>IF($B70="","",IFERROR(VLOOKUP($B70,Tiendas!$A$4:$B$176,2,FALSE),""))</f>
        <v>JORDAN</v>
      </c>
    </row>
    <row r="71" ht="30.0" customHeight="1">
      <c r="A71" s="17">
        <v>46023.0</v>
      </c>
      <c r="B71" s="44" t="s">
        <v>253</v>
      </c>
      <c r="C71" s="44" t="s">
        <v>316</v>
      </c>
      <c r="D71" s="81">
        <v>1.0</v>
      </c>
      <c r="E71" s="19">
        <f t="shared" si="1"/>
        <v>0</v>
      </c>
      <c r="F71" s="19">
        <f>Config!$B$8</f>
        <v>4</v>
      </c>
      <c r="G71" s="19">
        <f t="shared" si="2"/>
        <v>0</v>
      </c>
      <c r="H71" s="19">
        <f t="shared" si="3"/>
        <v>4</v>
      </c>
      <c r="I71" s="44"/>
      <c r="J71" s="44" t="str">
        <f>IF($B71="","",IFERROR(VLOOKUP($B71,Tiendas!$A$4:$B$176,2,FALSE),""))</f>
        <v>JORDAN</v>
      </c>
    </row>
    <row r="72" ht="30.0" customHeight="1">
      <c r="A72" s="17">
        <v>46023.0</v>
      </c>
      <c r="B72" s="44" t="s">
        <v>250</v>
      </c>
      <c r="C72" s="44" t="s">
        <v>317</v>
      </c>
      <c r="D72" s="81">
        <v>1.0</v>
      </c>
      <c r="E72" s="19">
        <f t="shared" si="1"/>
        <v>8</v>
      </c>
      <c r="F72" s="19">
        <f>Config!$B$8</f>
        <v>4</v>
      </c>
      <c r="G72" s="19">
        <f t="shared" si="2"/>
        <v>8</v>
      </c>
      <c r="H72" s="19">
        <f t="shared" si="3"/>
        <v>4</v>
      </c>
      <c r="I72" s="44"/>
      <c r="J72" s="44" t="str">
        <f>IF($B72="","",IFERROR(VLOOKUP($B72,Tiendas!$A$4:$B$176,2,FALSE),""))</f>
        <v>CHRISTIAN</v>
      </c>
    </row>
    <row r="73" ht="30.0" customHeight="1">
      <c r="A73" s="17">
        <v>46023.0</v>
      </c>
      <c r="B73" s="44" t="s">
        <v>278</v>
      </c>
      <c r="C73" s="44" t="s">
        <v>317</v>
      </c>
      <c r="D73" s="81">
        <v>1.0</v>
      </c>
      <c r="E73" s="19">
        <f t="shared" si="1"/>
        <v>8</v>
      </c>
      <c r="F73" s="19">
        <f>Config!$B$8</f>
        <v>4</v>
      </c>
      <c r="G73" s="19">
        <f t="shared" si="2"/>
        <v>8</v>
      </c>
      <c r="H73" s="19">
        <f t="shared" si="3"/>
        <v>4</v>
      </c>
      <c r="I73" s="44"/>
      <c r="J73" s="44" t="str">
        <f>IF($B73="","",IFERROR(VLOOKUP($B73,Tiendas!$A$4:$B$176,2,FALSE),""))</f>
        <v>CHRISTIAN</v>
      </c>
    </row>
    <row r="74" ht="30.0" customHeight="1">
      <c r="A74" s="17">
        <v>46023.0</v>
      </c>
      <c r="B74" s="44" t="s">
        <v>279</v>
      </c>
      <c r="C74" s="44" t="s">
        <v>316</v>
      </c>
      <c r="D74" s="81">
        <v>1.0</v>
      </c>
      <c r="E74" s="19">
        <f t="shared" si="1"/>
        <v>0</v>
      </c>
      <c r="F74" s="19">
        <f>Config!$B$8</f>
        <v>4</v>
      </c>
      <c r="G74" s="19">
        <f t="shared" si="2"/>
        <v>0</v>
      </c>
      <c r="H74" s="19">
        <f t="shared" si="3"/>
        <v>4</v>
      </c>
      <c r="I74" s="44"/>
      <c r="J74" s="44" t="str">
        <f>IF($B74="","",IFERROR(VLOOKUP($B74,Tiendas!$A$4:$B$176,2,FALSE),""))</f>
        <v>CHRISTIAN</v>
      </c>
    </row>
    <row r="75" ht="30.0" customHeight="1">
      <c r="A75" s="17"/>
      <c r="B75" s="44"/>
      <c r="C75" s="44"/>
      <c r="D75" s="81"/>
      <c r="E75" s="19"/>
      <c r="F75" s="19"/>
      <c r="G75" s="19"/>
      <c r="H75" s="19"/>
      <c r="I75" s="44"/>
      <c r="J75" s="44"/>
    </row>
    <row r="76" ht="30.0" customHeight="1">
      <c r="A76" s="17"/>
      <c r="B76" s="44"/>
      <c r="C76" s="44"/>
      <c r="D76" s="81"/>
      <c r="E76" s="19"/>
      <c r="F76" s="19"/>
      <c r="G76" s="19"/>
      <c r="H76" s="19"/>
      <c r="I76" s="44"/>
      <c r="J76" s="44"/>
    </row>
    <row r="77" ht="30.0" customHeight="1">
      <c r="A77" s="17"/>
      <c r="B77" s="44"/>
      <c r="C77" s="44"/>
      <c r="D77" s="81"/>
      <c r="E77" s="19"/>
      <c r="F77" s="19"/>
      <c r="G77" s="19"/>
      <c r="H77" s="19"/>
      <c r="I77" s="44"/>
      <c r="J77" s="44"/>
    </row>
    <row r="78" ht="30.0" customHeight="1">
      <c r="A78" s="17"/>
      <c r="B78" s="44"/>
      <c r="C78" s="44"/>
      <c r="D78" s="81"/>
      <c r="E78" s="19"/>
      <c r="F78" s="19"/>
      <c r="G78" s="19"/>
      <c r="H78" s="19"/>
      <c r="I78" s="44"/>
      <c r="J78" s="44"/>
    </row>
    <row r="79" ht="30.0" customHeight="1">
      <c r="A79" s="17"/>
      <c r="B79" s="44"/>
      <c r="C79" s="44"/>
      <c r="D79" s="81"/>
      <c r="E79" s="19"/>
      <c r="F79" s="19"/>
      <c r="G79" s="19"/>
      <c r="H79" s="19"/>
      <c r="I79" s="44"/>
      <c r="J79" s="44"/>
    </row>
    <row r="80" ht="30.0" customHeight="1">
      <c r="A80" s="17"/>
      <c r="B80" s="44"/>
      <c r="C80" s="44"/>
      <c r="D80" s="81"/>
      <c r="E80" s="19"/>
      <c r="F80" s="19"/>
      <c r="G80" s="19"/>
      <c r="H80" s="19"/>
      <c r="I80" s="44"/>
      <c r="J80" s="44"/>
    </row>
    <row r="81" ht="30.0" customHeight="1">
      <c r="A81" s="17"/>
      <c r="B81" s="44"/>
      <c r="C81" s="44"/>
      <c r="D81" s="81"/>
      <c r="E81" s="19"/>
      <c r="F81" s="19"/>
      <c r="G81" s="19"/>
      <c r="H81" s="19"/>
      <c r="I81" s="44"/>
      <c r="J81" s="44"/>
    </row>
    <row r="82" ht="15.75" customHeight="1">
      <c r="A82" s="17"/>
      <c r="B82" s="44"/>
      <c r="C82" s="44"/>
      <c r="D82" s="81"/>
      <c r="E82" s="19"/>
      <c r="F82" s="19"/>
      <c r="G82" s="19"/>
      <c r="H82" s="19"/>
      <c r="I82" s="44"/>
      <c r="J82" s="44"/>
    </row>
    <row r="83" ht="15.75" customHeight="1">
      <c r="A83" s="17"/>
      <c r="B83" s="44"/>
      <c r="C83" s="44"/>
      <c r="D83" s="81"/>
      <c r="E83" s="19"/>
      <c r="F83" s="19"/>
      <c r="G83" s="19"/>
      <c r="H83" s="19"/>
      <c r="I83" s="44"/>
      <c r="J83" s="44"/>
    </row>
    <row r="84" ht="15.75" customHeight="1">
      <c r="A84" s="83"/>
      <c r="B84" s="44"/>
      <c r="C84" s="44"/>
      <c r="D84" s="81"/>
      <c r="E84" s="19"/>
      <c r="F84" s="19"/>
      <c r="G84" s="19"/>
      <c r="H84" s="19"/>
      <c r="I84" s="44"/>
      <c r="J84" s="44"/>
    </row>
    <row r="85" ht="15.75" customHeight="1">
      <c r="A85" s="83"/>
      <c r="B85" s="44"/>
      <c r="C85" s="44"/>
      <c r="D85" s="81"/>
      <c r="E85" s="19"/>
      <c r="F85" s="19"/>
      <c r="G85" s="19"/>
      <c r="H85" s="19"/>
      <c r="I85" s="44"/>
      <c r="J85" s="44"/>
    </row>
    <row r="86" ht="15.75" customHeight="1">
      <c r="A86" s="83"/>
      <c r="B86" s="44"/>
      <c r="C86" s="44"/>
      <c r="D86" s="81"/>
      <c r="E86" s="19"/>
      <c r="F86" s="19"/>
      <c r="G86" s="19"/>
      <c r="H86" s="19"/>
      <c r="I86" s="44"/>
      <c r="J86" s="44"/>
    </row>
    <row r="87" ht="15.75" customHeight="1">
      <c r="A87" s="83"/>
      <c r="B87" s="44"/>
      <c r="C87" s="44"/>
      <c r="D87" s="81"/>
      <c r="E87" s="19"/>
      <c r="F87" s="19"/>
      <c r="G87" s="19"/>
      <c r="H87" s="19"/>
      <c r="I87" s="44"/>
      <c r="J87" s="44"/>
    </row>
    <row r="88" ht="15.75" customHeight="1">
      <c r="A88" s="83"/>
      <c r="B88" s="44"/>
      <c r="C88" s="44"/>
      <c r="D88" s="81"/>
      <c r="E88" s="19"/>
      <c r="F88" s="19"/>
      <c r="G88" s="19"/>
      <c r="H88" s="19"/>
      <c r="I88" s="44"/>
      <c r="J88" s="44"/>
    </row>
    <row r="89" ht="15.75" customHeight="1">
      <c r="A89" s="83"/>
      <c r="B89" s="44"/>
      <c r="C89" s="44"/>
      <c r="D89" s="81"/>
      <c r="E89" s="19"/>
      <c r="F89" s="19"/>
      <c r="G89" s="19"/>
      <c r="H89" s="19"/>
      <c r="I89" s="44"/>
      <c r="J89" s="44"/>
    </row>
    <row r="90" ht="15.75" customHeight="1">
      <c r="A90" s="83"/>
      <c r="B90" s="44"/>
      <c r="C90" s="44"/>
      <c r="D90" s="81"/>
      <c r="E90" s="19"/>
      <c r="F90" s="19"/>
      <c r="G90" s="19"/>
      <c r="H90" s="19"/>
      <c r="I90" s="44"/>
      <c r="J90" s="44"/>
    </row>
    <row r="91" ht="15.75" customHeight="1">
      <c r="A91" s="83"/>
      <c r="B91" s="44"/>
      <c r="C91" s="44"/>
      <c r="D91" s="81"/>
      <c r="E91" s="19"/>
      <c r="F91" s="19"/>
      <c r="G91" s="19"/>
      <c r="H91" s="19"/>
      <c r="I91" s="44"/>
      <c r="J91" s="44"/>
    </row>
    <row r="92" ht="15.75" customHeight="1">
      <c r="A92" s="83"/>
      <c r="B92" s="44"/>
      <c r="C92" s="44"/>
      <c r="D92" s="81"/>
      <c r="E92" s="19"/>
      <c r="F92" s="19"/>
      <c r="G92" s="19"/>
      <c r="H92" s="19"/>
      <c r="I92" s="44"/>
      <c r="J92" s="44"/>
    </row>
    <row r="93" ht="15.75" customHeight="1">
      <c r="A93" s="83"/>
      <c r="B93" s="44"/>
      <c r="C93" s="44"/>
      <c r="D93" s="81"/>
      <c r="E93" s="19"/>
      <c r="F93" s="19"/>
      <c r="G93" s="19"/>
      <c r="H93" s="19"/>
      <c r="I93" s="44"/>
      <c r="J93" s="44"/>
    </row>
    <row r="94" ht="15.75" customHeight="1">
      <c r="A94" s="83"/>
      <c r="B94" s="44"/>
      <c r="C94" s="44"/>
      <c r="D94" s="81"/>
      <c r="E94" s="19"/>
      <c r="F94" s="19"/>
      <c r="G94" s="19"/>
      <c r="H94" s="19"/>
      <c r="I94" s="44"/>
      <c r="J94" s="44"/>
    </row>
    <row r="95" ht="15.75" customHeight="1">
      <c r="A95" s="83"/>
      <c r="B95" s="44"/>
      <c r="C95" s="44"/>
      <c r="D95" s="81"/>
      <c r="E95" s="19"/>
      <c r="F95" s="19"/>
      <c r="G95" s="19"/>
      <c r="H95" s="19"/>
      <c r="I95" s="44"/>
      <c r="J95" s="44"/>
    </row>
    <row r="96" ht="15.75" customHeight="1">
      <c r="A96" s="83"/>
      <c r="B96" s="44"/>
      <c r="C96" s="44"/>
      <c r="D96" s="81"/>
      <c r="E96" s="19"/>
      <c r="F96" s="19"/>
      <c r="G96" s="19"/>
      <c r="H96" s="19"/>
      <c r="I96" s="44"/>
      <c r="J96" s="44"/>
    </row>
    <row r="97" ht="15.75" customHeight="1">
      <c r="A97" s="83"/>
      <c r="B97" s="44"/>
      <c r="C97" s="44"/>
      <c r="D97" s="81"/>
      <c r="E97" s="19"/>
      <c r="F97" s="19"/>
      <c r="G97" s="19"/>
      <c r="H97" s="19"/>
      <c r="I97" s="44"/>
      <c r="J97" s="44"/>
    </row>
    <row r="98" ht="15.75" customHeight="1">
      <c r="A98" s="83"/>
      <c r="B98" s="44"/>
      <c r="C98" s="44"/>
      <c r="D98" s="81"/>
      <c r="E98" s="19"/>
      <c r="F98" s="19"/>
      <c r="G98" s="19"/>
      <c r="H98" s="19"/>
      <c r="I98" s="44"/>
      <c r="J98" s="44"/>
    </row>
    <row r="99" ht="15.75" customHeight="1">
      <c r="A99" s="83"/>
      <c r="B99" s="44"/>
      <c r="C99" s="44"/>
      <c r="D99" s="81"/>
      <c r="E99" s="19"/>
      <c r="F99" s="19"/>
      <c r="G99" s="19"/>
      <c r="H99" s="19"/>
      <c r="I99" s="44"/>
      <c r="J99" s="44"/>
    </row>
    <row r="100" ht="15.75" customHeight="1">
      <c r="A100" s="83"/>
      <c r="B100" s="44"/>
      <c r="C100" s="44"/>
      <c r="D100" s="81"/>
      <c r="E100" s="19"/>
      <c r="F100" s="19"/>
      <c r="G100" s="19"/>
      <c r="H100" s="19"/>
      <c r="I100" s="44"/>
      <c r="J100" s="44"/>
    </row>
    <row r="101" ht="15.75" customHeight="1">
      <c r="A101" s="83"/>
      <c r="B101" s="44"/>
      <c r="C101" s="44"/>
      <c r="D101" s="81"/>
      <c r="E101" s="19"/>
      <c r="F101" s="19"/>
      <c r="G101" s="19"/>
      <c r="H101" s="19"/>
      <c r="I101" s="44"/>
      <c r="J101" s="44"/>
    </row>
    <row r="102" ht="15.75" customHeight="1">
      <c r="A102" s="83"/>
      <c r="B102" s="44"/>
      <c r="C102" s="44"/>
      <c r="D102" s="81"/>
      <c r="E102" s="19"/>
      <c r="F102" s="19"/>
      <c r="G102" s="19"/>
      <c r="H102" s="19"/>
      <c r="I102" s="44"/>
      <c r="J102" s="44"/>
    </row>
    <row r="103" ht="15.75" customHeight="1">
      <c r="A103" s="83"/>
      <c r="B103" s="44"/>
      <c r="C103" s="44"/>
      <c r="D103" s="81"/>
      <c r="E103" s="19"/>
      <c r="F103" s="19"/>
      <c r="G103" s="19"/>
      <c r="H103" s="19"/>
      <c r="I103" s="44"/>
      <c r="J103" s="44"/>
    </row>
    <row r="104" ht="15.75" customHeight="1">
      <c r="A104" s="83"/>
      <c r="B104" s="44"/>
      <c r="C104" s="44"/>
      <c r="D104" s="81"/>
      <c r="E104" s="19"/>
      <c r="F104" s="19"/>
      <c r="G104" s="19"/>
      <c r="H104" s="19"/>
      <c r="I104" s="44"/>
      <c r="J104" s="44"/>
    </row>
    <row r="105" ht="15.75" customHeight="1">
      <c r="A105" s="83"/>
      <c r="B105" s="44"/>
      <c r="C105" s="44"/>
      <c r="D105" s="81"/>
      <c r="E105" s="19"/>
      <c r="F105" s="19"/>
      <c r="G105" s="19"/>
      <c r="H105" s="19"/>
      <c r="I105" s="44"/>
      <c r="J105" s="44"/>
    </row>
    <row r="106" ht="15.75" customHeight="1">
      <c r="A106" s="83"/>
      <c r="B106" s="44"/>
      <c r="C106" s="44"/>
      <c r="D106" s="81"/>
      <c r="E106" s="19"/>
      <c r="F106" s="19"/>
      <c r="G106" s="19"/>
      <c r="H106" s="19"/>
      <c r="I106" s="44"/>
      <c r="J106" s="44"/>
    </row>
    <row r="107" ht="15.75" customHeight="1">
      <c r="A107" s="83"/>
      <c r="B107" s="44"/>
      <c r="C107" s="44"/>
      <c r="D107" s="81"/>
      <c r="E107" s="19"/>
      <c r="F107" s="19"/>
      <c r="G107" s="19"/>
      <c r="H107" s="19"/>
      <c r="I107" s="44"/>
      <c r="J107" s="44"/>
    </row>
    <row r="108" ht="15.75" customHeight="1">
      <c r="A108" s="83"/>
      <c r="B108" s="44"/>
      <c r="C108" s="44"/>
      <c r="D108" s="81"/>
      <c r="E108" s="19"/>
      <c r="F108" s="19"/>
      <c r="G108" s="19"/>
      <c r="H108" s="19"/>
      <c r="I108" s="44"/>
      <c r="J108" s="44"/>
    </row>
    <row r="109" ht="15.75" customHeight="1">
      <c r="A109" s="83"/>
      <c r="B109" s="44"/>
      <c r="C109" s="44"/>
      <c r="D109" s="81"/>
      <c r="E109" s="19"/>
      <c r="F109" s="19"/>
      <c r="G109" s="19"/>
      <c r="H109" s="19"/>
      <c r="I109" s="44"/>
      <c r="J109" s="44"/>
    </row>
    <row r="110" ht="15.75" customHeight="1">
      <c r="A110" s="83"/>
      <c r="B110" s="44"/>
      <c r="C110" s="44"/>
      <c r="D110" s="81"/>
      <c r="E110" s="19"/>
      <c r="F110" s="19"/>
      <c r="G110" s="19"/>
      <c r="H110" s="19"/>
      <c r="I110" s="44"/>
      <c r="J110" s="44"/>
    </row>
    <row r="111" ht="15.75" customHeight="1">
      <c r="A111" s="83"/>
      <c r="B111" s="44"/>
      <c r="C111" s="44"/>
      <c r="D111" s="81"/>
      <c r="E111" s="19"/>
      <c r="F111" s="19"/>
      <c r="G111" s="19"/>
      <c r="H111" s="19"/>
      <c r="I111" s="44"/>
      <c r="J111" s="44"/>
    </row>
    <row r="112" ht="15.75" customHeight="1">
      <c r="A112" s="83"/>
      <c r="B112" s="44"/>
      <c r="C112" s="44"/>
      <c r="D112" s="81"/>
      <c r="E112" s="19"/>
      <c r="F112" s="19"/>
      <c r="G112" s="19"/>
      <c r="H112" s="19"/>
      <c r="I112" s="44"/>
      <c r="J112" s="44"/>
    </row>
    <row r="113" ht="15.75" customHeight="1">
      <c r="A113" s="83"/>
      <c r="B113" s="44"/>
      <c r="C113" s="44"/>
      <c r="D113" s="81"/>
      <c r="E113" s="19"/>
      <c r="F113" s="19"/>
      <c r="G113" s="19"/>
      <c r="H113" s="19"/>
      <c r="I113" s="44"/>
      <c r="J113" s="44"/>
    </row>
    <row r="114" ht="15.75" customHeight="1">
      <c r="A114" s="83"/>
      <c r="B114" s="44"/>
      <c r="C114" s="44"/>
      <c r="D114" s="81"/>
      <c r="E114" s="19"/>
      <c r="F114" s="19"/>
      <c r="G114" s="19"/>
      <c r="H114" s="19"/>
      <c r="I114" s="44"/>
      <c r="J114" s="44"/>
    </row>
    <row r="115" ht="15.75" customHeight="1">
      <c r="A115" s="83"/>
      <c r="B115" s="44"/>
      <c r="C115" s="44"/>
      <c r="D115" s="81"/>
      <c r="E115" s="19"/>
      <c r="F115" s="19"/>
      <c r="G115" s="19"/>
      <c r="H115" s="19"/>
      <c r="I115" s="44"/>
      <c r="J115" s="44"/>
    </row>
    <row r="116" ht="15.75" customHeight="1">
      <c r="A116" s="83"/>
      <c r="B116" s="44"/>
      <c r="C116" s="44"/>
      <c r="D116" s="81"/>
      <c r="E116" s="19"/>
      <c r="F116" s="19"/>
      <c r="G116" s="19"/>
      <c r="H116" s="19"/>
      <c r="I116" s="44"/>
      <c r="J116" s="44"/>
    </row>
    <row r="117" ht="15.75" customHeight="1">
      <c r="A117" s="83"/>
      <c r="B117" s="44"/>
      <c r="C117" s="44"/>
      <c r="D117" s="81"/>
      <c r="E117" s="19"/>
      <c r="F117" s="19"/>
      <c r="G117" s="19"/>
      <c r="H117" s="19"/>
      <c r="I117" s="44"/>
      <c r="J117" s="44"/>
    </row>
    <row r="118" ht="15.75" customHeight="1">
      <c r="A118" s="83"/>
      <c r="B118" s="44"/>
      <c r="C118" s="44"/>
      <c r="D118" s="81"/>
      <c r="E118" s="19"/>
      <c r="F118" s="19"/>
      <c r="G118" s="19"/>
      <c r="H118" s="19"/>
      <c r="I118" s="44"/>
      <c r="J118" s="44"/>
    </row>
    <row r="119" ht="15.75" customHeight="1">
      <c r="A119" s="83"/>
      <c r="B119" s="44"/>
      <c r="C119" s="44"/>
      <c r="D119" s="81"/>
      <c r="E119" s="19"/>
      <c r="F119" s="19"/>
      <c r="G119" s="19"/>
      <c r="H119" s="19"/>
      <c r="I119" s="44"/>
      <c r="J119" s="44"/>
    </row>
    <row r="120" ht="15.75" customHeight="1">
      <c r="A120" s="83"/>
      <c r="B120" s="44"/>
      <c r="C120" s="44"/>
      <c r="D120" s="81"/>
      <c r="E120" s="19"/>
      <c r="F120" s="19"/>
      <c r="G120" s="19"/>
      <c r="H120" s="19"/>
      <c r="I120" s="44"/>
      <c r="J120" s="44"/>
    </row>
    <row r="121" ht="15.75" customHeight="1">
      <c r="A121" s="83"/>
      <c r="B121" s="44"/>
      <c r="C121" s="44"/>
      <c r="D121" s="81"/>
      <c r="E121" s="19"/>
      <c r="F121" s="19"/>
      <c r="G121" s="19"/>
      <c r="H121" s="19"/>
      <c r="I121" s="44"/>
      <c r="J121" s="44"/>
    </row>
    <row r="122" ht="15.75" customHeight="1">
      <c r="A122" s="83"/>
      <c r="B122" s="44"/>
      <c r="C122" s="44"/>
      <c r="D122" s="81"/>
      <c r="E122" s="19"/>
      <c r="F122" s="19"/>
      <c r="G122" s="19"/>
      <c r="H122" s="19"/>
      <c r="I122" s="44"/>
      <c r="J122" s="44"/>
    </row>
    <row r="123" ht="15.75" customHeight="1">
      <c r="A123" s="83"/>
      <c r="B123" s="44"/>
      <c r="C123" s="44"/>
      <c r="D123" s="81"/>
      <c r="E123" s="19"/>
      <c r="F123" s="19"/>
      <c r="G123" s="19"/>
      <c r="H123" s="19"/>
      <c r="I123" s="44"/>
      <c r="J123" s="44"/>
    </row>
    <row r="124" ht="15.75" customHeight="1">
      <c r="A124" s="83"/>
      <c r="B124" s="44"/>
      <c r="C124" s="44"/>
      <c r="D124" s="81"/>
      <c r="E124" s="19"/>
      <c r="F124" s="19"/>
      <c r="G124" s="19"/>
      <c r="H124" s="19"/>
      <c r="I124" s="44"/>
      <c r="J124" s="44"/>
    </row>
    <row r="125" ht="15.75" customHeight="1">
      <c r="A125" s="83"/>
      <c r="B125" s="44"/>
      <c r="C125" s="44"/>
      <c r="D125" s="81"/>
      <c r="E125" s="19"/>
      <c r="F125" s="19"/>
      <c r="G125" s="19"/>
      <c r="H125" s="19"/>
      <c r="I125" s="44"/>
      <c r="J125" s="44"/>
    </row>
    <row r="126" ht="15.75" customHeight="1">
      <c r="A126" s="83"/>
      <c r="B126" s="44"/>
      <c r="C126" s="44"/>
      <c r="D126" s="81"/>
      <c r="E126" s="19"/>
      <c r="F126" s="19"/>
      <c r="G126" s="19"/>
      <c r="H126" s="19"/>
      <c r="I126" s="44"/>
      <c r="J126" s="44"/>
    </row>
    <row r="127" ht="15.75" customHeight="1">
      <c r="A127" s="83"/>
      <c r="B127" s="44"/>
      <c r="C127" s="44"/>
      <c r="D127" s="81"/>
      <c r="E127" s="19"/>
      <c r="F127" s="19"/>
      <c r="G127" s="19"/>
      <c r="H127" s="19"/>
      <c r="I127" s="44"/>
      <c r="J127" s="44"/>
    </row>
    <row r="128" ht="15.75" customHeight="1">
      <c r="A128" s="83"/>
      <c r="B128" s="44"/>
      <c r="C128" s="44"/>
      <c r="D128" s="81"/>
      <c r="E128" s="19"/>
      <c r="F128" s="19"/>
      <c r="G128" s="19"/>
      <c r="H128" s="19"/>
      <c r="I128" s="44"/>
      <c r="J128" s="44"/>
    </row>
    <row r="129" ht="15.75" customHeight="1">
      <c r="A129" s="83"/>
      <c r="B129" s="44"/>
      <c r="C129" s="44"/>
      <c r="D129" s="81"/>
      <c r="E129" s="19"/>
      <c r="F129" s="19"/>
      <c r="G129" s="19"/>
      <c r="H129" s="19"/>
      <c r="I129" s="44"/>
      <c r="J129" s="44"/>
    </row>
    <row r="130" ht="15.75" customHeight="1">
      <c r="A130" s="83"/>
      <c r="B130" s="44"/>
      <c r="C130" s="44"/>
      <c r="D130" s="81"/>
      <c r="E130" s="19"/>
      <c r="F130" s="19"/>
      <c r="G130" s="19"/>
      <c r="H130" s="19"/>
      <c r="I130" s="44"/>
      <c r="J130" s="44"/>
    </row>
    <row r="131" ht="15.75" customHeight="1">
      <c r="A131" s="83"/>
      <c r="B131" s="44"/>
      <c r="C131" s="44"/>
      <c r="D131" s="81"/>
      <c r="E131" s="19"/>
      <c r="F131" s="19"/>
      <c r="G131" s="19"/>
      <c r="H131" s="19"/>
      <c r="I131" s="44"/>
      <c r="J131" s="44"/>
    </row>
    <row r="132" ht="15.75" customHeight="1">
      <c r="A132" s="83"/>
      <c r="B132" s="44"/>
      <c r="C132" s="44"/>
      <c r="D132" s="81"/>
      <c r="E132" s="19"/>
      <c r="F132" s="19"/>
      <c r="G132" s="19"/>
      <c r="H132" s="19"/>
      <c r="I132" s="44"/>
      <c r="J132" s="44"/>
    </row>
    <row r="133" ht="15.75" customHeight="1">
      <c r="A133" s="83"/>
      <c r="B133" s="44"/>
      <c r="C133" s="44"/>
      <c r="D133" s="81"/>
      <c r="E133" s="19"/>
      <c r="F133" s="19"/>
      <c r="G133" s="19"/>
      <c r="H133" s="19"/>
      <c r="I133" s="44"/>
      <c r="J133" s="44"/>
    </row>
    <row r="134" ht="15.75" customHeight="1">
      <c r="A134" s="83"/>
      <c r="B134" s="44"/>
      <c r="C134" s="44"/>
      <c r="D134" s="81"/>
      <c r="E134" s="19"/>
      <c r="F134" s="19"/>
      <c r="G134" s="19"/>
      <c r="H134" s="19"/>
      <c r="I134" s="44"/>
      <c r="J134" s="44"/>
    </row>
    <row r="135" ht="15.75" customHeight="1">
      <c r="A135" s="83"/>
      <c r="B135" s="44"/>
      <c r="C135" s="44"/>
      <c r="D135" s="81"/>
      <c r="E135" s="19"/>
      <c r="F135" s="19"/>
      <c r="G135" s="19"/>
      <c r="H135" s="19"/>
      <c r="I135" s="44"/>
      <c r="J135" s="44"/>
    </row>
    <row r="136" ht="15.75" customHeight="1">
      <c r="A136" s="83"/>
      <c r="B136" s="44"/>
      <c r="C136" s="44"/>
      <c r="D136" s="81"/>
      <c r="E136" s="19"/>
      <c r="F136" s="19"/>
      <c r="G136" s="19"/>
      <c r="H136" s="19"/>
      <c r="I136" s="44"/>
      <c r="J136" s="44"/>
    </row>
    <row r="137" ht="15.75" customHeight="1">
      <c r="A137" s="83"/>
      <c r="B137" s="44"/>
      <c r="C137" s="44"/>
      <c r="D137" s="81"/>
      <c r="E137" s="19"/>
      <c r="F137" s="19"/>
      <c r="G137" s="19"/>
      <c r="H137" s="19"/>
      <c r="I137" s="44"/>
      <c r="J137" s="44"/>
    </row>
    <row r="138" ht="15.75" customHeight="1">
      <c r="A138" s="83"/>
      <c r="B138" s="44"/>
      <c r="C138" s="44"/>
      <c r="D138" s="81"/>
      <c r="E138" s="19"/>
      <c r="F138" s="19"/>
      <c r="G138" s="19"/>
      <c r="H138" s="19"/>
      <c r="I138" s="44"/>
      <c r="J138" s="44"/>
    </row>
    <row r="139" ht="15.75" customHeight="1">
      <c r="A139" s="83"/>
      <c r="B139" s="44"/>
      <c r="C139" s="44"/>
      <c r="D139" s="81"/>
      <c r="E139" s="19"/>
      <c r="F139" s="19"/>
      <c r="G139" s="19"/>
      <c r="H139" s="19"/>
      <c r="I139" s="44"/>
      <c r="J139" s="44"/>
    </row>
    <row r="140" ht="15.75" customHeight="1">
      <c r="A140" s="83"/>
      <c r="B140" s="44"/>
      <c r="C140" s="44"/>
      <c r="D140" s="81"/>
      <c r="E140" s="19"/>
      <c r="F140" s="19"/>
      <c r="G140" s="19"/>
      <c r="H140" s="19"/>
      <c r="I140" s="44"/>
      <c r="J140" s="44"/>
    </row>
    <row r="141" ht="15.75" customHeight="1">
      <c r="A141" s="83"/>
      <c r="B141" s="44"/>
      <c r="C141" s="44"/>
      <c r="D141" s="81"/>
      <c r="E141" s="19"/>
      <c r="F141" s="19"/>
      <c r="G141" s="19"/>
      <c r="H141" s="19"/>
      <c r="I141" s="44"/>
      <c r="J141" s="44"/>
    </row>
    <row r="142" ht="15.75" customHeight="1">
      <c r="A142" s="83"/>
      <c r="B142" s="44"/>
      <c r="C142" s="44"/>
      <c r="D142" s="81"/>
      <c r="E142" s="19"/>
      <c r="F142" s="19"/>
      <c r="G142" s="19"/>
      <c r="H142" s="19"/>
      <c r="I142" s="44"/>
      <c r="J142" s="44"/>
    </row>
    <row r="143" ht="15.75" customHeight="1">
      <c r="A143" s="83"/>
      <c r="B143" s="44"/>
      <c r="C143" s="44"/>
      <c r="D143" s="81"/>
      <c r="E143" s="19"/>
      <c r="F143" s="19"/>
      <c r="G143" s="19"/>
      <c r="H143" s="19"/>
      <c r="I143" s="44"/>
      <c r="J143" s="44"/>
    </row>
    <row r="144" ht="15.75" customHeight="1">
      <c r="A144" s="83"/>
      <c r="B144" s="44"/>
      <c r="C144" s="44"/>
      <c r="D144" s="81"/>
      <c r="E144" s="19"/>
      <c r="F144" s="19"/>
      <c r="G144" s="19"/>
      <c r="H144" s="19"/>
      <c r="I144" s="44"/>
      <c r="J144" s="44"/>
    </row>
    <row r="145" ht="15.75" customHeight="1">
      <c r="A145" s="83"/>
      <c r="B145" s="44"/>
      <c r="C145" s="44"/>
      <c r="D145" s="81"/>
      <c r="E145" s="19"/>
      <c r="F145" s="19"/>
      <c r="G145" s="19"/>
      <c r="H145" s="19"/>
      <c r="I145" s="44"/>
      <c r="J145" s="44"/>
    </row>
    <row r="146" ht="15.75" customHeight="1">
      <c r="A146" s="83"/>
      <c r="B146" s="44"/>
      <c r="C146" s="44"/>
      <c r="D146" s="81"/>
      <c r="E146" s="19"/>
      <c r="F146" s="19"/>
      <c r="G146" s="19"/>
      <c r="H146" s="19"/>
      <c r="I146" s="44"/>
      <c r="J146" s="44"/>
    </row>
    <row r="147" ht="15.75" customHeight="1">
      <c r="A147" s="83"/>
      <c r="B147" s="44"/>
      <c r="C147" s="44"/>
      <c r="D147" s="81"/>
      <c r="E147" s="19"/>
      <c r="F147" s="19"/>
      <c r="G147" s="19"/>
      <c r="H147" s="19"/>
      <c r="I147" s="44"/>
      <c r="J147" s="44"/>
    </row>
    <row r="148" ht="15.75" customHeight="1">
      <c r="A148" s="83"/>
      <c r="B148" s="44"/>
      <c r="C148" s="44"/>
      <c r="D148" s="81"/>
      <c r="E148" s="19"/>
      <c r="F148" s="19"/>
      <c r="G148" s="19"/>
      <c r="H148" s="19"/>
      <c r="I148" s="44"/>
      <c r="J148" s="44"/>
    </row>
    <row r="149" ht="15.75" customHeight="1">
      <c r="A149" s="83"/>
      <c r="B149" s="44"/>
      <c r="C149" s="44"/>
      <c r="D149" s="81"/>
      <c r="E149" s="19"/>
      <c r="F149" s="19"/>
      <c r="G149" s="19"/>
      <c r="H149" s="19"/>
      <c r="I149" s="44"/>
      <c r="J149" s="44"/>
    </row>
    <row r="150" ht="15.75" customHeight="1">
      <c r="A150" s="83"/>
      <c r="B150" s="44"/>
      <c r="C150" s="44"/>
      <c r="D150" s="81"/>
      <c r="E150" s="19"/>
      <c r="F150" s="19"/>
      <c r="G150" s="19"/>
      <c r="H150" s="19"/>
      <c r="I150" s="44"/>
      <c r="J150" s="44"/>
    </row>
    <row r="151" ht="15.75" customHeight="1">
      <c r="A151" s="83"/>
      <c r="B151" s="44"/>
      <c r="C151" s="44"/>
      <c r="D151" s="81"/>
      <c r="E151" s="19"/>
      <c r="F151" s="19"/>
      <c r="G151" s="19"/>
      <c r="H151" s="19"/>
      <c r="I151" s="44"/>
      <c r="J151" s="44"/>
    </row>
    <row r="152" ht="15.75" customHeight="1">
      <c r="A152" s="83"/>
      <c r="B152" s="44"/>
      <c r="C152" s="44"/>
      <c r="D152" s="81"/>
      <c r="E152" s="19"/>
      <c r="F152" s="19"/>
      <c r="G152" s="19"/>
      <c r="H152" s="19"/>
      <c r="I152" s="44"/>
      <c r="J152" s="44"/>
    </row>
    <row r="153" ht="15.75" customHeight="1">
      <c r="A153" s="83"/>
      <c r="B153" s="44"/>
      <c r="C153" s="44"/>
      <c r="D153" s="81"/>
      <c r="E153" s="19"/>
      <c r="F153" s="19"/>
      <c r="G153" s="19"/>
      <c r="H153" s="19"/>
      <c r="I153" s="44"/>
      <c r="J153" s="44"/>
    </row>
    <row r="154" ht="15.75" customHeight="1">
      <c r="A154" s="83"/>
      <c r="B154" s="44"/>
      <c r="C154" s="44"/>
      <c r="D154" s="81"/>
      <c r="E154" s="19"/>
      <c r="F154" s="19"/>
      <c r="G154" s="19"/>
      <c r="H154" s="19"/>
      <c r="I154" s="44"/>
      <c r="J154" s="44"/>
    </row>
    <row r="155" ht="15.75" customHeight="1">
      <c r="A155" s="83"/>
      <c r="B155" s="44"/>
      <c r="C155" s="44"/>
      <c r="D155" s="81"/>
      <c r="E155" s="19"/>
      <c r="F155" s="19"/>
      <c r="G155" s="19"/>
      <c r="H155" s="19"/>
      <c r="I155" s="44"/>
      <c r="J155" s="44"/>
    </row>
    <row r="156" ht="15.75" customHeight="1">
      <c r="A156" s="83"/>
      <c r="B156" s="44"/>
      <c r="C156" s="44"/>
      <c r="D156" s="81"/>
      <c r="E156" s="19"/>
      <c r="F156" s="19"/>
      <c r="G156" s="19"/>
      <c r="H156" s="19"/>
      <c r="I156" s="44"/>
      <c r="J156" s="44"/>
    </row>
    <row r="157" ht="15.75" customHeight="1">
      <c r="A157" s="83"/>
      <c r="B157" s="44"/>
      <c r="C157" s="44"/>
      <c r="D157" s="81"/>
      <c r="E157" s="19"/>
      <c r="F157" s="19"/>
      <c r="G157" s="19"/>
      <c r="H157" s="19"/>
      <c r="I157" s="44"/>
      <c r="J157" s="44"/>
    </row>
    <row r="158" ht="15.75" customHeight="1">
      <c r="A158" s="83"/>
      <c r="B158" s="44"/>
      <c r="C158" s="44"/>
      <c r="D158" s="81"/>
      <c r="E158" s="19"/>
      <c r="F158" s="19"/>
      <c r="G158" s="19"/>
      <c r="H158" s="19"/>
      <c r="I158" s="44"/>
      <c r="J158" s="44"/>
    </row>
    <row r="159" ht="15.75" customHeight="1">
      <c r="A159" s="83"/>
      <c r="B159" s="44"/>
      <c r="C159" s="44"/>
      <c r="D159" s="81"/>
      <c r="E159" s="19"/>
      <c r="F159" s="19"/>
      <c r="G159" s="19"/>
      <c r="H159" s="19"/>
      <c r="I159" s="44"/>
      <c r="J159" s="44"/>
    </row>
    <row r="160" ht="15.75" customHeight="1">
      <c r="A160" s="83"/>
      <c r="B160" s="44"/>
      <c r="C160" s="44"/>
      <c r="D160" s="81"/>
      <c r="E160" s="19"/>
      <c r="F160" s="19"/>
      <c r="G160" s="19"/>
      <c r="H160" s="19"/>
      <c r="I160" s="44"/>
      <c r="J160" s="44"/>
    </row>
    <row r="161" ht="15.75" customHeight="1">
      <c r="A161" s="83"/>
      <c r="B161" s="44"/>
      <c r="C161" s="44"/>
      <c r="D161" s="81"/>
      <c r="E161" s="19"/>
      <c r="F161" s="19"/>
      <c r="G161" s="19"/>
      <c r="H161" s="19"/>
      <c r="I161" s="44"/>
      <c r="J161" s="44"/>
    </row>
    <row r="162" ht="15.75" customHeight="1">
      <c r="A162" s="83"/>
      <c r="B162" s="44"/>
      <c r="C162" s="44"/>
      <c r="D162" s="81"/>
      <c r="E162" s="19"/>
      <c r="F162" s="19"/>
      <c r="G162" s="19"/>
      <c r="H162" s="19"/>
      <c r="I162" s="44"/>
      <c r="J162" s="44"/>
    </row>
    <row r="163" ht="15.75" customHeight="1">
      <c r="A163" s="83"/>
      <c r="B163" s="44"/>
      <c r="C163" s="44"/>
      <c r="D163" s="81"/>
      <c r="E163" s="19"/>
      <c r="F163" s="19"/>
      <c r="G163" s="19"/>
      <c r="H163" s="19"/>
      <c r="I163" s="44"/>
      <c r="J163" s="44"/>
    </row>
    <row r="164" ht="15.75" customHeight="1">
      <c r="A164" s="83"/>
      <c r="B164" s="44"/>
      <c r="C164" s="44"/>
      <c r="D164" s="81"/>
      <c r="E164" s="19"/>
      <c r="F164" s="19"/>
      <c r="G164" s="19"/>
      <c r="H164" s="19"/>
      <c r="I164" s="44"/>
      <c r="J164" s="44"/>
    </row>
    <row r="165" ht="15.75" customHeight="1">
      <c r="A165" s="83"/>
      <c r="B165" s="44"/>
      <c r="C165" s="44"/>
      <c r="D165" s="81"/>
      <c r="E165" s="19"/>
      <c r="F165" s="19"/>
      <c r="G165" s="19"/>
      <c r="H165" s="19"/>
      <c r="I165" s="44"/>
      <c r="J165" s="44"/>
    </row>
    <row r="166" ht="15.75" customHeight="1">
      <c r="A166" s="83"/>
      <c r="B166" s="44"/>
      <c r="C166" s="44"/>
      <c r="D166" s="81"/>
      <c r="E166" s="19"/>
      <c r="F166" s="19"/>
      <c r="G166" s="19"/>
      <c r="H166" s="19"/>
      <c r="I166" s="44"/>
      <c r="J166" s="44"/>
    </row>
    <row r="167" ht="15.75" customHeight="1">
      <c r="A167" s="83"/>
      <c r="B167" s="44"/>
      <c r="C167" s="44"/>
      <c r="D167" s="81"/>
      <c r="E167" s="19"/>
      <c r="F167" s="19"/>
      <c r="G167" s="19"/>
      <c r="H167" s="19"/>
      <c r="I167" s="44"/>
      <c r="J167" s="44"/>
    </row>
    <row r="168" ht="15.75" customHeight="1">
      <c r="A168" s="83"/>
      <c r="B168" s="44"/>
      <c r="C168" s="44"/>
      <c r="D168" s="81"/>
      <c r="E168" s="19"/>
      <c r="F168" s="19"/>
      <c r="G168" s="19"/>
      <c r="H168" s="19"/>
      <c r="I168" s="44"/>
      <c r="J168" s="44"/>
    </row>
    <row r="169" ht="15.75" customHeight="1">
      <c r="A169" s="83"/>
      <c r="B169" s="44"/>
      <c r="C169" s="44"/>
      <c r="D169" s="81"/>
      <c r="E169" s="19"/>
      <c r="F169" s="19"/>
      <c r="G169" s="19"/>
      <c r="H169" s="19"/>
      <c r="I169" s="44"/>
      <c r="J169" s="44"/>
    </row>
    <row r="170" ht="15.75" customHeight="1">
      <c r="A170" s="83"/>
      <c r="B170" s="44"/>
      <c r="C170" s="44"/>
      <c r="D170" s="81"/>
      <c r="E170" s="19"/>
      <c r="F170" s="19"/>
      <c r="G170" s="19"/>
      <c r="H170" s="19"/>
      <c r="I170" s="44"/>
      <c r="J170" s="44"/>
    </row>
    <row r="171" ht="15.75" customHeight="1">
      <c r="A171" s="83"/>
      <c r="B171" s="44"/>
      <c r="C171" s="44"/>
      <c r="D171" s="81"/>
      <c r="E171" s="19"/>
      <c r="F171" s="19"/>
      <c r="G171" s="19"/>
      <c r="H171" s="19"/>
      <c r="I171" s="44"/>
      <c r="J171" s="44"/>
    </row>
    <row r="172" ht="15.75" customHeight="1">
      <c r="A172" s="83"/>
      <c r="B172" s="44"/>
      <c r="C172" s="44"/>
      <c r="D172" s="81"/>
      <c r="E172" s="19"/>
      <c r="F172" s="19"/>
      <c r="G172" s="19"/>
      <c r="H172" s="19"/>
      <c r="I172" s="44"/>
      <c r="J172" s="44"/>
    </row>
    <row r="173" ht="15.75" customHeight="1">
      <c r="A173" s="83"/>
      <c r="B173" s="44"/>
      <c r="C173" s="44"/>
      <c r="D173" s="81"/>
      <c r="E173" s="19"/>
      <c r="F173" s="19"/>
      <c r="G173" s="19"/>
      <c r="H173" s="19"/>
      <c r="I173" s="44"/>
      <c r="J173" s="44"/>
    </row>
    <row r="174" ht="15.75" customHeight="1">
      <c r="A174" s="83"/>
      <c r="B174" s="44"/>
      <c r="C174" s="44"/>
      <c r="D174" s="81"/>
      <c r="E174" s="19"/>
      <c r="F174" s="19"/>
      <c r="G174" s="19"/>
      <c r="H174" s="19"/>
      <c r="I174" s="44"/>
      <c r="J174" s="44"/>
    </row>
    <row r="175" ht="15.75" customHeight="1">
      <c r="A175" s="83"/>
      <c r="B175" s="44"/>
      <c r="C175" s="44"/>
      <c r="D175" s="81"/>
      <c r="E175" s="19"/>
      <c r="F175" s="19"/>
      <c r="G175" s="19"/>
      <c r="H175" s="19"/>
      <c r="I175" s="44"/>
      <c r="J175" s="44"/>
    </row>
    <row r="176" ht="15.75" customHeight="1">
      <c r="A176" s="83"/>
      <c r="B176" s="44"/>
      <c r="C176" s="44"/>
      <c r="D176" s="81"/>
      <c r="E176" s="19"/>
      <c r="F176" s="19"/>
      <c r="G176" s="19"/>
      <c r="H176" s="19"/>
      <c r="I176" s="44"/>
      <c r="J176" s="44"/>
    </row>
    <row r="177" ht="15.75" customHeight="1">
      <c r="A177" s="83"/>
      <c r="B177" s="44"/>
      <c r="C177" s="44"/>
      <c r="D177" s="81"/>
      <c r="E177" s="19"/>
      <c r="F177" s="19"/>
      <c r="G177" s="19"/>
      <c r="H177" s="19"/>
      <c r="I177" s="44"/>
      <c r="J177" s="44"/>
    </row>
    <row r="178" ht="15.75" customHeight="1">
      <c r="A178" s="83"/>
      <c r="B178" s="44"/>
      <c r="C178" s="44"/>
      <c r="D178" s="81"/>
      <c r="E178" s="19"/>
      <c r="F178" s="19"/>
      <c r="G178" s="19"/>
      <c r="H178" s="19"/>
      <c r="I178" s="44"/>
      <c r="J178" s="44"/>
    </row>
    <row r="179" ht="15.75" customHeight="1">
      <c r="A179" s="83"/>
      <c r="B179" s="44"/>
      <c r="C179" s="44"/>
      <c r="D179" s="81"/>
      <c r="E179" s="19"/>
      <c r="F179" s="19"/>
      <c r="G179" s="19"/>
      <c r="H179" s="19"/>
      <c r="I179" s="44"/>
      <c r="J179" s="44"/>
    </row>
    <row r="180" ht="15.75" customHeight="1">
      <c r="A180" s="83"/>
      <c r="B180" s="44"/>
      <c r="C180" s="44"/>
      <c r="D180" s="81"/>
      <c r="E180" s="19"/>
      <c r="F180" s="19"/>
      <c r="G180" s="19"/>
      <c r="H180" s="19"/>
      <c r="I180" s="44"/>
      <c r="J180" s="44"/>
    </row>
    <row r="181" ht="15.75" customHeight="1">
      <c r="A181" s="83"/>
      <c r="B181" s="44"/>
      <c r="C181" s="44"/>
      <c r="D181" s="81"/>
      <c r="E181" s="19"/>
      <c r="F181" s="19"/>
      <c r="G181" s="19"/>
      <c r="H181" s="19"/>
      <c r="I181" s="44"/>
      <c r="J181" s="44"/>
    </row>
    <row r="182" ht="15.75" customHeight="1">
      <c r="A182" s="83"/>
      <c r="B182" s="44"/>
      <c r="C182" s="44"/>
      <c r="D182" s="81"/>
      <c r="E182" s="19"/>
      <c r="F182" s="19"/>
      <c r="G182" s="19"/>
      <c r="H182" s="19"/>
      <c r="I182" s="44"/>
      <c r="J182" s="44"/>
    </row>
    <row r="183" ht="15.75" customHeight="1">
      <c r="A183" s="83"/>
      <c r="B183" s="44"/>
      <c r="C183" s="44"/>
      <c r="D183" s="81"/>
      <c r="E183" s="19"/>
      <c r="F183" s="19"/>
      <c r="G183" s="19"/>
      <c r="H183" s="19"/>
      <c r="I183" s="44"/>
      <c r="J183" s="44"/>
    </row>
    <row r="184" ht="15.75" customHeight="1">
      <c r="A184" s="83"/>
      <c r="B184" s="44"/>
      <c r="C184" s="44"/>
      <c r="D184" s="81"/>
      <c r="E184" s="19"/>
      <c r="F184" s="19"/>
      <c r="G184" s="19"/>
      <c r="H184" s="19"/>
      <c r="I184" s="44"/>
      <c r="J184" s="44"/>
    </row>
    <row r="185" ht="15.75" customHeight="1">
      <c r="A185" s="83"/>
      <c r="B185" s="44"/>
      <c r="C185" s="44"/>
      <c r="D185" s="81"/>
      <c r="E185" s="19"/>
      <c r="F185" s="19"/>
      <c r="G185" s="19"/>
      <c r="H185" s="19"/>
      <c r="I185" s="44"/>
      <c r="J185" s="44"/>
    </row>
    <row r="186" ht="15.75" customHeight="1">
      <c r="A186" s="83"/>
      <c r="B186" s="44"/>
      <c r="C186" s="44"/>
      <c r="D186" s="81"/>
      <c r="E186" s="19"/>
      <c r="F186" s="19"/>
      <c r="G186" s="19"/>
      <c r="H186" s="19"/>
      <c r="I186" s="44"/>
      <c r="J186" s="44"/>
    </row>
    <row r="187" ht="15.75" customHeight="1">
      <c r="A187" s="83"/>
      <c r="B187" s="44"/>
      <c r="C187" s="44"/>
      <c r="D187" s="81"/>
      <c r="E187" s="19"/>
      <c r="F187" s="19"/>
      <c r="G187" s="19"/>
      <c r="H187" s="19"/>
      <c r="I187" s="44"/>
      <c r="J187" s="44"/>
    </row>
    <row r="188" ht="15.75" customHeight="1">
      <c r="A188" s="83"/>
      <c r="B188" s="44"/>
      <c r="C188" s="44"/>
      <c r="D188" s="81"/>
      <c r="E188" s="19"/>
      <c r="F188" s="19"/>
      <c r="G188" s="19"/>
      <c r="H188" s="19"/>
      <c r="I188" s="44"/>
      <c r="J188" s="44"/>
    </row>
    <row r="189" ht="15.75" customHeight="1">
      <c r="A189" s="83"/>
      <c r="B189" s="44"/>
      <c r="C189" s="44"/>
      <c r="D189" s="81"/>
      <c r="E189" s="19"/>
      <c r="F189" s="19"/>
      <c r="G189" s="19"/>
      <c r="H189" s="19"/>
      <c r="I189" s="44"/>
      <c r="J189" s="44"/>
    </row>
    <row r="190" ht="15.75" customHeight="1">
      <c r="A190" s="83"/>
      <c r="B190" s="44"/>
      <c r="C190" s="44"/>
      <c r="D190" s="81"/>
      <c r="E190" s="19"/>
      <c r="F190" s="19"/>
      <c r="G190" s="19"/>
      <c r="H190" s="19"/>
      <c r="I190" s="44"/>
      <c r="J190" s="44"/>
    </row>
    <row r="191" ht="15.75" customHeight="1">
      <c r="A191" s="83"/>
      <c r="B191" s="44"/>
      <c r="C191" s="44"/>
      <c r="D191" s="81"/>
      <c r="E191" s="19"/>
      <c r="F191" s="19"/>
      <c r="G191" s="19"/>
      <c r="H191" s="19"/>
      <c r="I191" s="44"/>
      <c r="J191" s="44"/>
    </row>
    <row r="192" ht="15.75" customHeight="1">
      <c r="A192" s="83"/>
      <c r="B192" s="44"/>
      <c r="C192" s="44"/>
      <c r="D192" s="81"/>
      <c r="E192" s="19"/>
      <c r="F192" s="19"/>
      <c r="G192" s="19"/>
      <c r="H192" s="19"/>
      <c r="I192" s="44"/>
      <c r="J192" s="44"/>
    </row>
    <row r="193" ht="15.75" customHeight="1">
      <c r="A193" s="83"/>
      <c r="B193" s="44"/>
      <c r="C193" s="44"/>
      <c r="D193" s="81"/>
      <c r="E193" s="19"/>
      <c r="F193" s="19"/>
      <c r="G193" s="19"/>
      <c r="H193" s="19"/>
      <c r="I193" s="44"/>
      <c r="J193" s="44"/>
    </row>
    <row r="194" ht="15.75" customHeight="1">
      <c r="A194" s="83"/>
      <c r="B194" s="44"/>
      <c r="C194" s="44"/>
      <c r="D194" s="81"/>
      <c r="E194" s="19"/>
      <c r="F194" s="19"/>
      <c r="G194" s="19"/>
      <c r="H194" s="19"/>
      <c r="I194" s="44"/>
      <c r="J194" s="44"/>
    </row>
    <row r="195" ht="15.75" customHeight="1">
      <c r="A195" s="83"/>
      <c r="B195" s="44"/>
      <c r="C195" s="44"/>
      <c r="D195" s="81"/>
      <c r="E195" s="19"/>
      <c r="F195" s="19"/>
      <c r="G195" s="19"/>
      <c r="H195" s="19"/>
      <c r="I195" s="44"/>
      <c r="J195" s="44"/>
    </row>
    <row r="196" ht="15.75" customHeight="1">
      <c r="A196" s="83"/>
      <c r="B196" s="44"/>
      <c r="C196" s="44"/>
      <c r="D196" s="81"/>
      <c r="E196" s="19"/>
      <c r="F196" s="19"/>
      <c r="G196" s="19"/>
      <c r="H196" s="19"/>
      <c r="I196" s="44"/>
      <c r="J196" s="44"/>
    </row>
    <row r="197" ht="15.75" customHeight="1">
      <c r="A197" s="83"/>
      <c r="B197" s="44"/>
      <c r="C197" s="44"/>
      <c r="D197" s="81"/>
      <c r="E197" s="19"/>
      <c r="F197" s="19"/>
      <c r="G197" s="19"/>
      <c r="H197" s="19"/>
      <c r="I197" s="44"/>
      <c r="J197" s="44"/>
    </row>
    <row r="198" ht="15.75" customHeight="1">
      <c r="A198" s="83"/>
      <c r="B198" s="44"/>
      <c r="C198" s="44"/>
      <c r="D198" s="81"/>
      <c r="E198" s="19"/>
      <c r="F198" s="19"/>
      <c r="G198" s="19"/>
      <c r="H198" s="19"/>
      <c r="I198" s="44"/>
      <c r="J198" s="44"/>
    </row>
    <row r="199" ht="15.75" customHeight="1">
      <c r="A199" s="83"/>
      <c r="B199" s="44"/>
      <c r="C199" s="44"/>
      <c r="D199" s="81"/>
      <c r="E199" s="19"/>
      <c r="F199" s="19"/>
      <c r="G199" s="19"/>
      <c r="H199" s="19"/>
      <c r="I199" s="44"/>
      <c r="J199" s="44"/>
    </row>
    <row r="200" ht="15.75" customHeight="1">
      <c r="A200" s="83"/>
      <c r="B200" s="44"/>
      <c r="C200" s="44"/>
      <c r="D200" s="81"/>
      <c r="E200" s="19"/>
      <c r="F200" s="19"/>
      <c r="G200" s="19"/>
      <c r="H200" s="19"/>
      <c r="I200" s="44"/>
      <c r="J200" s="44"/>
    </row>
    <row r="201" ht="15.75" customHeight="1">
      <c r="A201" s="83"/>
      <c r="B201" s="44"/>
      <c r="C201" s="44"/>
      <c r="D201" s="81"/>
      <c r="E201" s="19"/>
      <c r="F201" s="19"/>
      <c r="G201" s="19"/>
      <c r="H201" s="19"/>
      <c r="I201" s="44"/>
      <c r="J201" s="4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</sheetData>
  <mergeCells count="1">
    <mergeCell ref="A1:I1"/>
  </mergeCells>
  <dataValidations>
    <dataValidation type="list" allowBlank="1" sqref="A4:A998">
      <formula1>"2026-01,2026-02,2026-03"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4" max="4" width="80.0"/>
  </cols>
  <sheetData>
    <row r="1">
      <c r="A1" s="84" t="s">
        <v>318</v>
      </c>
      <c r="B1" s="37"/>
      <c r="C1" s="37"/>
      <c r="D1" s="37"/>
      <c r="E1" s="28"/>
      <c r="F1" s="85"/>
      <c r="G1" s="85"/>
    </row>
    <row r="2">
      <c r="A2" s="85"/>
      <c r="B2" s="85"/>
      <c r="C2" s="85"/>
      <c r="D2" s="85"/>
      <c r="E2" s="85"/>
      <c r="F2" s="85"/>
      <c r="G2" s="85"/>
    </row>
    <row r="3">
      <c r="A3" s="41" t="s">
        <v>281</v>
      </c>
      <c r="B3" s="41" t="s">
        <v>158</v>
      </c>
      <c r="C3" s="41" t="s">
        <v>319</v>
      </c>
      <c r="D3" s="41" t="s">
        <v>320</v>
      </c>
      <c r="E3" s="41" t="s">
        <v>289</v>
      </c>
      <c r="F3" s="41" t="s">
        <v>321</v>
      </c>
      <c r="G3" s="41" t="s">
        <v>290</v>
      </c>
    </row>
    <row r="4">
      <c r="A4" s="17">
        <v>46023.0</v>
      </c>
      <c r="B4" s="58" t="s">
        <v>214</v>
      </c>
      <c r="C4" s="58" t="s">
        <v>322</v>
      </c>
      <c r="D4" s="59" t="s">
        <v>323</v>
      </c>
      <c r="E4" s="66"/>
      <c r="F4" s="86" t="s">
        <v>324</v>
      </c>
      <c r="G4" s="87" t="str">
        <f>IF($B4="","",IFERROR(VLOOKUP($B4,Tiendas!$A$4:$B$183,2,FALSE),""))</f>
        <v>SEBASTIAN</v>
      </c>
    </row>
    <row r="5">
      <c r="A5" s="17"/>
      <c r="B5" s="58"/>
      <c r="C5" s="58"/>
      <c r="D5" s="59"/>
      <c r="E5" s="66"/>
      <c r="F5" s="66"/>
      <c r="G5" s="87" t="str">
        <f>IF($B5="","",IFERROR(VLOOKUP($B5,Tiendas!$A$4:$B$183,2,FALSE),""))</f>
        <v/>
      </c>
    </row>
    <row r="6">
      <c r="A6" s="17"/>
      <c r="B6" s="58"/>
      <c r="C6" s="58"/>
      <c r="D6" s="59"/>
      <c r="E6" s="66"/>
      <c r="F6" s="66"/>
      <c r="G6" s="87" t="str">
        <f>IF($B6="","",IFERROR(VLOOKUP($B6,Tiendas!$A$4:$B$183,2,FALSE),""))</f>
        <v/>
      </c>
    </row>
    <row r="7">
      <c r="A7" s="17"/>
      <c r="B7" s="58"/>
      <c r="C7" s="58"/>
      <c r="D7" s="59"/>
      <c r="E7" s="66"/>
      <c r="F7" s="66"/>
      <c r="G7" s="87" t="str">
        <f>IF($B7="","",IFERROR(VLOOKUP($B7,Tiendas!$A$4:$B$183,2,FALSE),""))</f>
        <v/>
      </c>
    </row>
    <row r="8">
      <c r="A8" s="17"/>
      <c r="B8" s="58"/>
      <c r="C8" s="58"/>
      <c r="D8" s="59"/>
      <c r="E8" s="66"/>
      <c r="F8" s="66"/>
      <c r="G8" s="87" t="str">
        <f>IF($B8="","",IFERROR(VLOOKUP($B8,Tiendas!$A$4:$B$183,2,FALSE),""))</f>
        <v/>
      </c>
    </row>
    <row r="9">
      <c r="A9" s="17"/>
      <c r="B9" s="58"/>
      <c r="C9" s="58"/>
      <c r="D9" s="59"/>
      <c r="E9" s="66"/>
      <c r="F9" s="66"/>
      <c r="G9" s="87" t="str">
        <f>IF($B9="","",IFERROR(VLOOKUP($B9,Tiendas!$A$4:$B$183,2,FALSE),""))</f>
        <v/>
      </c>
    </row>
    <row r="10">
      <c r="A10" s="17"/>
      <c r="B10" s="58"/>
      <c r="C10" s="58"/>
      <c r="D10" s="59"/>
      <c r="E10" s="66"/>
      <c r="F10" s="66"/>
      <c r="G10" s="87" t="str">
        <f>IF($B10="","",IFERROR(VLOOKUP($B10,Tiendas!$A$4:$B$183,2,FALSE),""))</f>
        <v/>
      </c>
    </row>
    <row r="11">
      <c r="A11" s="17"/>
      <c r="B11" s="58"/>
      <c r="C11" s="58"/>
      <c r="D11" s="59"/>
      <c r="E11" s="66"/>
      <c r="F11" s="66"/>
      <c r="G11" s="87" t="str">
        <f>IF($B11="","",IFERROR(VLOOKUP($B11,Tiendas!$A$4:$B$183,2,FALSE),""))</f>
        <v/>
      </c>
    </row>
    <row r="12">
      <c r="A12" s="17"/>
      <c r="B12" s="58"/>
      <c r="C12" s="58"/>
      <c r="D12" s="59"/>
      <c r="E12" s="66"/>
      <c r="F12" s="66"/>
      <c r="G12" s="87" t="str">
        <f>IF($B12="","",IFERROR(VLOOKUP($B12,Tiendas!$A$4:$B$183,2,FALSE),""))</f>
        <v/>
      </c>
    </row>
    <row r="13">
      <c r="A13" s="17"/>
      <c r="B13" s="58"/>
      <c r="C13" s="58"/>
      <c r="D13" s="59"/>
      <c r="E13" s="66"/>
      <c r="F13" s="66"/>
      <c r="G13" s="87" t="str">
        <f>IF($B13="","",IFERROR(VLOOKUP($B13,Tiendas!$A$4:$B$183,2,FALSE),""))</f>
        <v/>
      </c>
    </row>
    <row r="14">
      <c r="A14" s="17"/>
      <c r="B14" s="58"/>
      <c r="C14" s="58"/>
      <c r="D14" s="59"/>
      <c r="E14" s="66"/>
      <c r="F14" s="66"/>
      <c r="G14" s="87" t="str">
        <f>IF($B14="","",IFERROR(VLOOKUP($B14,Tiendas!$A$4:$B$183,2,FALSE),""))</f>
        <v/>
      </c>
    </row>
    <row r="15">
      <c r="A15" s="17"/>
      <c r="B15" s="58"/>
      <c r="C15" s="58"/>
      <c r="D15" s="59"/>
      <c r="E15" s="66"/>
      <c r="F15" s="66"/>
      <c r="G15" s="87" t="str">
        <f>IF($B15="","",IFERROR(VLOOKUP($B15,Tiendas!$A$4:$B$183,2,FALSE),""))</f>
        <v/>
      </c>
    </row>
    <row r="16">
      <c r="A16" s="17"/>
      <c r="B16" s="58"/>
      <c r="C16" s="58"/>
      <c r="D16" s="59"/>
      <c r="E16" s="66"/>
      <c r="F16" s="66"/>
      <c r="G16" s="87" t="str">
        <f>IF($B16="","",IFERROR(VLOOKUP($B16,Tiendas!$A$4:$B$183,2,FALSE),""))</f>
        <v/>
      </c>
    </row>
    <row r="17">
      <c r="A17" s="17"/>
      <c r="B17" s="58"/>
      <c r="C17" s="58"/>
      <c r="D17" s="59"/>
      <c r="E17" s="66"/>
      <c r="F17" s="66"/>
      <c r="G17" s="87" t="str">
        <f>IF($B17="","",IFERROR(VLOOKUP($B17,Tiendas!$A$4:$B$183,2,FALSE),""))</f>
        <v/>
      </c>
    </row>
    <row r="18">
      <c r="A18" s="17"/>
      <c r="B18" s="58"/>
      <c r="C18" s="58"/>
      <c r="D18" s="59"/>
      <c r="E18" s="66"/>
      <c r="F18" s="66"/>
      <c r="G18" s="87" t="str">
        <f>IF($B18="","",IFERROR(VLOOKUP($B18,Tiendas!$A$4:$B$183,2,FALSE),""))</f>
        <v/>
      </c>
    </row>
    <row r="19">
      <c r="A19" s="17"/>
      <c r="B19" s="58"/>
      <c r="C19" s="58"/>
      <c r="D19" s="59"/>
      <c r="E19" s="66"/>
      <c r="F19" s="66"/>
      <c r="G19" s="87" t="str">
        <f>IF($B19="","",IFERROR(VLOOKUP($B19,Tiendas!$A$4:$B$183,2,FALSE),""))</f>
        <v/>
      </c>
    </row>
    <row r="20">
      <c r="A20" s="17"/>
      <c r="B20" s="58"/>
      <c r="C20" s="58"/>
      <c r="D20" s="59"/>
      <c r="E20" s="66"/>
      <c r="F20" s="66"/>
      <c r="G20" s="87" t="str">
        <f>IF($B20="","",IFERROR(VLOOKUP($B20,Tiendas!$A$4:$B$183,2,FALSE),""))</f>
        <v/>
      </c>
    </row>
    <row r="21">
      <c r="A21" s="17"/>
      <c r="B21" s="58"/>
      <c r="C21" s="58"/>
      <c r="D21" s="59"/>
      <c r="E21" s="66"/>
      <c r="F21" s="66"/>
      <c r="G21" s="87" t="str">
        <f>IF($B21="","",IFERROR(VLOOKUP($B21,Tiendas!$A$4:$B$183,2,FALSE),""))</f>
        <v/>
      </c>
    </row>
    <row r="22">
      <c r="A22" s="17"/>
      <c r="B22" s="58"/>
      <c r="C22" s="58"/>
      <c r="D22" s="59"/>
      <c r="E22" s="66"/>
      <c r="F22" s="66"/>
      <c r="G22" s="87" t="str">
        <f>IF($B22="","",IFERROR(VLOOKUP($B22,Tiendas!$A$4:$B$183,2,FALSE),""))</f>
        <v/>
      </c>
    </row>
    <row r="23">
      <c r="A23" s="17"/>
      <c r="B23" s="58"/>
      <c r="C23" s="58"/>
      <c r="D23" s="59"/>
      <c r="E23" s="66"/>
      <c r="F23" s="66"/>
      <c r="G23" s="87" t="str">
        <f>IF($B23="","",IFERROR(VLOOKUP($B23,Tiendas!$A$4:$B$183,2,FALSE),""))</f>
        <v/>
      </c>
    </row>
    <row r="24">
      <c r="A24" s="17"/>
      <c r="B24" s="58"/>
      <c r="C24" s="58"/>
      <c r="D24" s="59"/>
      <c r="E24" s="66"/>
      <c r="F24" s="66"/>
      <c r="G24" s="87" t="str">
        <f>IF($B24="","",IFERROR(VLOOKUP($B24,Tiendas!$A$4:$B$183,2,FALSE),""))</f>
        <v/>
      </c>
    </row>
    <row r="25">
      <c r="A25" s="17"/>
      <c r="B25" s="58"/>
      <c r="C25" s="58"/>
      <c r="D25" s="59"/>
      <c r="E25" s="66"/>
      <c r="F25" s="66"/>
      <c r="G25" s="87" t="str">
        <f>IF($B25="","",IFERROR(VLOOKUP($B25,Tiendas!$A$4:$B$183,2,FALSE),""))</f>
        <v/>
      </c>
    </row>
    <row r="26">
      <c r="A26" s="17"/>
      <c r="B26" s="58"/>
      <c r="C26" s="58"/>
      <c r="D26" s="59"/>
      <c r="E26" s="66"/>
      <c r="F26" s="66"/>
      <c r="G26" s="87" t="str">
        <f>IF($B26="","",IFERROR(VLOOKUP($B26,Tiendas!$A$4:$B$183,2,FALSE),""))</f>
        <v/>
      </c>
    </row>
  </sheetData>
  <mergeCells count="1">
    <mergeCell ref="A1: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8.0"/>
    <col customWidth="1" min="3" max="3" width="16.0"/>
    <col customWidth="1" min="4" max="4" width="30.0"/>
    <col customWidth="1" min="5" max="26" width="8.86"/>
  </cols>
  <sheetData>
    <row r="1" ht="21.75" customHeight="1">
      <c r="A1" s="1" t="s">
        <v>325</v>
      </c>
      <c r="B1" s="2"/>
      <c r="C1" s="2"/>
      <c r="D1" s="2"/>
    </row>
    <row r="2">
      <c r="A2" s="3"/>
      <c r="B2" s="3"/>
      <c r="C2" s="3"/>
      <c r="D2" s="3"/>
    </row>
    <row r="3" ht="17.25" customHeight="1">
      <c r="A3" s="88" t="s">
        <v>282</v>
      </c>
      <c r="B3" s="88" t="s">
        <v>284</v>
      </c>
      <c r="C3" s="88" t="s">
        <v>285</v>
      </c>
      <c r="D3" s="88" t="s">
        <v>149</v>
      </c>
    </row>
    <row r="4">
      <c r="A4" s="7" t="s">
        <v>308</v>
      </c>
      <c r="B4" s="55">
        <v>5.0</v>
      </c>
      <c r="C4" s="55">
        <v>0.0</v>
      </c>
      <c r="D4" s="7"/>
    </row>
    <row r="5">
      <c r="A5" s="7" t="s">
        <v>326</v>
      </c>
      <c r="B5" s="55">
        <v>8.0</v>
      </c>
      <c r="C5" s="55">
        <v>0.0</v>
      </c>
      <c r="D5" s="7"/>
    </row>
    <row r="6">
      <c r="A6" s="7" t="s">
        <v>28</v>
      </c>
      <c r="B6" s="55">
        <v>8.0</v>
      </c>
      <c r="C6" s="55">
        <v>4.0</v>
      </c>
      <c r="D6" s="7"/>
    </row>
    <row r="7">
      <c r="A7" s="7" t="s">
        <v>53</v>
      </c>
      <c r="B7" s="55">
        <v>10.0</v>
      </c>
      <c r="C7" s="55">
        <v>4.0</v>
      </c>
      <c r="D7" s="7"/>
    </row>
    <row r="8">
      <c r="A8" s="7" t="s">
        <v>30</v>
      </c>
      <c r="B8" s="55">
        <v>10.0</v>
      </c>
      <c r="C8" s="55">
        <v>4.5</v>
      </c>
      <c r="D8" s="7"/>
    </row>
    <row r="9">
      <c r="A9" s="7" t="s">
        <v>23</v>
      </c>
      <c r="B9" s="55">
        <v>10.0</v>
      </c>
      <c r="C9" s="55">
        <v>4.5</v>
      </c>
      <c r="D9" s="7"/>
    </row>
    <row r="10">
      <c r="A10" s="7" t="s">
        <v>55</v>
      </c>
      <c r="B10" s="55">
        <v>10.0</v>
      </c>
      <c r="C10" s="55">
        <v>4.0</v>
      </c>
      <c r="D10" s="7"/>
    </row>
    <row r="11">
      <c r="A11" s="7" t="s">
        <v>57</v>
      </c>
      <c r="B11" s="55">
        <v>10.0</v>
      </c>
      <c r="C11" s="55">
        <v>4.5</v>
      </c>
      <c r="D11" s="7"/>
    </row>
    <row r="12">
      <c r="A12" s="7" t="s">
        <v>24</v>
      </c>
      <c r="B12" s="55">
        <v>10.0</v>
      </c>
      <c r="C12" s="55">
        <v>4.5</v>
      </c>
      <c r="D12" s="7"/>
    </row>
    <row r="13">
      <c r="A13" s="7" t="s">
        <v>69</v>
      </c>
      <c r="B13" s="55">
        <v>10.0</v>
      </c>
      <c r="C13" s="55">
        <v>4.0</v>
      </c>
      <c r="D13" s="7"/>
    </row>
    <row r="14">
      <c r="A14" s="7" t="s">
        <v>58</v>
      </c>
      <c r="B14" s="55">
        <v>10.0</v>
      </c>
      <c r="C14" s="55">
        <v>4.0</v>
      </c>
      <c r="D14" s="7"/>
    </row>
    <row r="15">
      <c r="A15" s="7" t="s">
        <v>70</v>
      </c>
      <c r="B15" s="55">
        <v>10.0</v>
      </c>
      <c r="C15" s="55">
        <v>4.0</v>
      </c>
      <c r="D15" s="7"/>
    </row>
    <row r="16">
      <c r="A16" s="7" t="s">
        <v>60</v>
      </c>
      <c r="B16" s="55">
        <v>10.0</v>
      </c>
      <c r="C16" s="55">
        <v>4.0</v>
      </c>
      <c r="D16" s="7"/>
    </row>
    <row r="17">
      <c r="A17" s="7" t="s">
        <v>61</v>
      </c>
      <c r="B17" s="55">
        <v>10.0</v>
      </c>
      <c r="C17" s="55">
        <v>4.5</v>
      </c>
      <c r="D17" s="7"/>
    </row>
    <row r="18">
      <c r="A18" s="7" t="s">
        <v>38</v>
      </c>
      <c r="B18" s="55">
        <v>10.0</v>
      </c>
      <c r="C18" s="55">
        <v>4.0</v>
      </c>
      <c r="D18" s="7"/>
    </row>
    <row r="19">
      <c r="A19" s="7" t="s">
        <v>40</v>
      </c>
      <c r="B19" s="55">
        <v>10.0</v>
      </c>
      <c r="C19" s="55">
        <v>4.0</v>
      </c>
      <c r="D19" s="7"/>
    </row>
    <row r="20">
      <c r="A20" s="7" t="s">
        <v>32</v>
      </c>
      <c r="B20" s="55">
        <v>10.0</v>
      </c>
      <c r="C20" s="55">
        <v>4.5</v>
      </c>
      <c r="D20" s="7"/>
    </row>
    <row r="21" ht="15.75" customHeight="1">
      <c r="A21" s="7" t="s">
        <v>62</v>
      </c>
      <c r="B21" s="55">
        <v>10.0</v>
      </c>
      <c r="C21" s="55">
        <v>4.5</v>
      </c>
      <c r="D21" s="7"/>
    </row>
    <row r="22" ht="15.75" customHeight="1">
      <c r="A22" s="7" t="s">
        <v>63</v>
      </c>
      <c r="B22" s="55">
        <v>10.0</v>
      </c>
      <c r="C22" s="55">
        <v>4.0</v>
      </c>
      <c r="D22" s="7"/>
    </row>
    <row r="23" ht="15.75" customHeight="1">
      <c r="A23" s="7" t="s">
        <v>64</v>
      </c>
      <c r="B23" s="55">
        <v>10.0</v>
      </c>
      <c r="C23" s="55">
        <v>4.5</v>
      </c>
      <c r="D23" s="7"/>
    </row>
    <row r="24" ht="15.75" customHeight="1">
      <c r="A24" s="7" t="s">
        <v>15</v>
      </c>
      <c r="B24" s="55">
        <v>10.0</v>
      </c>
      <c r="C24" s="55">
        <v>4.5</v>
      </c>
      <c r="D24" s="7"/>
    </row>
    <row r="25" ht="15.75" customHeight="1">
      <c r="A25" s="7" t="s">
        <v>71</v>
      </c>
      <c r="B25" s="55">
        <v>10.0</v>
      </c>
      <c r="C25" s="55">
        <v>4.5</v>
      </c>
      <c r="D25" s="7"/>
    </row>
    <row r="26" ht="15.75" customHeight="1">
      <c r="A26" s="7" t="s">
        <v>42</v>
      </c>
      <c r="B26" s="55">
        <v>10.0</v>
      </c>
      <c r="C26" s="55">
        <v>4.0</v>
      </c>
      <c r="D26" s="7"/>
    </row>
    <row r="27" ht="15.75" customHeight="1">
      <c r="A27" s="7" t="s">
        <v>26</v>
      </c>
      <c r="B27" s="55">
        <v>12.0</v>
      </c>
      <c r="C27" s="55">
        <v>5.0</v>
      </c>
      <c r="D27" s="7"/>
    </row>
    <row r="28" ht="15.75" customHeight="1">
      <c r="A28" s="7" t="s">
        <v>72</v>
      </c>
      <c r="B28" s="55">
        <v>12.0</v>
      </c>
      <c r="C28" s="55">
        <v>4.5</v>
      </c>
      <c r="D28" s="7"/>
    </row>
    <row r="29" ht="15.75" customHeight="1">
      <c r="A29" s="7" t="s">
        <v>65</v>
      </c>
      <c r="B29" s="55">
        <v>12.0</v>
      </c>
      <c r="C29" s="55">
        <v>4.5</v>
      </c>
      <c r="D29" s="7"/>
    </row>
    <row r="30" ht="15.75" customHeight="1">
      <c r="A30" s="7" t="s">
        <v>44</v>
      </c>
      <c r="B30" s="55">
        <v>12.0</v>
      </c>
      <c r="C30" s="55">
        <v>5.5</v>
      </c>
      <c r="D30" s="7"/>
    </row>
    <row r="31" ht="15.75" customHeight="1">
      <c r="A31" s="7" t="s">
        <v>66</v>
      </c>
      <c r="B31" s="55">
        <v>12.0</v>
      </c>
      <c r="C31" s="55">
        <v>4.5</v>
      </c>
      <c r="D31" s="7"/>
    </row>
    <row r="32" ht="15.75" customHeight="1">
      <c r="A32" s="7" t="s">
        <v>46</v>
      </c>
      <c r="B32" s="55">
        <v>12.0</v>
      </c>
      <c r="C32" s="55">
        <v>4.5</v>
      </c>
      <c r="D32" s="7"/>
    </row>
    <row r="33" ht="15.75" customHeight="1">
      <c r="A33" s="7" t="s">
        <v>34</v>
      </c>
      <c r="B33" s="55">
        <v>12.0</v>
      </c>
      <c r="C33" s="55">
        <v>4.5</v>
      </c>
      <c r="D33" s="7"/>
    </row>
    <row r="34" ht="15.75" customHeight="1">
      <c r="A34" s="7" t="s">
        <v>73</v>
      </c>
      <c r="B34" s="55">
        <v>12.0</v>
      </c>
      <c r="C34" s="55">
        <v>4.5</v>
      </c>
      <c r="D34" s="7"/>
    </row>
    <row r="35" ht="15.75" customHeight="1">
      <c r="A35" s="7" t="s">
        <v>74</v>
      </c>
      <c r="B35" s="55">
        <v>12.0</v>
      </c>
      <c r="C35" s="55">
        <v>5.5</v>
      </c>
      <c r="D35" s="7"/>
    </row>
    <row r="36" ht="15.75" customHeight="1">
      <c r="A36" s="7" t="s">
        <v>75</v>
      </c>
      <c r="B36" s="55">
        <v>12.0</v>
      </c>
      <c r="C36" s="55">
        <v>4.5</v>
      </c>
      <c r="D36" s="7"/>
    </row>
    <row r="37" ht="15.75" customHeight="1">
      <c r="A37" s="7" t="s">
        <v>76</v>
      </c>
      <c r="B37" s="55">
        <v>12.0</v>
      </c>
      <c r="C37" s="55">
        <v>4.5</v>
      </c>
      <c r="D37" s="7"/>
    </row>
    <row r="38" ht="15.75" customHeight="1">
      <c r="A38" s="7" t="s">
        <v>77</v>
      </c>
      <c r="B38" s="55">
        <v>12.0</v>
      </c>
      <c r="C38" s="55">
        <v>4.5</v>
      </c>
      <c r="D38" s="7"/>
    </row>
    <row r="39" ht="15.75" customHeight="1">
      <c r="A39" s="7" t="s">
        <v>36</v>
      </c>
      <c r="B39" s="55">
        <v>12.0</v>
      </c>
      <c r="C39" s="55">
        <v>4.5</v>
      </c>
      <c r="D39" s="7"/>
    </row>
    <row r="40" ht="15.75" customHeight="1">
      <c r="A40" s="7" t="s">
        <v>78</v>
      </c>
      <c r="B40" s="55">
        <v>12.0</v>
      </c>
      <c r="C40" s="55">
        <v>5.5</v>
      </c>
      <c r="D40" s="7"/>
    </row>
    <row r="41" ht="15.75" customHeight="1">
      <c r="A41" s="7" t="s">
        <v>47</v>
      </c>
      <c r="B41" s="55">
        <v>12.0</v>
      </c>
      <c r="C41" s="55">
        <v>5.5</v>
      </c>
      <c r="D41" s="7"/>
    </row>
    <row r="42" ht="15.75" customHeight="1">
      <c r="A42" s="7" t="s">
        <v>18</v>
      </c>
      <c r="B42" s="55">
        <v>12.0</v>
      </c>
      <c r="C42" s="55">
        <v>4.5</v>
      </c>
      <c r="D42" s="7"/>
    </row>
    <row r="43" ht="15.75" customHeight="1">
      <c r="A43" s="7" t="s">
        <v>21</v>
      </c>
      <c r="B43" s="55">
        <v>12.0</v>
      </c>
      <c r="C43" s="55">
        <v>4.5</v>
      </c>
      <c r="D43" s="7"/>
    </row>
    <row r="44" ht="15.75" customHeight="1">
      <c r="A44" s="7" t="s">
        <v>79</v>
      </c>
      <c r="B44" s="55">
        <v>12.0</v>
      </c>
      <c r="C44" s="55">
        <v>5.5</v>
      </c>
      <c r="D44" s="7"/>
    </row>
    <row r="45" ht="15.75" customHeight="1">
      <c r="A45" s="7" t="s">
        <v>49</v>
      </c>
      <c r="B45" s="55">
        <v>12.0</v>
      </c>
      <c r="C45" s="55">
        <v>5.5</v>
      </c>
      <c r="D45" s="7"/>
    </row>
    <row r="46" ht="15.75" customHeight="1">
      <c r="A46" s="7" t="s">
        <v>67</v>
      </c>
      <c r="B46" s="55">
        <v>12.0</v>
      </c>
      <c r="C46" s="55">
        <v>5.5</v>
      </c>
      <c r="D46" s="7"/>
    </row>
    <row r="47" ht="15.75" customHeight="1">
      <c r="A47" s="7" t="s">
        <v>51</v>
      </c>
      <c r="B47" s="55">
        <v>12.0</v>
      </c>
      <c r="C47" s="55">
        <v>5.5</v>
      </c>
      <c r="D47" s="7"/>
    </row>
    <row r="48" ht="15.75" customHeight="1">
      <c r="A48" s="7" t="s">
        <v>80</v>
      </c>
      <c r="B48" s="55">
        <v>14.0</v>
      </c>
      <c r="C48" s="55">
        <v>7.5</v>
      </c>
      <c r="D48" s="7"/>
    </row>
    <row r="49" ht="15.75" customHeight="1">
      <c r="A49" s="7" t="s">
        <v>81</v>
      </c>
      <c r="B49" s="55">
        <v>14.0</v>
      </c>
      <c r="C49" s="55">
        <v>8.5</v>
      </c>
      <c r="D49" s="7"/>
    </row>
    <row r="50" ht="15.75" customHeight="1">
      <c r="A50" s="7" t="s">
        <v>68</v>
      </c>
      <c r="B50" s="55">
        <v>14.0</v>
      </c>
      <c r="C50" s="55">
        <v>7.5</v>
      </c>
      <c r="D50" s="7"/>
    </row>
    <row r="51" ht="15.75" customHeight="1">
      <c r="A51" s="7" t="s">
        <v>82</v>
      </c>
      <c r="B51" s="55">
        <v>14.0</v>
      </c>
      <c r="C51" s="55">
        <v>8.5</v>
      </c>
      <c r="D51" s="7"/>
    </row>
    <row r="52" ht="15.75" customHeight="1">
      <c r="A52" s="7" t="s">
        <v>83</v>
      </c>
      <c r="B52" s="55">
        <v>17.0</v>
      </c>
      <c r="C52" s="55">
        <v>8.5</v>
      </c>
      <c r="D52" s="7"/>
    </row>
    <row r="53" ht="15.75" customHeight="1">
      <c r="A53" s="7" t="s">
        <v>84</v>
      </c>
      <c r="B53" s="55">
        <v>17.0</v>
      </c>
      <c r="C53" s="55">
        <v>7.5</v>
      </c>
      <c r="D53" s="7"/>
    </row>
    <row r="54" ht="15.75" customHeight="1">
      <c r="A54" s="7" t="s">
        <v>85</v>
      </c>
      <c r="B54" s="55">
        <v>17.0</v>
      </c>
      <c r="C54" s="55">
        <v>8.5</v>
      </c>
      <c r="D54" s="7"/>
    </row>
    <row r="55" ht="15.75" customHeight="1">
      <c r="A55" s="7" t="s">
        <v>86</v>
      </c>
      <c r="B55" s="55">
        <v>17.0</v>
      </c>
      <c r="C55" s="55">
        <v>7.5</v>
      </c>
      <c r="D55" s="7"/>
    </row>
    <row r="56" ht="15.75" customHeight="1">
      <c r="A56" s="7" t="s">
        <v>87</v>
      </c>
      <c r="B56" s="55">
        <v>17.0</v>
      </c>
      <c r="C56" s="55">
        <v>8.5</v>
      </c>
      <c r="D56" s="7"/>
    </row>
    <row r="57" ht="15.75" customHeight="1">
      <c r="A57" s="7" t="s">
        <v>88</v>
      </c>
      <c r="B57" s="55">
        <v>17.0</v>
      </c>
      <c r="C57" s="55">
        <v>8.5</v>
      </c>
      <c r="D57" s="7"/>
    </row>
    <row r="58" ht="15.75" customHeight="1">
      <c r="A58" s="7" t="s">
        <v>89</v>
      </c>
      <c r="B58" s="55">
        <v>19.0</v>
      </c>
      <c r="C58" s="55">
        <v>7.5</v>
      </c>
      <c r="D58" s="7"/>
    </row>
    <row r="59" ht="15.75" customHeight="1">
      <c r="A59" s="7" t="s">
        <v>90</v>
      </c>
      <c r="B59" s="55">
        <v>21.0</v>
      </c>
      <c r="C59" s="55">
        <v>10.0</v>
      </c>
      <c r="D59" s="7"/>
    </row>
    <row r="60" ht="15.75" customHeight="1">
      <c r="A60" s="7" t="s">
        <v>91</v>
      </c>
      <c r="B60" s="55">
        <v>21.0</v>
      </c>
      <c r="C60" s="55">
        <v>10.0</v>
      </c>
      <c r="D60" s="7"/>
    </row>
    <row r="61" ht="15.75" customHeight="1">
      <c r="A61" s="7" t="s">
        <v>92</v>
      </c>
      <c r="B61" s="55">
        <v>21.0</v>
      </c>
      <c r="C61" s="55">
        <v>10.0</v>
      </c>
      <c r="D61" s="7"/>
    </row>
    <row r="62" ht="15.75" customHeight="1">
      <c r="A62" s="7" t="s">
        <v>93</v>
      </c>
      <c r="B62" s="55">
        <v>22.0</v>
      </c>
      <c r="C62" s="55">
        <v>12.0</v>
      </c>
      <c r="D62" s="7"/>
    </row>
    <row r="63" ht="15.75" customHeight="1">
      <c r="A63" s="7" t="s">
        <v>94</v>
      </c>
      <c r="B63" s="55">
        <v>22.0</v>
      </c>
      <c r="C63" s="55">
        <v>12.0</v>
      </c>
      <c r="D63" s="7"/>
    </row>
    <row r="64" ht="15.75" customHeight="1">
      <c r="A64" s="7" t="s">
        <v>95</v>
      </c>
      <c r="B64" s="55">
        <v>25.0</v>
      </c>
      <c r="C64" s="55">
        <v>15.0</v>
      </c>
      <c r="D64" s="7"/>
    </row>
    <row r="65" ht="15.75" customHeight="1">
      <c r="A65" s="7" t="s">
        <v>96</v>
      </c>
      <c r="B65" s="55">
        <v>25.0</v>
      </c>
      <c r="C65" s="55">
        <v>15.0</v>
      </c>
      <c r="D65" s="7"/>
    </row>
    <row r="66" ht="15.75" customHeight="1">
      <c r="A66" s="7" t="s">
        <v>97</v>
      </c>
      <c r="B66" s="55">
        <v>25.0</v>
      </c>
      <c r="C66" s="55">
        <v>15.0</v>
      </c>
      <c r="D66" s="7"/>
    </row>
    <row r="67" ht="15.75" customHeight="1">
      <c r="A67" s="7" t="s">
        <v>98</v>
      </c>
      <c r="B67" s="55">
        <v>28.0</v>
      </c>
      <c r="C67" s="55">
        <v>15.0</v>
      </c>
      <c r="D67" s="7"/>
    </row>
    <row r="68" ht="15.75" customHeight="1">
      <c r="A68" s="7" t="s">
        <v>306</v>
      </c>
      <c r="B68" s="55">
        <v>5.0</v>
      </c>
      <c r="C68" s="55">
        <v>0.0</v>
      </c>
      <c r="D68" s="7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14"/>
    <col customWidth="1" min="3" max="3" width="9.86"/>
    <col customWidth="1" min="4" max="4" width="18.71"/>
    <col customWidth="1" min="5" max="5" width="32.86"/>
    <col customWidth="1" min="6" max="6" width="14.0"/>
    <col customWidth="1" min="7" max="26" width="8.86"/>
  </cols>
  <sheetData>
    <row r="1" ht="30.0" customHeight="1">
      <c r="A1" s="13" t="s">
        <v>327</v>
      </c>
      <c r="B1" s="13" t="s">
        <v>168</v>
      </c>
      <c r="C1" s="13" t="s">
        <v>283</v>
      </c>
      <c r="D1" s="13" t="s">
        <v>291</v>
      </c>
      <c r="E1" s="13" t="s">
        <v>328</v>
      </c>
      <c r="F1" s="89" t="s">
        <v>329</v>
      </c>
    </row>
    <row r="2">
      <c r="A2" s="9" t="s">
        <v>152</v>
      </c>
      <c r="B2" s="9" t="s">
        <v>330</v>
      </c>
      <c r="C2" s="9" t="s">
        <v>295</v>
      </c>
      <c r="D2" s="9" t="s">
        <v>296</v>
      </c>
      <c r="E2" s="9" t="s">
        <v>308</v>
      </c>
      <c r="F2" s="35" t="s">
        <v>199</v>
      </c>
    </row>
    <row r="3">
      <c r="A3" s="9" t="s">
        <v>153</v>
      </c>
      <c r="B3" s="9" t="s">
        <v>198</v>
      </c>
      <c r="C3" s="9" t="s">
        <v>297</v>
      </c>
      <c r="D3" s="9" t="s">
        <v>331</v>
      </c>
      <c r="E3" s="9" t="s">
        <v>326</v>
      </c>
      <c r="F3" s="35" t="s">
        <v>332</v>
      </c>
    </row>
    <row r="4">
      <c r="A4" s="9" t="s">
        <v>154</v>
      </c>
      <c r="B4" s="3"/>
      <c r="C4" s="3"/>
      <c r="D4" s="9" t="s">
        <v>333</v>
      </c>
      <c r="E4" s="9" t="s">
        <v>28</v>
      </c>
      <c r="F4" s="3"/>
    </row>
    <row r="5">
      <c r="A5" s="9" t="s">
        <v>155</v>
      </c>
      <c r="B5" s="3"/>
      <c r="C5" s="3"/>
      <c r="D5" s="9" t="s">
        <v>334</v>
      </c>
      <c r="E5" s="9" t="s">
        <v>53</v>
      </c>
      <c r="F5" s="3"/>
    </row>
    <row r="6">
      <c r="A6" s="9" t="s">
        <v>156</v>
      </c>
      <c r="B6" s="3"/>
      <c r="C6" s="3"/>
      <c r="D6" s="9" t="s">
        <v>335</v>
      </c>
      <c r="E6" s="9" t="s">
        <v>30</v>
      </c>
      <c r="F6" s="3"/>
    </row>
    <row r="7">
      <c r="A7" s="3"/>
      <c r="B7" s="3"/>
      <c r="C7" s="3"/>
      <c r="D7" s="3"/>
      <c r="E7" s="9" t="s">
        <v>23</v>
      </c>
      <c r="F7" s="3"/>
    </row>
    <row r="8">
      <c r="A8" s="3"/>
      <c r="B8" s="3"/>
      <c r="C8" s="3"/>
      <c r="D8" s="3"/>
      <c r="E8" s="9" t="s">
        <v>55</v>
      </c>
      <c r="F8" s="3"/>
    </row>
    <row r="9">
      <c r="A9" s="3"/>
      <c r="B9" s="3"/>
      <c r="C9" s="3"/>
      <c r="D9" s="3"/>
      <c r="E9" s="9" t="s">
        <v>57</v>
      </c>
      <c r="F9" s="3"/>
    </row>
    <row r="10">
      <c r="A10" s="3"/>
      <c r="B10" s="3"/>
      <c r="C10" s="3"/>
      <c r="D10" s="3"/>
      <c r="E10" s="9" t="s">
        <v>24</v>
      </c>
      <c r="F10" s="3"/>
    </row>
    <row r="11">
      <c r="A11" s="3"/>
      <c r="B11" s="3"/>
      <c r="C11" s="3"/>
      <c r="D11" s="3"/>
      <c r="E11" s="9" t="s">
        <v>69</v>
      </c>
      <c r="F11" s="3"/>
    </row>
    <row r="12">
      <c r="A12" s="3"/>
      <c r="B12" s="3"/>
      <c r="C12" s="3"/>
      <c r="D12" s="3"/>
      <c r="E12" s="9" t="s">
        <v>58</v>
      </c>
      <c r="F12" s="3"/>
    </row>
    <row r="13">
      <c r="A13" s="3"/>
      <c r="B13" s="3"/>
      <c r="C13" s="3"/>
      <c r="D13" s="3"/>
      <c r="E13" s="9" t="s">
        <v>70</v>
      </c>
      <c r="F13" s="3"/>
    </row>
    <row r="14">
      <c r="A14" s="3"/>
      <c r="B14" s="3"/>
      <c r="C14" s="3"/>
      <c r="D14" s="3"/>
      <c r="E14" s="9" t="s">
        <v>60</v>
      </c>
      <c r="F14" s="3"/>
    </row>
    <row r="15">
      <c r="A15" s="3"/>
      <c r="B15" s="3"/>
      <c r="C15" s="3"/>
      <c r="D15" s="3"/>
      <c r="E15" s="9" t="s">
        <v>61</v>
      </c>
      <c r="F15" s="3"/>
    </row>
    <row r="16">
      <c r="A16" s="3"/>
      <c r="B16" s="3"/>
      <c r="C16" s="3"/>
      <c r="D16" s="3"/>
      <c r="E16" s="9" t="s">
        <v>38</v>
      </c>
      <c r="F16" s="3"/>
    </row>
    <row r="17">
      <c r="A17" s="3"/>
      <c r="B17" s="3"/>
      <c r="C17" s="3"/>
      <c r="D17" s="3"/>
      <c r="E17" s="9" t="s">
        <v>40</v>
      </c>
      <c r="F17" s="3"/>
    </row>
    <row r="18">
      <c r="A18" s="3"/>
      <c r="B18" s="3"/>
      <c r="C18" s="3"/>
      <c r="D18" s="3"/>
      <c r="E18" s="9" t="s">
        <v>32</v>
      </c>
      <c r="F18" s="3"/>
    </row>
    <row r="19">
      <c r="A19" s="3"/>
      <c r="B19" s="3"/>
      <c r="C19" s="3"/>
      <c r="D19" s="3"/>
      <c r="E19" s="9" t="s">
        <v>62</v>
      </c>
      <c r="F19" s="3"/>
    </row>
    <row r="20">
      <c r="A20" s="3"/>
      <c r="B20" s="3"/>
      <c r="C20" s="3"/>
      <c r="D20" s="3"/>
      <c r="E20" s="9" t="s">
        <v>63</v>
      </c>
      <c r="F20" s="3"/>
    </row>
    <row r="21" ht="15.75" customHeight="1">
      <c r="A21" s="3"/>
      <c r="B21" s="3"/>
      <c r="C21" s="3"/>
      <c r="D21" s="3"/>
      <c r="E21" s="9" t="s">
        <v>64</v>
      </c>
      <c r="F21" s="3"/>
    </row>
    <row r="22" ht="15.75" customHeight="1">
      <c r="A22" s="3"/>
      <c r="B22" s="3"/>
      <c r="C22" s="3"/>
      <c r="D22" s="3"/>
      <c r="E22" s="9" t="s">
        <v>15</v>
      </c>
      <c r="F22" s="3"/>
    </row>
    <row r="23" ht="15.75" customHeight="1">
      <c r="A23" s="3"/>
      <c r="B23" s="3"/>
      <c r="C23" s="3"/>
      <c r="D23" s="3"/>
      <c r="E23" s="9" t="s">
        <v>336</v>
      </c>
      <c r="F23" s="3"/>
    </row>
    <row r="24" ht="15.75" customHeight="1">
      <c r="A24" s="3"/>
      <c r="B24" s="3"/>
      <c r="C24" s="3"/>
      <c r="D24" s="3"/>
      <c r="E24" s="9" t="s">
        <v>42</v>
      </c>
      <c r="F24" s="3"/>
    </row>
    <row r="25" ht="15.75" customHeight="1">
      <c r="A25" s="3"/>
      <c r="B25" s="3"/>
      <c r="C25" s="3"/>
      <c r="D25" s="3"/>
      <c r="E25" s="9" t="s">
        <v>26</v>
      </c>
      <c r="F25" s="3"/>
    </row>
    <row r="26" ht="15.75" customHeight="1">
      <c r="A26" s="3"/>
      <c r="B26" s="3"/>
      <c r="C26" s="3"/>
      <c r="D26" s="3"/>
      <c r="E26" s="9" t="s">
        <v>72</v>
      </c>
      <c r="F26" s="3"/>
    </row>
    <row r="27" ht="15.75" customHeight="1">
      <c r="A27" s="3"/>
      <c r="B27" s="3"/>
      <c r="C27" s="3"/>
      <c r="D27" s="3"/>
      <c r="E27" s="9" t="s">
        <v>65</v>
      </c>
      <c r="F27" s="3"/>
    </row>
    <row r="28" ht="15.75" customHeight="1">
      <c r="A28" s="3"/>
      <c r="B28" s="3"/>
      <c r="C28" s="3"/>
      <c r="D28" s="3"/>
      <c r="E28" s="9" t="s">
        <v>44</v>
      </c>
      <c r="F28" s="3"/>
    </row>
    <row r="29" ht="15.75" customHeight="1">
      <c r="A29" s="3"/>
      <c r="B29" s="3"/>
      <c r="C29" s="3"/>
      <c r="D29" s="3"/>
      <c r="E29" s="9" t="s">
        <v>337</v>
      </c>
      <c r="F29" s="3"/>
    </row>
    <row r="30" ht="15.75" customHeight="1">
      <c r="A30" s="3"/>
      <c r="B30" s="3"/>
      <c r="C30" s="3"/>
      <c r="D30" s="3"/>
      <c r="E30" s="9" t="s">
        <v>46</v>
      </c>
      <c r="F30" s="3"/>
    </row>
    <row r="31" ht="15.75" customHeight="1">
      <c r="A31" s="3"/>
      <c r="B31" s="3"/>
      <c r="C31" s="3"/>
      <c r="D31" s="3"/>
      <c r="E31" s="9" t="s">
        <v>34</v>
      </c>
      <c r="F31" s="3"/>
    </row>
    <row r="32" ht="15.75" customHeight="1">
      <c r="A32" s="3"/>
      <c r="B32" s="3"/>
      <c r="C32" s="3"/>
      <c r="D32" s="3"/>
      <c r="E32" s="9" t="s">
        <v>73</v>
      </c>
      <c r="F32" s="3"/>
    </row>
    <row r="33" ht="15.75" customHeight="1">
      <c r="A33" s="3"/>
      <c r="B33" s="3"/>
      <c r="C33" s="3"/>
      <c r="D33" s="3"/>
      <c r="E33" s="9" t="s">
        <v>74</v>
      </c>
      <c r="F33" s="3"/>
    </row>
    <row r="34" ht="15.75" customHeight="1">
      <c r="A34" s="3"/>
      <c r="B34" s="3"/>
      <c r="C34" s="3"/>
      <c r="D34" s="3"/>
      <c r="E34" s="9" t="s">
        <v>75</v>
      </c>
      <c r="F34" s="3"/>
    </row>
    <row r="35" ht="15.75" customHeight="1">
      <c r="A35" s="3"/>
      <c r="B35" s="3"/>
      <c r="C35" s="3"/>
      <c r="D35" s="3"/>
      <c r="E35" s="9" t="s">
        <v>76</v>
      </c>
      <c r="F35" s="3"/>
    </row>
    <row r="36" ht="15.75" customHeight="1">
      <c r="A36" s="3"/>
      <c r="B36" s="3"/>
      <c r="C36" s="3"/>
      <c r="D36" s="3"/>
      <c r="E36" s="9" t="s">
        <v>77</v>
      </c>
      <c r="F36" s="3"/>
    </row>
    <row r="37" ht="15.75" customHeight="1">
      <c r="A37" s="3"/>
      <c r="B37" s="3"/>
      <c r="C37" s="3"/>
      <c r="D37" s="3"/>
      <c r="E37" s="9" t="s">
        <v>36</v>
      </c>
      <c r="F37" s="3"/>
    </row>
    <row r="38" ht="15.75" customHeight="1">
      <c r="A38" s="3"/>
      <c r="B38" s="3"/>
      <c r="C38" s="3"/>
      <c r="D38" s="3"/>
      <c r="E38" s="9" t="s">
        <v>78</v>
      </c>
      <c r="F38" s="3"/>
    </row>
    <row r="39" ht="15.75" customHeight="1">
      <c r="A39" s="3"/>
      <c r="B39" s="3"/>
      <c r="C39" s="3"/>
      <c r="D39" s="3"/>
      <c r="E39" s="9" t="s">
        <v>47</v>
      </c>
      <c r="F39" s="3"/>
    </row>
    <row r="40" ht="15.75" customHeight="1">
      <c r="A40" s="3"/>
      <c r="B40" s="3"/>
      <c r="C40" s="3"/>
      <c r="D40" s="3"/>
      <c r="E40" s="9" t="s">
        <v>18</v>
      </c>
      <c r="F40" s="3"/>
    </row>
    <row r="41" ht="15.75" customHeight="1">
      <c r="A41" s="3"/>
      <c r="B41" s="3"/>
      <c r="C41" s="3"/>
      <c r="D41" s="3"/>
      <c r="E41" s="9" t="s">
        <v>21</v>
      </c>
      <c r="F41" s="3"/>
    </row>
    <row r="42" ht="15.75" customHeight="1">
      <c r="A42" s="3"/>
      <c r="B42" s="3"/>
      <c r="C42" s="3"/>
      <c r="D42" s="3"/>
      <c r="E42" s="9" t="s">
        <v>79</v>
      </c>
      <c r="F42" s="3"/>
    </row>
    <row r="43" ht="15.75" customHeight="1">
      <c r="A43" s="3"/>
      <c r="B43" s="3"/>
      <c r="C43" s="3"/>
      <c r="D43" s="3"/>
      <c r="E43" s="9" t="s">
        <v>49</v>
      </c>
      <c r="F43" s="3"/>
    </row>
    <row r="44" ht="15.75" customHeight="1">
      <c r="A44" s="3"/>
      <c r="B44" s="3"/>
      <c r="C44" s="3"/>
      <c r="D44" s="3"/>
      <c r="E44" s="9" t="s">
        <v>67</v>
      </c>
      <c r="F44" s="3"/>
    </row>
    <row r="45" ht="15.75" customHeight="1">
      <c r="A45" s="3"/>
      <c r="B45" s="3"/>
      <c r="C45" s="3"/>
      <c r="D45" s="3"/>
      <c r="E45" s="9" t="s">
        <v>51</v>
      </c>
      <c r="F45" s="3"/>
    </row>
    <row r="46" ht="15.75" customHeight="1">
      <c r="A46" s="3"/>
      <c r="B46" s="3"/>
      <c r="C46" s="3"/>
      <c r="D46" s="3"/>
      <c r="E46" s="9" t="s">
        <v>80</v>
      </c>
      <c r="F46" s="3"/>
    </row>
    <row r="47" ht="15.75" customHeight="1">
      <c r="A47" s="3"/>
      <c r="B47" s="3"/>
      <c r="C47" s="3"/>
      <c r="D47" s="3"/>
      <c r="E47" s="9" t="s">
        <v>81</v>
      </c>
      <c r="F47" s="3"/>
    </row>
    <row r="48" ht="15.75" customHeight="1">
      <c r="A48" s="3"/>
      <c r="B48" s="3"/>
      <c r="C48" s="3"/>
      <c r="D48" s="3"/>
      <c r="E48" s="9" t="s">
        <v>338</v>
      </c>
      <c r="F48" s="3"/>
    </row>
    <row r="49" ht="15.75" customHeight="1">
      <c r="A49" s="3"/>
      <c r="B49" s="3"/>
      <c r="C49" s="3"/>
      <c r="D49" s="3"/>
      <c r="E49" s="9" t="s">
        <v>82</v>
      </c>
      <c r="F49" s="3"/>
    </row>
    <row r="50" ht="15.75" customHeight="1">
      <c r="A50" s="3"/>
      <c r="B50" s="3"/>
      <c r="C50" s="3"/>
      <c r="D50" s="3"/>
      <c r="E50" s="9" t="s">
        <v>83</v>
      </c>
      <c r="F50" s="3"/>
    </row>
    <row r="51" ht="15.75" customHeight="1">
      <c r="A51" s="3"/>
      <c r="B51" s="3"/>
      <c r="C51" s="3"/>
      <c r="D51" s="3"/>
      <c r="E51" s="9" t="s">
        <v>84</v>
      </c>
      <c r="F51" s="3"/>
    </row>
    <row r="52" ht="15.75" customHeight="1">
      <c r="A52" s="3"/>
      <c r="B52" s="3"/>
      <c r="C52" s="3"/>
      <c r="D52" s="3"/>
      <c r="E52" s="9" t="s">
        <v>85</v>
      </c>
      <c r="F52" s="3"/>
    </row>
    <row r="53" ht="15.75" customHeight="1">
      <c r="A53" s="3"/>
      <c r="B53" s="3"/>
      <c r="C53" s="3"/>
      <c r="D53" s="3"/>
      <c r="E53" s="9" t="s">
        <v>86</v>
      </c>
      <c r="F53" s="3"/>
    </row>
    <row r="54" ht="15.75" customHeight="1">
      <c r="A54" s="3"/>
      <c r="B54" s="3"/>
      <c r="C54" s="3"/>
      <c r="D54" s="3"/>
      <c r="E54" s="9" t="s">
        <v>87</v>
      </c>
      <c r="F54" s="3"/>
    </row>
    <row r="55" ht="15.75" customHeight="1">
      <c r="A55" s="3"/>
      <c r="B55" s="3"/>
      <c r="C55" s="3"/>
      <c r="D55" s="3"/>
      <c r="E55" s="9" t="s">
        <v>88</v>
      </c>
      <c r="F55" s="3"/>
    </row>
    <row r="56" ht="15.75" customHeight="1">
      <c r="A56" s="3"/>
      <c r="B56" s="3"/>
      <c r="C56" s="3"/>
      <c r="D56" s="3"/>
      <c r="E56" s="9" t="s">
        <v>89</v>
      </c>
      <c r="F56" s="3"/>
    </row>
    <row r="57" ht="15.75" customHeight="1">
      <c r="A57" s="3"/>
      <c r="B57" s="3"/>
      <c r="C57" s="3"/>
      <c r="D57" s="3"/>
      <c r="E57" s="9" t="s">
        <v>90</v>
      </c>
      <c r="F57" s="3"/>
    </row>
    <row r="58" ht="15.75" customHeight="1">
      <c r="A58" s="3"/>
      <c r="B58" s="3"/>
      <c r="C58" s="3"/>
      <c r="D58" s="3"/>
      <c r="E58" s="9" t="s">
        <v>91</v>
      </c>
      <c r="F58" s="3"/>
    </row>
    <row r="59" ht="15.75" customHeight="1">
      <c r="A59" s="3"/>
      <c r="B59" s="3"/>
      <c r="C59" s="3"/>
      <c r="D59" s="3"/>
      <c r="E59" s="9" t="s">
        <v>92</v>
      </c>
      <c r="F59" s="3"/>
    </row>
    <row r="60" ht="15.75" customHeight="1">
      <c r="A60" s="3"/>
      <c r="B60" s="3"/>
      <c r="C60" s="3"/>
      <c r="D60" s="3"/>
      <c r="E60" s="9" t="s">
        <v>93</v>
      </c>
      <c r="F60" s="3"/>
    </row>
    <row r="61" ht="15.75" customHeight="1">
      <c r="A61" s="3"/>
      <c r="B61" s="3"/>
      <c r="C61" s="3"/>
      <c r="D61" s="3"/>
      <c r="E61" s="9" t="s">
        <v>94</v>
      </c>
      <c r="F61" s="3"/>
    </row>
    <row r="62" ht="15.75" customHeight="1">
      <c r="A62" s="3"/>
      <c r="B62" s="3"/>
      <c r="C62" s="3"/>
      <c r="D62" s="3"/>
      <c r="E62" s="9" t="s">
        <v>95</v>
      </c>
      <c r="F62" s="3"/>
    </row>
    <row r="63" ht="15.75" customHeight="1">
      <c r="A63" s="3"/>
      <c r="B63" s="3"/>
      <c r="C63" s="3"/>
      <c r="D63" s="3"/>
      <c r="E63" s="9" t="s">
        <v>96</v>
      </c>
      <c r="F63" s="3"/>
    </row>
    <row r="64" ht="15.75" customHeight="1">
      <c r="A64" s="3"/>
      <c r="B64" s="3"/>
      <c r="C64" s="3"/>
      <c r="D64" s="3"/>
      <c r="E64" s="9" t="s">
        <v>97</v>
      </c>
      <c r="F64" s="3"/>
    </row>
    <row r="65" ht="15.75" customHeight="1">
      <c r="A65" s="3"/>
      <c r="B65" s="3"/>
      <c r="C65" s="3"/>
      <c r="D65" s="3"/>
      <c r="E65" s="9" t="s">
        <v>98</v>
      </c>
      <c r="F65" s="3"/>
    </row>
    <row r="66" ht="15.75" customHeight="1">
      <c r="A66" s="3"/>
      <c r="B66" s="3"/>
      <c r="C66" s="3"/>
      <c r="D66" s="3"/>
      <c r="E66" s="9" t="s">
        <v>339</v>
      </c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0"/>
    <col customWidth="1" min="3" max="3" width="18.0"/>
    <col customWidth="1" min="4" max="4" width="22.0"/>
    <col customWidth="1" min="5" max="26" width="9.14"/>
  </cols>
  <sheetData>
    <row r="1" ht="27.75" customHeight="1">
      <c r="A1" s="33" t="s">
        <v>340</v>
      </c>
      <c r="B1" s="2"/>
      <c r="C1" s="2"/>
      <c r="D1" s="2"/>
    </row>
    <row r="2">
      <c r="A2" s="3"/>
      <c r="B2" s="3"/>
      <c r="C2" s="3"/>
      <c r="D2" s="3"/>
    </row>
    <row r="3" ht="30.0" customHeight="1">
      <c r="A3" s="41" t="s">
        <v>158</v>
      </c>
      <c r="B3" s="41" t="s">
        <v>146</v>
      </c>
      <c r="C3" s="41" t="s">
        <v>133</v>
      </c>
      <c r="D3" s="41" t="s">
        <v>341</v>
      </c>
    </row>
    <row r="4">
      <c r="A4" s="44" t="str">
        <f>Tiendas!$A40</f>
        <v>AVEFENIX3107</v>
      </c>
      <c r="B4" s="45" t="str">
        <f>Tiendas!$B40</f>
        <v>JORDAN</v>
      </c>
      <c r="C4" s="45">
        <f>COUNTIFS('DATA ENVIOS'!$B$4:$B$2000,$A4,'DATA ENVIOS'!$D$4:$D$2000,"Entregado")</f>
        <v>292</v>
      </c>
      <c r="D4" s="45">
        <f>IF($B4='INFO VENDEDOR'!$B$3,COUNTIFS($B$4:$B$177,'INFO VENDEDOR'!$B$3,$C$4:$C$177,"&gt;"&amp;$C4)+COUNTIFS($B$4:$B4,'INFO VENDEDOR'!$B$3,$C$4:$C4,$C4),"")</f>
        <v>1</v>
      </c>
    </row>
    <row r="5">
      <c r="A5" s="44" t="str">
        <f>Tiendas!$A46</f>
        <v>MonoCar</v>
      </c>
      <c r="B5" s="45" t="str">
        <f>Tiendas!$B46</f>
        <v>CHRISTIAN</v>
      </c>
      <c r="C5" s="45">
        <f>COUNTIFS('DATA ENVIOS'!$B$4:$B$2000,$A5,'DATA ENVIOS'!$D$4:$D$2000,"Entregado")</f>
        <v>81</v>
      </c>
      <c r="D5" s="45" t="str">
        <f>IF($B5='INFO VENDEDOR'!$B$3,COUNTIFS($B$4:$B$177,'INFO VENDEDOR'!$B$3,$C$4:$C$177,"&gt;"&amp;$C5)+COUNTIFS($B$4:$B5,'INFO VENDEDOR'!$B$3,$C$4:$C5,$C5),"")</f>
        <v/>
      </c>
    </row>
    <row r="6">
      <c r="A6" s="44" t="str">
        <f>Tiendas!$A70</f>
        <v>Mishop Perú</v>
      </c>
      <c r="B6" s="45" t="str">
        <f>Tiendas!$B70</f>
        <v>JORDAN</v>
      </c>
      <c r="C6" s="45">
        <f>COUNTIFS('DATA ENVIOS'!$B$4:$B$1000,$A6,'DATA ENVIOS'!$D$4:$D$1000,"Entregado")</f>
        <v>78</v>
      </c>
      <c r="D6" s="45">
        <f>IF($B6='INFO VENDEDOR'!$B$3,COUNTIFS($B$4:$B$177,'INFO VENDEDOR'!$B$3,$C$4:$C$177,"&gt;"&amp;$C6)+COUNTIFS($B$4:$B6,'INFO VENDEDOR'!$B$3,$C$4:$C6,$C6),"")</f>
        <v>2</v>
      </c>
    </row>
    <row r="7">
      <c r="A7" s="44" t="str">
        <f>Tiendas!$A5</f>
        <v>Seralta</v>
      </c>
      <c r="B7" s="45" t="str">
        <f>Tiendas!$B5</f>
        <v>ALEXIS</v>
      </c>
      <c r="C7" s="45">
        <f>COUNTIFS('DATA ENVIOS'!$B$4:$B$2000,$A7,'DATA ENVIOS'!$D$4:$D$2000,"Entregado")</f>
        <v>66</v>
      </c>
      <c r="D7" s="45" t="str">
        <f>IF($B7='INFO VENDEDOR'!$B$3,COUNTIFS($B$4:$B$177,'INFO VENDEDOR'!$B$3,$C$4:$C$177,"&gt;"&amp;$C7)+COUNTIFS($B$4:$B7,'INFO VENDEDOR'!$B$3,$C$4:$C7,$C7),"")</f>
        <v/>
      </c>
    </row>
    <row r="8">
      <c r="A8" s="44" t="str">
        <f>Tiendas!$A75</f>
        <v>JAHL PERU</v>
      </c>
      <c r="B8" s="45" t="str">
        <f>Tiendas!$B75</f>
        <v>SEBASTIAN</v>
      </c>
      <c r="C8" s="45">
        <f>COUNTIFS('DATA ENVIOS'!$B$4:$B$1000,$A8,'DATA ENVIOS'!$D$4:$D$1000,"Entregado")</f>
        <v>30</v>
      </c>
      <c r="D8" s="45" t="str">
        <f>IF($B8='INFO VENDEDOR'!$B$3,COUNTIFS($B$4:$B$177,'INFO VENDEDOR'!$B$3,$C$4:$C$177,"&gt;"&amp;$C8)+COUNTIFS($B$4:$B8,'INFO VENDEDOR'!$B$3,$C$4:$C8,$C8),"")</f>
        <v/>
      </c>
    </row>
    <row r="9">
      <c r="A9" s="44" t="str">
        <f>Tiendas!$A37</f>
        <v>Domyhouse</v>
      </c>
      <c r="B9" s="45" t="str">
        <f>Tiendas!$B37</f>
        <v>ALEXIS</v>
      </c>
      <c r="C9" s="45">
        <f>COUNTIFS('DATA ENVIOS'!$B$4:$B$2000,$A9,'DATA ENVIOS'!$D$4:$D$2000,"Entregado")</f>
        <v>26</v>
      </c>
      <c r="D9" s="45" t="str">
        <f>IF($B9='INFO VENDEDOR'!$B$3,COUNTIFS($B$4:$B$177,'INFO VENDEDOR'!$B$3,$C$4:$C$177,"&gt;"&amp;$C9)+COUNTIFS($B$4:$B9,'INFO VENDEDOR'!$B$3,$C$4:$C9,$C9),"")</f>
        <v/>
      </c>
    </row>
    <row r="10">
      <c r="A10" s="44" t="str">
        <f>Tiendas!$A22</f>
        <v>Aesthetics Perú</v>
      </c>
      <c r="B10" s="45" t="str">
        <f>Tiendas!$B22</f>
        <v>SEBASTIAN</v>
      </c>
      <c r="C10" s="45">
        <f>COUNTIFS('DATA ENVIOS'!$B$4:$B$2000,$A10,'DATA ENVIOS'!$D$4:$D$2000,"Entregado")</f>
        <v>23</v>
      </c>
      <c r="D10" s="45" t="str">
        <f>IF($B10='INFO VENDEDOR'!$B$3,COUNTIFS($B$4:$B$177,'INFO VENDEDOR'!$B$3,$C$4:$C$177,"&gt;"&amp;$C10)+COUNTIFS($B$4:$B10,'INFO VENDEDOR'!$B$3,$C$4:$C10,$C10),"")</f>
        <v/>
      </c>
    </row>
    <row r="11">
      <c r="A11" s="44" t="str">
        <f>Tiendas!$A34</f>
        <v>Maia collection</v>
      </c>
      <c r="B11" s="45" t="str">
        <f>Tiendas!$B34</f>
        <v>SANDRA</v>
      </c>
      <c r="C11" s="45">
        <f>COUNTIFS('DATA ENVIOS'!$B$4:$B$2000,$A11,'DATA ENVIOS'!$D$4:$D$2000,"Entregado")</f>
        <v>23</v>
      </c>
      <c r="D11" s="45" t="str">
        <f>IF($B11='INFO VENDEDOR'!$B$3,COUNTIFS($B$4:$B$177,'INFO VENDEDOR'!$B$3,$C$4:$C$177,"&gt;"&amp;$C11)+COUNTIFS($B$4:$B11,'INFO VENDEDOR'!$B$3,$C$4:$C11,$C11),"")</f>
        <v/>
      </c>
    </row>
    <row r="12">
      <c r="A12" s="44" t="str">
        <f>Tiendas!$A11</f>
        <v>Joyful Shop</v>
      </c>
      <c r="B12" s="45" t="str">
        <f>Tiendas!$B11</f>
        <v>CHRISTIAN</v>
      </c>
      <c r="C12" s="45">
        <f>COUNTIFS('DATA ENVIOS'!$B$4:$B$2000,$A12,'DATA ENVIOS'!$D$4:$D$2000,"Entregado")</f>
        <v>21</v>
      </c>
      <c r="D12" s="45" t="str">
        <f>IF($B12='INFO VENDEDOR'!$B$3,COUNTIFS($B$4:$B$177,'INFO VENDEDOR'!$B$3,$C$4:$C$177,"&gt;"&amp;$C12)+COUNTIFS($B$4:$B12,'INFO VENDEDOR'!$B$3,$C$4:$C12,$C12),"")</f>
        <v/>
      </c>
    </row>
    <row r="13">
      <c r="A13" s="44" t="str">
        <f>Tiendas!$A27</f>
        <v>Tienda ClickStore</v>
      </c>
      <c r="B13" s="45" t="str">
        <f>Tiendas!$B27</f>
        <v>CHRISTIAN</v>
      </c>
      <c r="C13" s="45">
        <f>COUNTIFS('DATA ENVIOS'!$B$4:$B$2000,$A13,'DATA ENVIOS'!$D$4:$D$2000,"Entregado")</f>
        <v>20</v>
      </c>
      <c r="D13" s="45" t="str">
        <f>IF($B13='INFO VENDEDOR'!$B$3,COUNTIFS($B$4:$B$177,'INFO VENDEDOR'!$B$3,$C$4:$C$177,"&gt;"&amp;$C13)+COUNTIFS($B$4:$B13,'INFO VENDEDOR'!$B$3,$C$4:$C13,$C13),"")</f>
        <v/>
      </c>
    </row>
    <row r="14">
      <c r="A14" s="44" t="str">
        <f>Tiendas!$A63</f>
        <v>Kael importaciones sac</v>
      </c>
      <c r="B14" s="45" t="str">
        <f>Tiendas!$B63</f>
        <v>CHRISTIAN</v>
      </c>
      <c r="C14" s="45">
        <f>COUNTIFS('DATA ENVIOS'!$B$4:$B$2000,$A14,'DATA ENVIOS'!$D$4:$D$2000,"Entregado")</f>
        <v>17</v>
      </c>
      <c r="D14" s="45" t="str">
        <f>IF($B14='INFO VENDEDOR'!$B$3,COUNTIFS($B$4:$B$177,'INFO VENDEDOR'!$B$3,$C$4:$C$177,"&gt;"&amp;$C14)+COUNTIFS($B$4:$B14,'INFO VENDEDOR'!$B$3,$C$4:$C14,$C14),"")</f>
        <v/>
      </c>
    </row>
    <row r="15">
      <c r="A15" s="44" t="str">
        <f>Tiendas!$A47</f>
        <v>Hesla Import</v>
      </c>
      <c r="B15" s="45" t="str">
        <f>Tiendas!$B47</f>
        <v>ALEXIS</v>
      </c>
      <c r="C15" s="45">
        <f>COUNTIFS('DATA ENVIOS'!$B$4:$B$2000,$A15,'DATA ENVIOS'!$D$4:$D$2000,"Entregado")</f>
        <v>16</v>
      </c>
      <c r="D15" s="45" t="str">
        <f>IF($B15='INFO VENDEDOR'!$B$3,COUNTIFS($B$4:$B$177,'INFO VENDEDOR'!$B$3,$C$4:$C$177,"&gt;"&amp;$C15)+COUNTIFS($B$4:$B15,'INFO VENDEDOR'!$B$3,$C$4:$C15,$C15),"")</f>
        <v/>
      </c>
    </row>
    <row r="16">
      <c r="A16" s="44" t="str">
        <f>Tiendas!$A59</f>
        <v>Bienestar Perú</v>
      </c>
      <c r="B16" s="45" t="str">
        <f>Tiendas!$B59</f>
        <v>SANDRA</v>
      </c>
      <c r="C16" s="45">
        <f>COUNTIFS('DATA ENVIOS'!$B$4:$B$2000,$A16,'DATA ENVIOS'!$D$4:$D$2000,"Entregado")</f>
        <v>16</v>
      </c>
      <c r="D16" s="45" t="str">
        <f>IF($B16='INFO VENDEDOR'!$B$3,COUNTIFS($B$4:$B$177,'INFO VENDEDOR'!$B$3,$C$4:$C$177,"&gt;"&amp;$C16)+COUNTIFS($B$4:$B16,'INFO VENDEDOR'!$B$3,$C$4:$C16,$C16),"")</f>
        <v/>
      </c>
    </row>
    <row r="17">
      <c r="A17" s="44" t="str">
        <f>Tiendas!$A69</f>
        <v>KIKMIT.PE STORE</v>
      </c>
      <c r="B17" s="45" t="str">
        <f>Tiendas!$B69</f>
        <v>SANDRA</v>
      </c>
      <c r="C17" s="45">
        <f>COUNTIFS('DATA ENVIOS'!$B$4:$B$1000,$A17,'DATA ENVIOS'!$D$4:$D$1000,"Entregado")</f>
        <v>16</v>
      </c>
      <c r="D17" s="45" t="str">
        <f>IF($B17='INFO VENDEDOR'!$B$3,COUNTIFS($B$4:$B$177,'INFO VENDEDOR'!$B$3,$C$4:$C$177,"&gt;"&amp;$C17)+COUNTIFS($B$4:$B17,'INFO VENDEDOR'!$B$3,$C$4:$C17,$C17),"")</f>
        <v/>
      </c>
    </row>
    <row r="18">
      <c r="A18" s="44" t="str">
        <f>Tiendas!$A52</f>
        <v>Reyshop Perú sac</v>
      </c>
      <c r="B18" s="45" t="str">
        <f>Tiendas!$B52</f>
        <v>SEBASTIAN</v>
      </c>
      <c r="C18" s="45">
        <f>COUNTIFS('DATA ENVIOS'!$B$4:$B$2000,$A18,'DATA ENVIOS'!$D$4:$D$2000,"Entregado")</f>
        <v>13</v>
      </c>
      <c r="D18" s="45" t="str">
        <f>IF($B18='INFO VENDEDOR'!$B$3,COUNTIFS($B$4:$B$177,'INFO VENDEDOR'!$B$3,$C$4:$C$177,"&gt;"&amp;$C18)+COUNTIFS($B$4:$B18,'INFO VENDEDOR'!$B$3,$C$4:$C18,$C18),"")</f>
        <v/>
      </c>
    </row>
    <row r="19">
      <c r="A19" s="44" t="str">
        <f>Tiendas!$A71</f>
        <v>Maar jewelry</v>
      </c>
      <c r="B19" s="45" t="str">
        <f>Tiendas!$B71</f>
        <v>SEBASTIAN</v>
      </c>
      <c r="C19" s="45">
        <f>COUNTIFS('DATA ENVIOS'!$B$4:$B$1000,$A19,'DATA ENVIOS'!$D$4:$D$1000,"Entregado")</f>
        <v>13</v>
      </c>
      <c r="D19" s="45" t="str">
        <f>IF($B19='INFO VENDEDOR'!$B$3,COUNTIFS($B$4:$B$177,'INFO VENDEDOR'!$B$3,$C$4:$C$177,"&gt;"&amp;$C19)+COUNTIFS($B$4:$B19,'INFO VENDEDOR'!$B$3,$C$4:$C19,$C19),"")</f>
        <v/>
      </c>
    </row>
    <row r="20" ht="15.75" customHeight="1">
      <c r="A20" s="44" t="str">
        <f>Tiendas!$A4</f>
        <v>Forever20</v>
      </c>
      <c r="B20" s="45" t="str">
        <f>Tiendas!$B4</f>
        <v>ALEXIS</v>
      </c>
      <c r="C20" s="45">
        <f>COUNTIFS('DATA ENVIOS'!$B$4:$B$2000,$A20,'DATA ENVIOS'!$D$4:$D$2000,"Entregado")</f>
        <v>12</v>
      </c>
      <c r="D20" s="45" t="str">
        <f>IF($B20='INFO VENDEDOR'!$B$3,COUNTIFS($B$4:$B$177,'INFO VENDEDOR'!$B$3,$C$4:$C$177,"&gt;"&amp;$C20)+COUNTIFS($B$4:$B20,'INFO VENDEDOR'!$B$3,$C$4:$C20,$C20),"")</f>
        <v/>
      </c>
    </row>
    <row r="21" ht="15.75" customHeight="1">
      <c r="A21" s="44" t="str">
        <f>Tiendas!$A33</f>
        <v>Izinova store Perú</v>
      </c>
      <c r="B21" s="45" t="str">
        <f>Tiendas!$B33</f>
        <v>SANDRA</v>
      </c>
      <c r="C21" s="45">
        <f>COUNTIFS('DATA ENVIOS'!$B$4:$B$2000,$A21,'DATA ENVIOS'!$D$4:$D$2000,"Entregado")</f>
        <v>12</v>
      </c>
      <c r="D21" s="45" t="str">
        <f>IF($B21='INFO VENDEDOR'!$B$3,COUNTIFS($B$4:$B$177,'INFO VENDEDOR'!$B$3,$C$4:$C$177,"&gt;"&amp;$C21)+COUNTIFS($B$4:$B21,'INFO VENDEDOR'!$B$3,$C$4:$C21,$C21),"")</f>
        <v/>
      </c>
    </row>
    <row r="22" ht="15.75" customHeight="1">
      <c r="A22" s="44" t="str">
        <f>Tiendas!$A21</f>
        <v>PATRICIA NUSKIN</v>
      </c>
      <c r="B22" s="45" t="str">
        <f>Tiendas!$B21</f>
        <v>SEBASTIAN</v>
      </c>
      <c r="C22" s="45">
        <f>COUNTIFS('DATA ENVIOS'!$B$4:$B$2000,$A22,'DATA ENVIOS'!$D$4:$D$2000,"Entregado")</f>
        <v>12</v>
      </c>
      <c r="D22" s="45" t="str">
        <f>IF($B22='INFO VENDEDOR'!$B$3,COUNTIFS($B$4:$B$177,'INFO VENDEDOR'!$B$3,$C$4:$C$177,"&gt;"&amp;$C22)+COUNTIFS($B$4:$B22,'INFO VENDEDOR'!$B$3,$C$4:$C22,$C22),"")</f>
        <v/>
      </c>
    </row>
    <row r="23" ht="15.75" customHeight="1">
      <c r="A23" s="44" t="str">
        <f>Tiendas!$A73</f>
        <v>blamlab</v>
      </c>
      <c r="B23" s="45" t="str">
        <f>Tiendas!$B73</f>
        <v>ALEXIS</v>
      </c>
      <c r="C23" s="45">
        <f>COUNTIFS('DATA ENVIOS'!$B$4:$B$1000,$A23,'DATA ENVIOS'!$D$4:$D$1000,"Entregado")</f>
        <v>12</v>
      </c>
      <c r="D23" s="45" t="str">
        <f>IF($B23='INFO VENDEDOR'!$B$3,COUNTIFS($B$4:$B$177,'INFO VENDEDOR'!$B$3,$C$4:$C$177,"&gt;"&amp;$C23)+COUNTIFS($B$4:$B23,'INFO VENDEDOR'!$B$3,$C$4:$C23,$C23),"")</f>
        <v/>
      </c>
    </row>
    <row r="24" ht="15.75" customHeight="1">
      <c r="A24" s="44" t="str">
        <f>Tiendas!$A42</f>
        <v>Thialeshop Perú</v>
      </c>
      <c r="B24" s="45" t="str">
        <f>Tiendas!$B42</f>
        <v>SANDRA</v>
      </c>
      <c r="C24" s="45">
        <f>COUNTIFS('DATA ENVIOS'!$B$4:$B$2000,$A24,'DATA ENVIOS'!$D$4:$D$2000,"Entregado")</f>
        <v>11</v>
      </c>
      <c r="D24" s="45" t="str">
        <f>IF($B24='INFO VENDEDOR'!$B$3,COUNTIFS($B$4:$B$177,'INFO VENDEDOR'!$B$3,$C$4:$C$177,"&gt;"&amp;$C24)+COUNTIFS($B$4:$B24,'INFO VENDEDOR'!$B$3,$C$4:$C24,$C24),"")</f>
        <v/>
      </c>
    </row>
    <row r="25" ht="15.75" customHeight="1">
      <c r="A25" s="44" t="str">
        <f>Tiendas!$A57</f>
        <v>Ponte Bacán</v>
      </c>
      <c r="B25" s="45" t="str">
        <f>Tiendas!$B57</f>
        <v>ALEXIS</v>
      </c>
      <c r="C25" s="45">
        <f>COUNTIFS('DATA ENVIOS'!$B$4:$B$2000,$A25,'DATA ENVIOS'!$D$4:$D$2000,"Entregado")</f>
        <v>10</v>
      </c>
      <c r="D25" s="45" t="str">
        <f>IF($B25='INFO VENDEDOR'!$B$3,COUNTIFS($B$4:$B$177,'INFO VENDEDOR'!$B$3,$C$4:$C$177,"&gt;"&amp;$C25)+COUNTIFS($B$4:$B25,'INFO VENDEDOR'!$B$3,$C$4:$C25,$C25),"")</f>
        <v/>
      </c>
    </row>
    <row r="26" ht="15.75" customHeight="1">
      <c r="A26" s="44" t="str">
        <f>Tiendas!$A17</f>
        <v>Trends importaciones</v>
      </c>
      <c r="B26" s="45" t="str">
        <f>Tiendas!$B17</f>
        <v>SANDRA</v>
      </c>
      <c r="C26" s="45">
        <f>COUNTIFS('DATA ENVIOS'!$B$4:$B$2000,$A26,'DATA ENVIOS'!$D$4:$D$2000,"Entregado")</f>
        <v>10</v>
      </c>
      <c r="D26" s="45" t="str">
        <f>IF($B26='INFO VENDEDOR'!$B$3,COUNTIFS($B$4:$B$177,'INFO VENDEDOR'!$B$3,$C$4:$C$177,"&gt;"&amp;$C26)+COUNTIFS($B$4:$B26,'INFO VENDEDOR'!$B$3,$C$4:$C26,$C26),"")</f>
        <v/>
      </c>
    </row>
    <row r="27" ht="15.75" customHeight="1">
      <c r="A27" s="44" t="str">
        <f>Tiendas!$A10</f>
        <v>Fame shop</v>
      </c>
      <c r="B27" s="45" t="str">
        <f>Tiendas!$B10</f>
        <v>CHRISTIAN</v>
      </c>
      <c r="C27" s="45">
        <f>COUNTIFS('DATA ENVIOS'!$B$4:$B$2000,$A27,'DATA ENVIOS'!$D$4:$D$2000,"Entregado")</f>
        <v>9</v>
      </c>
      <c r="D27" s="45" t="str">
        <f>IF($B27='INFO VENDEDOR'!$B$3,COUNTIFS($B$4:$B$177,'INFO VENDEDOR'!$B$3,$C$4:$C$177,"&gt;"&amp;$C27)+COUNTIFS($B$4:$B27,'INFO VENDEDOR'!$B$3,$C$4:$C27,$C27),"")</f>
        <v/>
      </c>
    </row>
    <row r="28" ht="15.75" customHeight="1">
      <c r="A28" s="44" t="str">
        <f>Tiendas!$A65</f>
        <v>Alphanova Perú</v>
      </c>
      <c r="B28" s="45" t="str">
        <f>Tiendas!$B65</f>
        <v>CHRISTIAN</v>
      </c>
      <c r="C28" s="45">
        <f>COUNTIFS('DATA ENVIOS'!$B$4:$B$1000,$A28,'DATA ENVIOS'!$D$4:$D$1000,"Entregado")</f>
        <v>9</v>
      </c>
      <c r="D28" s="45" t="str">
        <f>IF($B28='INFO VENDEDOR'!$B$3,COUNTIFS($B$4:$B$177,'INFO VENDEDOR'!$B$3,$C$4:$C$177,"&gt;"&amp;$C28)+COUNTIFS($B$4:$B28,'INFO VENDEDOR'!$B$3,$C$4:$C28,$C28),"")</f>
        <v/>
      </c>
    </row>
    <row r="29" ht="15.75" customHeight="1">
      <c r="A29" s="44" t="str">
        <f>Tiendas!$A58</f>
        <v>Lumea Makeup</v>
      </c>
      <c r="B29" s="45" t="str">
        <f>Tiendas!$B58</f>
        <v>SEBASTIAN</v>
      </c>
      <c r="C29" s="45">
        <f>COUNTIFS('DATA ENVIOS'!$B$4:$B$2000,$A29,'DATA ENVIOS'!$D$4:$D$2000,"Entregado")</f>
        <v>8</v>
      </c>
      <c r="D29" s="45" t="str">
        <f>IF($B29='INFO VENDEDOR'!$B$3,COUNTIFS($B$4:$B$177,'INFO VENDEDOR'!$B$3,$C$4:$C$177,"&gt;"&amp;$C29)+COUNTIFS($B$4:$B29,'INFO VENDEDOR'!$B$3,$C$4:$C29,$C29),"")</f>
        <v/>
      </c>
    </row>
    <row r="30" ht="15.75" customHeight="1">
      <c r="A30" s="44" t="str">
        <f>Tiendas!$A38</f>
        <v>ALTAVIRA</v>
      </c>
      <c r="B30" s="45" t="str">
        <f>Tiendas!$B38</f>
        <v>SANDRA</v>
      </c>
      <c r="C30" s="45">
        <f>COUNTIFS('DATA ENVIOS'!$B$4:$B$2000,$A30,'DATA ENVIOS'!$D$4:$D$2000,"Entregado")</f>
        <v>7</v>
      </c>
      <c r="D30" s="45" t="str">
        <f>IF($B30='INFO VENDEDOR'!$B$3,COUNTIFS($B$4:$B$177,'INFO VENDEDOR'!$B$3,$C$4:$C$177,"&gt;"&amp;$C30)+COUNTIFS($B$4:$B30,'INFO VENDEDOR'!$B$3,$C$4:$C30,$C30),"")</f>
        <v/>
      </c>
    </row>
    <row r="31" ht="15.75" customHeight="1">
      <c r="A31" s="44" t="str">
        <f>Tiendas!$A53</f>
        <v>OVERSOUL</v>
      </c>
      <c r="B31" s="45" t="str">
        <f>Tiendas!$B53</f>
        <v>JORDAN</v>
      </c>
      <c r="C31" s="45">
        <f>COUNTIFS('DATA ENVIOS'!$B$4:$B$2000,$A31,'DATA ENVIOS'!$D$4:$D$2000,"Entregado")</f>
        <v>7</v>
      </c>
      <c r="D31" s="45">
        <f>IF($B31='INFO VENDEDOR'!$B$3,COUNTIFS($B$4:$B$177,'INFO VENDEDOR'!$B$3,$C$4:$C$177,"&gt;"&amp;$C31)+COUNTIFS($B$4:$B31,'INFO VENDEDOR'!$B$3,$C$4:$C31,$C31),"")</f>
        <v>3</v>
      </c>
    </row>
    <row r="32" ht="15.75" customHeight="1">
      <c r="A32" s="44" t="str">
        <f>Tiendas!$A55</f>
        <v>Neoryders</v>
      </c>
      <c r="B32" s="45" t="str">
        <f>Tiendas!$B55</f>
        <v>SANDRA</v>
      </c>
      <c r="C32" s="45">
        <f>COUNTIFS('DATA ENVIOS'!$B$4:$B$2000,$A32,'DATA ENVIOS'!$D$4:$D$2000,"Entregado")</f>
        <v>7</v>
      </c>
      <c r="D32" s="45" t="str">
        <f>IF($B32='INFO VENDEDOR'!$B$3,COUNTIFS($B$4:$B$177,'INFO VENDEDOR'!$B$3,$C$4:$C$177,"&gt;"&amp;$C32)+COUNTIFS($B$4:$B32,'INFO VENDEDOR'!$B$3,$C$4:$C32,$C32),"")</f>
        <v/>
      </c>
    </row>
    <row r="33" ht="15.75" customHeight="1">
      <c r="A33" s="44" t="str">
        <f>Tiendas!$A32</f>
        <v>Paltas Beauty*</v>
      </c>
      <c r="B33" s="45" t="str">
        <f>Tiendas!$B32</f>
        <v>SANDRA</v>
      </c>
      <c r="C33" s="45">
        <f>COUNTIFS('DATA ENVIOS'!$B$4:$B$2000,$A33,'DATA ENVIOS'!$D$4:$D$2000,"Entregado")</f>
        <v>6</v>
      </c>
      <c r="D33" s="45" t="str">
        <f>IF($B33='INFO VENDEDOR'!$B$3,COUNTIFS($B$4:$B$177,'INFO VENDEDOR'!$B$3,$C$4:$C$177,"&gt;"&amp;$C33)+COUNTIFS($B$4:$B33,'INFO VENDEDOR'!$B$3,$C$4:$C33,$C33),"")</f>
        <v/>
      </c>
    </row>
    <row r="34" ht="15.75" customHeight="1">
      <c r="A34" s="44" t="str">
        <f>Tiendas!$A20</f>
        <v>Blue Perú</v>
      </c>
      <c r="B34" s="45" t="str">
        <f>Tiendas!$B20</f>
        <v>SEBASTIAN</v>
      </c>
      <c r="C34" s="45">
        <f>COUNTIFS('DATA ENVIOS'!$B$4:$B$2000,$A34,'DATA ENVIOS'!$D$4:$D$2000,"Entregado")</f>
        <v>6</v>
      </c>
      <c r="D34" s="45" t="str">
        <f>IF($B34='INFO VENDEDOR'!$B$3,COUNTIFS($B$4:$B$177,'INFO VENDEDOR'!$B$3,$C$4:$C$177,"&gt;"&amp;$C34)+COUNTIFS($B$4:$B34,'INFO VENDEDOR'!$B$3,$C$4:$C34,$C34),"")</f>
        <v/>
      </c>
    </row>
    <row r="35" ht="15.75" customHeight="1">
      <c r="A35" s="44" t="str">
        <f>Tiendas!$A26</f>
        <v>Jean Paul Salazar Maticorena</v>
      </c>
      <c r="B35" s="45" t="str">
        <f>Tiendas!$B26</f>
        <v>ALEXIS</v>
      </c>
      <c r="C35" s="45">
        <f>COUNTIFS('DATA ENVIOS'!$B$4:$B$2000,$A35,'DATA ENVIOS'!$D$4:$D$2000,"Entregado")</f>
        <v>5</v>
      </c>
      <c r="D35" s="45" t="str">
        <f>IF($B35='INFO VENDEDOR'!$B$3,COUNTIFS($B$4:$B$177,'INFO VENDEDOR'!$B$3,$C$4:$C$177,"&gt;"&amp;$C35)+COUNTIFS($B$4:$B35,'INFO VENDEDOR'!$B$3,$C$4:$C35,$C35),"")</f>
        <v/>
      </c>
    </row>
    <row r="36" ht="15.75" customHeight="1">
      <c r="A36" s="44" t="str">
        <f>Tiendas!$A51</f>
        <v>Brandon Quispe Choque</v>
      </c>
      <c r="B36" s="45" t="str">
        <f>Tiendas!$B51</f>
        <v>SEBASTIAN</v>
      </c>
      <c r="C36" s="45">
        <f>COUNTIFS('DATA ENVIOS'!$B$4:$B$2000,$A36,'DATA ENVIOS'!$D$4:$D$2000,"Entregado")</f>
        <v>5</v>
      </c>
      <c r="D36" s="45" t="str">
        <f>IF($B36='INFO VENDEDOR'!$B$3,COUNTIFS($B$4:$B$177,'INFO VENDEDOR'!$B$3,$C$4:$C$177,"&gt;"&amp;$C36)+COUNTIFS($B$4:$B36,'INFO VENDEDOR'!$B$3,$C$4:$C36,$C36),"")</f>
        <v/>
      </c>
    </row>
    <row r="37" ht="15.75" customHeight="1">
      <c r="A37" s="44" t="str">
        <f>Tiendas!$A66</f>
        <v>Sev7n shop</v>
      </c>
      <c r="B37" s="45" t="str">
        <f>Tiendas!$B66</f>
        <v>SANDRA</v>
      </c>
      <c r="C37" s="45">
        <f>COUNTIFS('DATA ENVIOS'!$B$4:$B$1000,$A37,'DATA ENVIOS'!$D$4:$D$1000,"Entregado")</f>
        <v>5</v>
      </c>
      <c r="D37" s="45" t="str">
        <f>IF($B37='INFO VENDEDOR'!$B$3,COUNTIFS($B$4:$B$177,'INFO VENDEDOR'!$B$3,$C$4:$C$177,"&gt;"&amp;$C37)+COUNTIFS($B$4:$B37,'INFO VENDEDOR'!$B$3,$C$4:$C37,$C37),"")</f>
        <v/>
      </c>
    </row>
    <row r="38" ht="15.75" customHeight="1">
      <c r="A38" s="44" t="str">
        <f>Tiendas!$A14</f>
        <v>Lune Atelier</v>
      </c>
      <c r="B38" s="45" t="str">
        <f>Tiendas!$B14</f>
        <v>JORDAN</v>
      </c>
      <c r="C38" s="45">
        <f>COUNTIFS('DATA ENVIOS'!$B$4:$B$2000,$A38,'DATA ENVIOS'!$D$4:$D$2000,"Entregado")</f>
        <v>4</v>
      </c>
      <c r="D38" s="45">
        <f>IF($B38='INFO VENDEDOR'!$B$3,COUNTIFS($B$4:$B$177,'INFO VENDEDOR'!$B$3,$C$4:$C$177,"&gt;"&amp;$C38)+COUNTIFS($B$4:$B38,'INFO VENDEDOR'!$B$3,$C$4:$C38,$C38),"")</f>
        <v>4</v>
      </c>
    </row>
    <row r="39" ht="15.75" customHeight="1">
      <c r="A39" s="44" t="str">
        <f>Tiendas!$A25</f>
        <v>TIENDA LM IMPORTACIONES</v>
      </c>
      <c r="B39" s="45" t="str">
        <f>Tiendas!$B25</f>
        <v>ALEXIS</v>
      </c>
      <c r="C39" s="45">
        <f>COUNTIFS('DATA ENVIOS'!$B$4:$B$2000,$A39,'DATA ENVIOS'!$D$4:$D$2000,"Entregado")</f>
        <v>4</v>
      </c>
      <c r="D39" s="45" t="str">
        <f>IF($B39='INFO VENDEDOR'!$B$3,COUNTIFS($B$4:$B$177,'INFO VENDEDOR'!$B$3,$C$4:$C$177,"&gt;"&amp;$C39)+COUNTIFS($B$4:$B39,'INFO VENDEDOR'!$B$3,$C$4:$C39,$C39),"")</f>
        <v/>
      </c>
    </row>
    <row r="40" ht="15.75" customHeight="1">
      <c r="A40" s="44" t="str">
        <f>Tiendas!$A64</f>
        <v>Alessia Chloe Perú</v>
      </c>
      <c r="B40" s="45" t="str">
        <f>Tiendas!$B64</f>
        <v>CHRISTIAN</v>
      </c>
      <c r="C40" s="45">
        <f>COUNTIFS('DATA ENVIOS'!$B$4:$B$2000,$A40,'DATA ENVIOS'!$D$4:$D$2000,"Entregado")</f>
        <v>4</v>
      </c>
      <c r="D40" s="45" t="str">
        <f>IF($B40='INFO VENDEDOR'!$B$3,COUNTIFS($B$4:$B$177,'INFO VENDEDOR'!$B$3,$C$4:$C$177,"&gt;"&amp;$C40)+COUNTIFS($B$4:$B40,'INFO VENDEDOR'!$B$3,$C$4:$C40,$C40),"")</f>
        <v/>
      </c>
    </row>
    <row r="41" ht="15.75" customHeight="1">
      <c r="A41" s="44" t="str">
        <f>Tiendas!$A60</f>
        <v>Ozko</v>
      </c>
      <c r="B41" s="45" t="str">
        <f>Tiendas!$B60</f>
        <v>ALEXIS</v>
      </c>
      <c r="C41" s="45">
        <f>COUNTIFS('DATA ENVIOS'!$B$4:$B$2000,$A41,'DATA ENVIOS'!$D$4:$D$2000,"Entregado")</f>
        <v>3</v>
      </c>
      <c r="D41" s="45" t="str">
        <f>IF($B41='INFO VENDEDOR'!$B$3,COUNTIFS($B$4:$B$177,'INFO VENDEDOR'!$B$3,$C$4:$C$177,"&gt;"&amp;$C41)+COUNTIFS($B$4:$B41,'INFO VENDEDOR'!$B$3,$C$4:$C41,$C41),"")</f>
        <v/>
      </c>
    </row>
    <row r="42" ht="15.75" customHeight="1">
      <c r="A42" s="44" t="str">
        <f>Tiendas!$A24</f>
        <v>Sofía's Store</v>
      </c>
      <c r="B42" s="45" t="str">
        <f>Tiendas!$B24</f>
        <v>ALEXIS</v>
      </c>
      <c r="C42" s="45">
        <f>COUNTIFS('DATA ENVIOS'!$B$4:$B$2000,$A42,'DATA ENVIOS'!$D$4:$D$2000,"Entregado")</f>
        <v>3</v>
      </c>
      <c r="D42" s="45" t="str">
        <f>IF($B42='INFO VENDEDOR'!$B$3,COUNTIFS($B$4:$B$177,'INFO VENDEDOR'!$B$3,$C$4:$C$177,"&gt;"&amp;$C42)+COUNTIFS($B$4:$B42,'INFO VENDEDOR'!$B$3,$C$4:$C42,$C42),"")</f>
        <v/>
      </c>
    </row>
    <row r="43" ht="15.75" customHeight="1">
      <c r="A43" s="44" t="str">
        <f>Tiendas!$A19</f>
        <v>Importa Pe</v>
      </c>
      <c r="B43" s="45" t="str">
        <f>Tiendas!$B19</f>
        <v>SEBASTIAN</v>
      </c>
      <c r="C43" s="45">
        <f>COUNTIFS('DATA ENVIOS'!$B$4:$B$2000,$A43,'DATA ENVIOS'!$D$4:$D$2000,"Entregado")</f>
        <v>3</v>
      </c>
      <c r="D43" s="45" t="str">
        <f>IF($B43='INFO VENDEDOR'!$B$3,COUNTIFS($B$4:$B$177,'INFO VENDEDOR'!$B$3,$C$4:$C$177,"&gt;"&amp;$C43)+COUNTIFS($B$4:$B43,'INFO VENDEDOR'!$B$3,$C$4:$C43,$C43),"")</f>
        <v/>
      </c>
    </row>
    <row r="44" ht="15.75" customHeight="1">
      <c r="A44" s="44" t="str">
        <f>Tiendas!$A67</f>
        <v>Audra</v>
      </c>
      <c r="B44" s="45" t="str">
        <f>Tiendas!$B67</f>
        <v>SEBASTIAN</v>
      </c>
      <c r="C44" s="45">
        <f>COUNTIFS('DATA ENVIOS'!$B$4:$B$1000,$A44,'DATA ENVIOS'!$D$4:$D$1000,"Entregado")</f>
        <v>3</v>
      </c>
      <c r="D44" s="45" t="str">
        <f>IF($B44='INFO VENDEDOR'!$B$3,COUNTIFS($B$4:$B$177,'INFO VENDEDOR'!$B$3,$C$4:$C$177,"&gt;"&amp;$C44)+COUNTIFS($B$4:$B44,'INFO VENDEDOR'!$B$3,$C$4:$C44,$C44),"")</f>
        <v/>
      </c>
    </row>
    <row r="45" ht="15.75" customHeight="1">
      <c r="A45" s="44" t="str">
        <f>Tiendas!$A9</f>
        <v>speechless_peru</v>
      </c>
      <c r="B45" s="45" t="str">
        <f>Tiendas!$B9</f>
        <v>CHRISTIAN</v>
      </c>
      <c r="C45" s="45">
        <f>COUNTIFS('DATA ENVIOS'!$B$4:$B$2000,$A45,'DATA ENVIOS'!$D$4:$D$2000,"Entregado")</f>
        <v>2</v>
      </c>
      <c r="D45" s="45" t="str">
        <f>IF($B45='INFO VENDEDOR'!$B$3,COUNTIFS($B$4:$B$177,'INFO VENDEDOR'!$B$3,$C$4:$C$177,"&gt;"&amp;$C45)+COUNTIFS($B$4:$B45,'INFO VENDEDOR'!$B$3,$C$4:$C45,$C45),"")</f>
        <v/>
      </c>
    </row>
    <row r="46" ht="15.75" customHeight="1">
      <c r="A46" s="44" t="str">
        <f>Tiendas!$A45</f>
        <v>Luixtech Store</v>
      </c>
      <c r="B46" s="45" t="str">
        <f>Tiendas!$B45</f>
        <v>ALEXIS</v>
      </c>
      <c r="C46" s="45">
        <f>COUNTIFS('DATA ENVIOS'!$B$4:$B$2000,$A46,'DATA ENVIOS'!$D$4:$D$2000,"Entregado")</f>
        <v>2</v>
      </c>
      <c r="D46" s="45" t="str">
        <f>IF($B46='INFO VENDEDOR'!$B$3,COUNTIFS($B$4:$B$177,'INFO VENDEDOR'!$B$3,$C$4:$C$177,"&gt;"&amp;$C46)+COUNTIFS($B$4:$B46,'INFO VENDEDOR'!$B$3,$C$4:$C46,$C46),"")</f>
        <v/>
      </c>
    </row>
    <row r="47" ht="15.75" customHeight="1">
      <c r="A47" s="44" t="str">
        <f>Tiendas!$A16</f>
        <v>Dmarc Gafas exclusivas</v>
      </c>
      <c r="B47" s="45" t="str">
        <f>Tiendas!$B16</f>
        <v>SANDRA</v>
      </c>
      <c r="C47" s="45">
        <f>COUNTIFS('DATA ENVIOS'!$B$4:$B$2000,$A47,'DATA ENVIOS'!$D$4:$D$2000,"Entregado")</f>
        <v>2</v>
      </c>
      <c r="D47" s="45" t="str">
        <f>IF($B47='INFO VENDEDOR'!$B$3,COUNTIFS($B$4:$B$177,'INFO VENDEDOR'!$B$3,$C$4:$C$177,"&gt;"&amp;$C47)+COUNTIFS($B$4:$B47,'INFO VENDEDOR'!$B$3,$C$4:$C47,$C47),"")</f>
        <v/>
      </c>
    </row>
    <row r="48" ht="15.75" customHeight="1">
      <c r="A48" s="44" t="str">
        <f>Tiendas!$A61</f>
        <v>Emerald</v>
      </c>
      <c r="B48" s="45" t="str">
        <f>Tiendas!$B61</f>
        <v>ALEXIS</v>
      </c>
      <c r="C48" s="45">
        <f>COUNTIFS('DATA ENVIOS'!$B$4:$B$2000,$A48,'DATA ENVIOS'!$D$4:$D$2000,"Entregado")</f>
        <v>2</v>
      </c>
      <c r="D48" s="45" t="str">
        <f>IF($B48='INFO VENDEDOR'!$B$3,COUNTIFS($B$4:$B$177,'INFO VENDEDOR'!$B$3,$C$4:$C$177,"&gt;"&amp;$C48)+COUNTIFS($B$4:$B48,'INFO VENDEDOR'!$B$3,$C$4:$C48,$C48),"")</f>
        <v/>
      </c>
    </row>
    <row r="49" ht="15.75" customHeight="1">
      <c r="A49" s="44" t="str">
        <f>Tiendas!$A62</f>
        <v>Lalazuliv</v>
      </c>
      <c r="B49" s="45" t="str">
        <f>Tiendas!$B62</f>
        <v>CHRISTIAN</v>
      </c>
      <c r="C49" s="45">
        <f>COUNTIFS('DATA ENVIOS'!$B$4:$B$2000,$A49,'DATA ENVIOS'!$D$4:$D$2000,"Entregado")</f>
        <v>2</v>
      </c>
      <c r="D49" s="45" t="str">
        <f>IF($B49='INFO VENDEDOR'!$B$3,COUNTIFS($B$4:$B$177,'INFO VENDEDOR'!$B$3,$C$4:$C$177,"&gt;"&amp;$C49)+COUNTIFS($B$4:$B49,'INFO VENDEDOR'!$B$3,$C$4:$C49,$C49),"")</f>
        <v/>
      </c>
    </row>
    <row r="50" ht="15.75" customHeight="1">
      <c r="A50" s="44" t="str">
        <f>Tiendas!$A56</f>
        <v>RyJ Store</v>
      </c>
      <c r="B50" s="45" t="str">
        <f>Tiendas!$B56</f>
        <v>SEBASTIAN</v>
      </c>
      <c r="C50" s="45">
        <f>COUNTIFS('DATA ENVIOS'!$B$4:$B$2000,$A50,'DATA ENVIOS'!$D$4:$D$2000,"Entregado")</f>
        <v>2</v>
      </c>
      <c r="D50" s="45" t="str">
        <f>IF($B50='INFO VENDEDOR'!$B$3,COUNTIFS($B$4:$B$177,'INFO VENDEDOR'!$B$3,$C$4:$C$177,"&gt;"&amp;$C50)+COUNTIFS($B$4:$B50,'INFO VENDEDOR'!$B$3,$C$4:$C50,$C50),"")</f>
        <v/>
      </c>
    </row>
    <row r="51" ht="15.75" customHeight="1">
      <c r="A51" s="44" t="str">
        <f>Tiendas!$A15</f>
        <v>ALOANKA IMPORT</v>
      </c>
      <c r="B51" s="45" t="str">
        <f>Tiendas!$B15</f>
        <v>SANDRA</v>
      </c>
      <c r="C51" s="45">
        <f>COUNTIFS('DATA ENVIOS'!$B$4:$B$2000,$A51,'DATA ENVIOS'!$D$4:$D$2000,"Entregado")</f>
        <v>2</v>
      </c>
      <c r="D51" s="45" t="str">
        <f>IF($B51='INFO VENDEDOR'!$B$3,COUNTIFS($B$4:$B$177,'INFO VENDEDOR'!$B$3,$C$4:$C$177,"&gt;"&amp;$C51)+COUNTIFS($B$4:$B51,'INFO VENDEDOR'!$B$3,$C$4:$C51,$C51),"")</f>
        <v/>
      </c>
    </row>
    <row r="52" ht="15.75" customHeight="1">
      <c r="A52" s="44" t="str">
        <f>Tiendas!$A36</f>
        <v>Lavandería Revollé</v>
      </c>
      <c r="B52" s="45" t="str">
        <f>Tiendas!$B36</f>
        <v>ALEXIS</v>
      </c>
      <c r="C52" s="45">
        <f>COUNTIFS('DATA ENVIOS'!$B$4:$B$2000,$A52,'DATA ENVIOS'!$D$4:$D$2000,"Entregado")</f>
        <v>2</v>
      </c>
      <c r="D52" s="45" t="str">
        <f>IF($B52='INFO VENDEDOR'!$B$3,COUNTIFS($B$4:$B$177,'INFO VENDEDOR'!$B$3,$C$4:$C$177,"&gt;"&amp;$C52)+COUNTIFS($B$4:$B52,'INFO VENDEDOR'!$B$3,$C$4:$C52,$C52),"")</f>
        <v/>
      </c>
    </row>
    <row r="53" ht="15.75" customHeight="1">
      <c r="A53" s="44" t="str">
        <f>Tiendas!$A43</f>
        <v>GOOD CHOICE</v>
      </c>
      <c r="B53" s="45" t="str">
        <f>Tiendas!$B43</f>
        <v>SEBASTIAN</v>
      </c>
      <c r="C53" s="45">
        <f>COUNTIFS('DATA ENVIOS'!$B$4:$B$2000,$A53,'DATA ENVIOS'!$D$4:$D$2000,"Entregado")</f>
        <v>2</v>
      </c>
      <c r="D53" s="45" t="str">
        <f>IF($B53='INFO VENDEDOR'!$B$3,COUNTIFS($B$4:$B$177,'INFO VENDEDOR'!$B$3,$C$4:$C$177,"&gt;"&amp;$C53)+COUNTIFS($B$4:$B53,'INFO VENDEDOR'!$B$3,$C$4:$C53,$C53),"")</f>
        <v/>
      </c>
    </row>
    <row r="54" ht="15.75" customHeight="1">
      <c r="A54" s="44" t="str">
        <f>Tiendas!$A29</f>
        <v>SPRING</v>
      </c>
      <c r="B54" s="45" t="str">
        <f>Tiendas!$B29</f>
        <v>SEBASTIAN</v>
      </c>
      <c r="C54" s="45">
        <f>COUNTIFS('DATA ENVIOS'!$B$4:$B$2000,$A54,'DATA ENVIOS'!$D$4:$D$2000,"Entregado")</f>
        <v>2</v>
      </c>
      <c r="D54" s="45" t="str">
        <f>IF($B54='INFO VENDEDOR'!$B$3,COUNTIFS($B$4:$B$177,'INFO VENDEDOR'!$B$3,$C$4:$C$177,"&gt;"&amp;$C54)+COUNTIFS($B$4:$B54,'INFO VENDEDOR'!$B$3,$C$4:$C54,$C54),"")</f>
        <v/>
      </c>
    </row>
    <row r="55" ht="15.75" customHeight="1">
      <c r="A55" s="44" t="str">
        <f>Tiendas!$A35</f>
        <v>COROTY TENDENCIA SECRETA</v>
      </c>
      <c r="B55" s="45" t="str">
        <f>Tiendas!$B35</f>
        <v>CHRISTIAN</v>
      </c>
      <c r="C55" s="45">
        <f>COUNTIFS('DATA ENVIOS'!$B$4:$B$2000,$A55,'DATA ENVIOS'!$D$4:$D$2000,"Entregado")</f>
        <v>2</v>
      </c>
      <c r="D55" s="45" t="str">
        <f>IF($B55='INFO VENDEDOR'!$B$3,COUNTIFS($B$4:$B$177,'INFO VENDEDOR'!$B$3,$C$4:$C$177,"&gt;"&amp;$C55)+COUNTIFS($B$4:$B55,'INFO VENDEDOR'!$B$3,$C$4:$C55,$C55),"")</f>
        <v/>
      </c>
    </row>
    <row r="56" ht="15.75" customHeight="1">
      <c r="A56" s="44" t="str">
        <f>Tiendas!$A68</f>
        <v>Yolandita Vestimenta Casual</v>
      </c>
      <c r="B56" s="45" t="str">
        <f>Tiendas!$B68</f>
        <v>JORDAN</v>
      </c>
      <c r="C56" s="45">
        <f>COUNTIFS('DATA ENVIOS'!$B$4:$B$1000,$A56,'DATA ENVIOS'!$D$4:$D$1000,"Entregado")</f>
        <v>2</v>
      </c>
      <c r="D56" s="45">
        <f>IF($B56='INFO VENDEDOR'!$B$3,COUNTIFS($B$4:$B$177,'INFO VENDEDOR'!$B$3,$C$4:$C$177,"&gt;"&amp;$C56)+COUNTIFS($B$4:$B56,'INFO VENDEDOR'!$B$3,$C$4:$C56,$C56),"")</f>
        <v>5</v>
      </c>
    </row>
    <row r="57" ht="15.75" customHeight="1">
      <c r="A57" s="44" t="str">
        <f>Tiendas!$A74</f>
        <v>Fiopy store</v>
      </c>
      <c r="B57" s="45" t="str">
        <f>Tiendas!$B74</f>
        <v>JORDAN</v>
      </c>
      <c r="C57" s="45">
        <f>COUNTIFS('DATA ENVIOS'!$B$4:$B$1000,$A57,'DATA ENVIOS'!$D$4:$D$1000,"Entregado")</f>
        <v>2</v>
      </c>
      <c r="D57" s="45">
        <f>IF($B57='INFO VENDEDOR'!$B$3,COUNTIFS($B$4:$B$177,'INFO VENDEDOR'!$B$3,$C$4:$C$177,"&gt;"&amp;$C57)+COUNTIFS($B$4:$B57,'INFO VENDEDOR'!$B$3,$C$4:$C57,$C57),"")</f>
        <v>6</v>
      </c>
    </row>
    <row r="58" ht="15.75" customHeight="1">
      <c r="A58" s="44" t="str">
        <f>Tiendas!$A78</f>
        <v>DON PET</v>
      </c>
      <c r="B58" s="45" t="str">
        <f>Tiendas!$B78</f>
        <v>CHRISTIAN</v>
      </c>
      <c r="C58" s="45">
        <f>COUNTIFS('DATA ENVIOS'!$B$4:$B$1000,$A58,'DATA ENVIOS'!$D$4:$D$1000,"Entregado")</f>
        <v>2</v>
      </c>
      <c r="D58" s="45" t="str">
        <f>IF($B58='INFO VENDEDOR'!$B$3,COUNTIFS($B$4:$B$177,'INFO VENDEDOR'!$B$3,$C$4:$C$177,"&gt;"&amp;$C58)+COUNTIFS($B$4:$B58,'INFO VENDEDOR'!$B$3,$C$4:$C58,$C58),"")</f>
        <v/>
      </c>
    </row>
    <row r="59" ht="15.75" customHeight="1">
      <c r="A59" s="44" t="str">
        <f>Tiendas!$A44</f>
        <v>Joyería y Relojería Condor</v>
      </c>
      <c r="B59" s="45" t="str">
        <f>Tiendas!$B44</f>
        <v>CHRISTIAN</v>
      </c>
      <c r="C59" s="45">
        <f>COUNTIFS('DATA ENVIOS'!$B$4:$B$2000,$A59,'DATA ENVIOS'!$D$4:$D$2000,"Entregado")</f>
        <v>1</v>
      </c>
      <c r="D59" s="45" t="str">
        <f>IF($B59='INFO VENDEDOR'!$B$3,COUNTIFS($B$4:$B$177,'INFO VENDEDOR'!$B$3,$C$4:$C$177,"&gt;"&amp;$C59)+COUNTIFS($B$4:$B59,'INFO VENDEDOR'!$B$3,$C$4:$C59,$C59),"")</f>
        <v/>
      </c>
    </row>
    <row r="60" ht="15.75" customHeight="1">
      <c r="A60" s="44" t="str">
        <f>Tiendas!$A6</f>
        <v>FELIPE AMORIN CABALLERO</v>
      </c>
      <c r="B60" s="45" t="str">
        <f>Tiendas!$B6</f>
        <v>CHRISTIAN</v>
      </c>
      <c r="C60" s="45">
        <f>COUNTIFS('DATA ENVIOS'!$B$4:$B$2000,$A60,'DATA ENVIOS'!$D$4:$D$2000,"Entregado")</f>
        <v>1</v>
      </c>
      <c r="D60" s="45" t="str">
        <f>IF($B60='INFO VENDEDOR'!$B$3,COUNTIFS($B$4:$B$177,'INFO VENDEDOR'!$B$3,$C$4:$C$177,"&gt;"&amp;$C60)+COUNTIFS($B$4:$B60,'INFO VENDEDOR'!$B$3,$C$4:$C60,$C60),"")</f>
        <v/>
      </c>
    </row>
    <row r="61" ht="15.75" customHeight="1">
      <c r="A61" s="44" t="str">
        <f>Tiendas!$A28</f>
        <v>Joyeria Siberiana</v>
      </c>
      <c r="B61" s="45" t="str">
        <f>Tiendas!$B28</f>
        <v>SEBASTIAN</v>
      </c>
      <c r="C61" s="45">
        <f>COUNTIFS('DATA ENVIOS'!$B$4:$B$2000,$A61,'DATA ENVIOS'!$D$4:$D$2000,"Entregado")</f>
        <v>1</v>
      </c>
      <c r="D61" s="45" t="str">
        <f>IF($B61='INFO VENDEDOR'!$B$3,COUNTIFS($B$4:$B$177,'INFO VENDEDOR'!$B$3,$C$4:$C$177,"&gt;"&amp;$C61)+COUNTIFS($B$4:$B61,'INFO VENDEDOR'!$B$3,$C$4:$C61,$C61),"")</f>
        <v/>
      </c>
    </row>
    <row r="62" ht="15.75" customHeight="1">
      <c r="A62" s="44" t="str">
        <f>Tiendas!$A7</f>
        <v>Vrillita</v>
      </c>
      <c r="B62" s="45" t="str">
        <f>Tiendas!$B7</f>
        <v>CHRISTIAN</v>
      </c>
      <c r="C62" s="45">
        <f>COUNTIFS('DATA ENVIOS'!$B$4:$B$2000,$A62,'DATA ENVIOS'!$D$4:$D$2000,"Entregado")</f>
        <v>1</v>
      </c>
      <c r="D62" s="45" t="str">
        <f>IF($B62='INFO VENDEDOR'!$B$3,COUNTIFS($B$4:$B$177,'INFO VENDEDOR'!$B$3,$C$4:$C$177,"&gt;"&amp;$C62)+COUNTIFS($B$4:$B62,'INFO VENDEDOR'!$B$3,$C$4:$C62,$C62),"")</f>
        <v/>
      </c>
    </row>
    <row r="63" ht="15.75" customHeight="1">
      <c r="A63" s="44" t="str">
        <f>Tiendas!$A49</f>
        <v>Greeh gar</v>
      </c>
      <c r="B63" s="45" t="str">
        <f>Tiendas!$B49</f>
        <v>CHRISTIAN</v>
      </c>
      <c r="C63" s="45">
        <f>COUNTIFS('DATA ENVIOS'!$B$4:$B$2000,$A63,'DATA ENVIOS'!$D$4:$D$2000,"Entregado")</f>
        <v>1</v>
      </c>
      <c r="D63" s="45" t="str">
        <f>IF($B63='INFO VENDEDOR'!$B$3,COUNTIFS($B$4:$B$177,'INFO VENDEDOR'!$B$3,$C$4:$C$177,"&gt;"&amp;$C63)+COUNTIFS($B$4:$B63,'INFO VENDEDOR'!$B$3,$C$4:$C63,$C63),"")</f>
        <v/>
      </c>
    </row>
    <row r="64" ht="15.75" customHeight="1">
      <c r="A64" s="48" t="str">
        <f>Tiendas!$A54</f>
        <v>GAMONA</v>
      </c>
      <c r="B64" s="45" t="str">
        <f>Tiendas!$B54</f>
        <v>CHRISTIAN</v>
      </c>
      <c r="C64" s="45">
        <f>COUNTIFS('DATA ENVIOS'!$B$4:$B$2000,$A64,'DATA ENVIOS'!$D$4:$D$2000,"Entregado")</f>
        <v>1</v>
      </c>
      <c r="D64" s="45" t="str">
        <f>IF($B64='INFO VENDEDOR'!$B$3,COUNTIFS($B$4:$B$177,'INFO VENDEDOR'!$B$3,$C$4:$C$177,"&gt;"&amp;$C64)+COUNTIFS($B$4:$B64,'INFO VENDEDOR'!$B$3,$C$4:$C64,$C64),"")</f>
        <v/>
      </c>
    </row>
    <row r="65" ht="15.75" customHeight="1">
      <c r="A65" s="44" t="str">
        <f>Tiendas!$A8</f>
        <v>Tiens By Lucy</v>
      </c>
      <c r="B65" s="45" t="str">
        <f>Tiendas!$B8</f>
        <v>CHRISTIAN</v>
      </c>
      <c r="C65" s="45">
        <f>COUNTIFS('DATA ENVIOS'!$B$4:$B$2000,$A65,'DATA ENVIOS'!$D$4:$D$2000,"Entregado")</f>
        <v>1</v>
      </c>
      <c r="D65" s="45" t="str">
        <f>IF($B65='INFO VENDEDOR'!$B$3,COUNTIFS($B$4:$B$177,'INFO VENDEDOR'!$B$3,$C$4:$C$177,"&gt;"&amp;$C65)+COUNTIFS($B$4:$B65,'INFO VENDEDOR'!$B$3,$C$4:$C65,$C65),"")</f>
        <v/>
      </c>
    </row>
    <row r="66" ht="15.75" customHeight="1">
      <c r="A66" s="44" t="str">
        <f>Tiendas!$A31</f>
        <v>Verveo</v>
      </c>
      <c r="B66" s="45" t="str">
        <f>Tiendas!$B31</f>
        <v>JORDAN</v>
      </c>
      <c r="C66" s="45">
        <f>COUNTIFS('DATA ENVIOS'!$B$4:$B$2000,$A66,'DATA ENVIOS'!$D$4:$D$2000,"Entregado")</f>
        <v>1</v>
      </c>
      <c r="D66" s="45">
        <f>IF($B66='INFO VENDEDOR'!$B$3,COUNTIFS($B$4:$B$177,'INFO VENDEDOR'!$B$3,$C$4:$C$177,"&gt;"&amp;$C66)+COUNTIFS($B$4:$B66,'INFO VENDEDOR'!$B$3,$C$4:$C66,$C66),"")</f>
        <v>7</v>
      </c>
    </row>
    <row r="67" ht="15.75" customHeight="1">
      <c r="A67" s="44" t="str">
        <f>Tiendas!$A39</f>
        <v>MC ORIGINALS</v>
      </c>
      <c r="B67" s="45" t="str">
        <f>Tiendas!$B39</f>
        <v>SEBASTIAN</v>
      </c>
      <c r="C67" s="45">
        <f>COUNTIFS('DATA ENVIOS'!$B$4:$B$2000,$A67,'DATA ENVIOS'!$D$4:$D$2000,"Entregado")</f>
        <v>1</v>
      </c>
      <c r="D67" s="45" t="str">
        <f>IF($B67='INFO VENDEDOR'!$B$3,COUNTIFS($B$4:$B$177,'INFO VENDEDOR'!$B$3,$C$4:$C$177,"&gt;"&amp;$C67)+COUNTIFS($B$4:$B67,'INFO VENDEDOR'!$B$3,$C$4:$C67,$C67),"")</f>
        <v/>
      </c>
    </row>
    <row r="68" ht="15.75" customHeight="1">
      <c r="A68" s="44" t="str">
        <f>Tiendas!$A18</f>
        <v>Elsa Elizabeth Angeles Carrasco</v>
      </c>
      <c r="B68" s="45" t="str">
        <f>Tiendas!$B18</f>
        <v>SEBASTIAN</v>
      </c>
      <c r="C68" s="45">
        <f>COUNTIFS('DATA ENVIOS'!$B$4:$B$2000,$A68,'DATA ENVIOS'!$D$4:$D$2000,"Entregado")</f>
        <v>1</v>
      </c>
      <c r="D68" s="45" t="str">
        <f>IF($B68='INFO VENDEDOR'!$B$3,COUNTIFS($B$4:$B$177,'INFO VENDEDOR'!$B$3,$C$4:$C$177,"&gt;"&amp;$C68)+COUNTIFS($B$4:$B68,'INFO VENDEDOR'!$B$3,$C$4:$C68,$C68),"")</f>
        <v/>
      </c>
    </row>
    <row r="69" ht="15.75" customHeight="1">
      <c r="A69" s="44" t="str">
        <f>Tiendas!$A12</f>
        <v>Industrias Osorio</v>
      </c>
      <c r="B69" s="45" t="str">
        <f>Tiendas!$B12</f>
        <v>JORDAN</v>
      </c>
      <c r="C69" s="45">
        <f>COUNTIFS('DATA ENVIOS'!$B$4:$B$2000,$A69,'DATA ENVIOS'!$D$4:$D$2000,"Entregado")</f>
        <v>1</v>
      </c>
      <c r="D69" s="45">
        <f>IF($B69='INFO VENDEDOR'!$B$3,COUNTIFS($B$4:$B$177,'INFO VENDEDOR'!$B$3,$C$4:$C$177,"&gt;"&amp;$C69)+COUNTIFS($B$4:$B69,'INFO VENDEDOR'!$B$3,$C$4:$C69,$C69),"")</f>
        <v>8</v>
      </c>
    </row>
    <row r="70" ht="15.75" customHeight="1">
      <c r="A70" s="44" t="str">
        <f>Tiendas!$A30</f>
        <v>FABRU SHOP</v>
      </c>
      <c r="B70" s="45" t="str">
        <f>Tiendas!$B30</f>
        <v>CHRISTIAN</v>
      </c>
      <c r="C70" s="45">
        <f>COUNTIFS('DATA ENVIOS'!$B$4:$B$2000,$A70,'DATA ENVIOS'!$D$4:$D$2000,"Entregado")</f>
        <v>1</v>
      </c>
      <c r="D70" s="45" t="str">
        <f>IF($B70='INFO VENDEDOR'!$B$3,COUNTIFS($B$4:$B$177,'INFO VENDEDOR'!$B$3,$C$4:$C$177,"&gt;"&amp;$C70)+COUNTIFS($B$4:$B70,'INFO VENDEDOR'!$B$3,$C$4:$C70,$C70),"")</f>
        <v/>
      </c>
    </row>
    <row r="71" ht="15.75" customHeight="1">
      <c r="A71" s="44" t="str">
        <f>Tiendas!$A50</f>
        <v>YESSICA TORRES</v>
      </c>
      <c r="B71" s="45" t="str">
        <f>Tiendas!$B50</f>
        <v>CHRISTIAN</v>
      </c>
      <c r="C71" s="45">
        <f>COUNTIFS('DATA ENVIOS'!$B$4:$B$2000,$A71,'DATA ENVIOS'!$D$4:$D$2000,"Entregado")</f>
        <v>1</v>
      </c>
      <c r="D71" s="45" t="str">
        <f>IF($B71='INFO VENDEDOR'!$B$3,COUNTIFS($B$4:$B$177,'INFO VENDEDOR'!$B$3,$C$4:$C$177,"&gt;"&amp;$C71)+COUNTIFS($B$4:$B71,'INFO VENDEDOR'!$B$3,$C$4:$C71,$C71),"")</f>
        <v/>
      </c>
    </row>
    <row r="72" ht="15.75" customHeight="1">
      <c r="A72" s="44" t="str">
        <f>Tiendas!$A23</f>
        <v>FWP express</v>
      </c>
      <c r="B72" s="45" t="str">
        <f>Tiendas!$B23</f>
        <v>ALEXIS</v>
      </c>
      <c r="C72" s="45">
        <f>COUNTIFS('DATA ENVIOS'!$B$4:$B$2000,$A72,'DATA ENVIOS'!$D$4:$D$2000,"Entregado")</f>
        <v>1</v>
      </c>
      <c r="D72" s="45" t="str">
        <f>IF($B72='INFO VENDEDOR'!$B$3,COUNTIFS($B$4:$B$177,'INFO VENDEDOR'!$B$3,$C$4:$C$177,"&gt;"&amp;$C72)+COUNTIFS($B$4:$B72,'INFO VENDEDOR'!$B$3,$C$4:$C72,$C72),"")</f>
        <v/>
      </c>
    </row>
    <row r="73" ht="15.75" customHeight="1">
      <c r="A73" s="44" t="str">
        <f>Tiendas!$A13</f>
        <v>NAYTEL STORE</v>
      </c>
      <c r="B73" s="45" t="str">
        <f>Tiendas!$B13</f>
        <v>JORDAN</v>
      </c>
      <c r="C73" s="45">
        <f>COUNTIFS('DATA ENVIOS'!$B$4:$B$2000,$A73,'DATA ENVIOS'!$D$4:$D$2000,"Entregado")</f>
        <v>1</v>
      </c>
      <c r="D73" s="45">
        <f>IF($B73='INFO VENDEDOR'!$B$3,COUNTIFS($B$4:$B$177,'INFO VENDEDOR'!$B$3,$C$4:$C$177,"&gt;"&amp;$C73)+COUNTIFS($B$4:$B73,'INFO VENDEDOR'!$B$3,$C$4:$C73,$C73),"")</f>
        <v>9</v>
      </c>
    </row>
    <row r="74" ht="15.75" customHeight="1">
      <c r="A74" s="44" t="str">
        <f>Tiendas!$A41</f>
        <v>AnkalliStore</v>
      </c>
      <c r="B74" s="45" t="str">
        <f>Tiendas!$B41</f>
        <v>SANDRA</v>
      </c>
      <c r="C74" s="45">
        <f>COUNTIFS('DATA ENVIOS'!$B$4:$B$2000,$A74,'DATA ENVIOS'!$D$4:$D$2000,"Entregado")</f>
        <v>1</v>
      </c>
      <c r="D74" s="45" t="str">
        <f>IF($B74='INFO VENDEDOR'!$B$3,COUNTIFS($B$4:$B$177,'INFO VENDEDOR'!$B$3,$C$4:$C$177,"&gt;"&amp;$C74)+COUNTIFS($B$4:$B74,'INFO VENDEDOR'!$B$3,$C$4:$C74,$C74),"")</f>
        <v/>
      </c>
    </row>
    <row r="75" ht="15.75" customHeight="1">
      <c r="A75" s="44" t="str">
        <f>Tiendas!$A48</f>
        <v>Tienda Maranatha</v>
      </c>
      <c r="B75" s="45" t="str">
        <f>Tiendas!$B48</f>
        <v>SANDRA</v>
      </c>
      <c r="C75" s="45">
        <f>COUNTIFS('DATA ENVIOS'!$B$4:$B$2000,$A75,'DATA ENVIOS'!$D$4:$D$2000,"Entregado")</f>
        <v>1</v>
      </c>
      <c r="D75" s="45" t="str">
        <f>IF($B75='INFO VENDEDOR'!$B$3,COUNTIFS($B$4:$B$177,'INFO VENDEDOR'!$B$3,$C$4:$C$177,"&gt;"&amp;$C75)+COUNTIFS($B$4:$B75,'INFO VENDEDOR'!$B$3,$C$4:$C75,$C75),"")</f>
        <v/>
      </c>
    </row>
    <row r="76" ht="15.75" customHeight="1">
      <c r="A76" s="44" t="str">
        <f>Tiendas!$A72</f>
        <v>Camilu Store</v>
      </c>
      <c r="B76" s="45" t="str">
        <f>Tiendas!$B72</f>
        <v>SANDRA</v>
      </c>
      <c r="C76" s="45">
        <f>COUNTIFS('DATA ENVIOS'!$B$4:$B$1000,$A76,'DATA ENVIOS'!$D$4:$D$1000,"Entregado")</f>
        <v>1</v>
      </c>
      <c r="D76" s="45" t="str">
        <f>IF($B76='INFO VENDEDOR'!$B$3,COUNTIFS($B$4:$B$177,'INFO VENDEDOR'!$B$3,$C$4:$C$177,"&gt;"&amp;$C76)+COUNTIFS($B$4:$B76,'INFO VENDEDOR'!$B$3,$C$4:$C76,$C76),"")</f>
        <v/>
      </c>
    </row>
    <row r="77" ht="15.75" customHeight="1">
      <c r="A77" s="44" t="str">
        <f>Tiendas!$A76</f>
        <v>nyconbex sac</v>
      </c>
      <c r="B77" s="45" t="str">
        <f>Tiendas!$B76</f>
        <v>CHRISTIAN</v>
      </c>
      <c r="C77" s="45">
        <f>COUNTIFS('DATA ENVIOS'!$B$4:$B$1000,$A77,'DATA ENVIOS'!$D$4:$D$1000,"Entregado")</f>
        <v>1</v>
      </c>
      <c r="D77" s="45" t="str">
        <f>IF($B77='INFO VENDEDOR'!$B$3,COUNTIFS($B$4:$B$177,'INFO VENDEDOR'!$B$3,$C$4:$C$177,"&gt;"&amp;$C77)+COUNTIFS($B$4:$B77,'INFO VENDEDOR'!$B$3,$C$4:$C77,$C77),"")</f>
        <v/>
      </c>
    </row>
    <row r="78" ht="15.75" customHeight="1">
      <c r="A78" s="44" t="str">
        <f>Tiendas!$A77</f>
        <v>TIENDA RESTART</v>
      </c>
      <c r="B78" s="45" t="str">
        <f>Tiendas!$B77</f>
        <v>CHRISTIAN</v>
      </c>
      <c r="C78" s="45">
        <f>COUNTIFS('DATA ENVIOS'!$B$4:$B$1000,$A78,'DATA ENVIOS'!$D$4:$D$1000,"Entregado")</f>
        <v>1</v>
      </c>
      <c r="D78" s="45" t="str">
        <f>IF($B78='INFO VENDEDOR'!$B$3,COUNTIFS($B$4:$B$177,'INFO VENDEDOR'!$B$3,$C$4:$C$177,"&gt;"&amp;$C78)+COUNTIFS($B$4:$B78,'INFO VENDEDOR'!$B$3,$C$4:$C78,$C78),"")</f>
        <v/>
      </c>
    </row>
    <row r="79" ht="15.75" customHeight="1">
      <c r="A79" s="44" t="str">
        <f t="shared" ref="A79:B79" si="1">#REF!</f>
        <v>#REF!</v>
      </c>
      <c r="B79" s="45" t="str">
        <f t="shared" si="1"/>
        <v>#REF!</v>
      </c>
      <c r="C79" s="45">
        <f>COUNTIFS('DATA ENVIOS'!$B$4:$B$2000,$A79,'DATA ENVIOS'!$D$4:$D$2000,"Entregado")</f>
        <v>0</v>
      </c>
      <c r="D79" s="45" t="str">
        <f>IF($B79='INFO VENDEDOR'!$B$3,COUNTIFS($B$4:$B$177,'INFO VENDEDOR'!$B$3,$C$4:$C$177,"&gt;"&amp;$C79)+COUNTIFS($B$4:$B79,'INFO VENDEDOR'!$B$3,$C$4:$C79,$C79),"")</f>
        <v>#REF!</v>
      </c>
    </row>
    <row r="80" ht="15.75" customHeight="1">
      <c r="A80" s="44" t="str">
        <f>Tiendas!$A79</f>
        <v/>
      </c>
      <c r="B80" s="45" t="str">
        <f>Tiendas!$B79</f>
        <v/>
      </c>
      <c r="C80" s="45">
        <f>COUNTIFS('DATA ENVIOS'!$B$4:$B$1000,$A80,'DATA ENVIOS'!$D$4:$D$1000,"Entregado")</f>
        <v>0</v>
      </c>
      <c r="D80" s="45" t="str">
        <f>IF($B80='INFO VENDEDOR'!$B$3,COUNTIFS($B$4:$B$177,'INFO VENDEDOR'!$B$3,$C$4:$C$177,"&gt;"&amp;$C80)+COUNTIFS($B$4:$B80,'INFO VENDEDOR'!$B$3,$C$4:$C80,$C80),"")</f>
        <v/>
      </c>
    </row>
    <row r="81" ht="15.75" customHeight="1">
      <c r="A81" s="44" t="str">
        <f>Tiendas!$A80</f>
        <v/>
      </c>
      <c r="B81" s="45" t="str">
        <f>Tiendas!$B80</f>
        <v/>
      </c>
      <c r="C81" s="45">
        <f>COUNTIFS('DATA ENVIOS'!$B$4:$B$1000,$A81,'DATA ENVIOS'!$D$4:$D$1000,"Entregado")</f>
        <v>0</v>
      </c>
      <c r="D81" s="45" t="str">
        <f>IF($B81='INFO VENDEDOR'!$B$3,COUNTIFS($B$4:$B$177,'INFO VENDEDOR'!$B$3,$C$4:$C$177,"&gt;"&amp;$C81)+COUNTIFS($B$4:$B81,'INFO VENDEDOR'!$B$3,$C$4:$C81,$C81),"")</f>
        <v/>
      </c>
    </row>
    <row r="82" ht="15.75" customHeight="1">
      <c r="A82" s="44" t="str">
        <f>Tiendas!$A81</f>
        <v/>
      </c>
      <c r="B82" s="45" t="str">
        <f>Tiendas!$B81</f>
        <v/>
      </c>
      <c r="C82" s="45">
        <f>COUNTIFS('DATA ENVIOS'!$B$4:$B$1000,$A82,'DATA ENVIOS'!$D$4:$D$1000,"Entregado")</f>
        <v>0</v>
      </c>
      <c r="D82" s="45" t="str">
        <f>IF($B82='INFO VENDEDOR'!$B$3,COUNTIFS($B$4:$B$177,'INFO VENDEDOR'!$B$3,$C$4:$C$177,"&gt;"&amp;$C82)+COUNTIFS($B$4:$B82,'INFO VENDEDOR'!$B$3,$C$4:$C82,$C82),"")</f>
        <v/>
      </c>
    </row>
    <row r="83" ht="15.75" customHeight="1">
      <c r="A83" s="44" t="str">
        <f>Tiendas!$A82</f>
        <v/>
      </c>
      <c r="B83" s="45" t="str">
        <f>Tiendas!$B82</f>
        <v/>
      </c>
      <c r="C83" s="45">
        <f>COUNTIFS('DATA ENVIOS'!$B$4:$B$1000,$A83,'DATA ENVIOS'!$D$4:$D$1000,"Entregado")</f>
        <v>0</v>
      </c>
      <c r="D83" s="45" t="str">
        <f>IF($B83='INFO VENDEDOR'!$B$3,COUNTIFS($B$4:$B$177,'INFO VENDEDOR'!$B$3,$C$4:$C$177,"&gt;"&amp;$C83)+COUNTIFS($B$4:$B83,'INFO VENDEDOR'!$B$3,$C$4:$C83,$C83),"")</f>
        <v/>
      </c>
    </row>
    <row r="84" ht="15.75" customHeight="1">
      <c r="A84" s="44" t="str">
        <f>Tiendas!$A83</f>
        <v/>
      </c>
      <c r="B84" s="45" t="str">
        <f>Tiendas!$B83</f>
        <v/>
      </c>
      <c r="C84" s="45">
        <f>COUNTIFS('DATA ENVIOS'!$B$4:$B$1000,$A84,'DATA ENVIOS'!$D$4:$D$1000,"Entregado")</f>
        <v>0</v>
      </c>
      <c r="D84" s="45" t="str">
        <f>IF($B84='INFO VENDEDOR'!$B$3,COUNTIFS($B$4:$B$177,'INFO VENDEDOR'!$B$3,$C$4:$C$177,"&gt;"&amp;$C84)+COUNTIFS($B$4:$B84,'INFO VENDEDOR'!$B$3,$C$4:$C84,$C84),"")</f>
        <v/>
      </c>
    </row>
    <row r="85" ht="15.75" customHeight="1">
      <c r="A85" s="44" t="str">
        <f>Tiendas!$A84</f>
        <v/>
      </c>
      <c r="B85" s="45" t="str">
        <f>Tiendas!$B84</f>
        <v/>
      </c>
      <c r="C85" s="45">
        <f>COUNTIFS('DATA ENVIOS'!$B$4:$B$1000,$A85,'DATA ENVIOS'!$D$4:$D$1000,"Entregado")</f>
        <v>0</v>
      </c>
      <c r="D85" s="45" t="str">
        <f>IF($B85='INFO VENDEDOR'!$B$3,COUNTIFS($B$4:$B$177,'INFO VENDEDOR'!$B$3,$C$4:$C$177,"&gt;"&amp;$C85)+COUNTIFS($B$4:$B85,'INFO VENDEDOR'!$B$3,$C$4:$C85,$C85),"")</f>
        <v/>
      </c>
    </row>
    <row r="86" ht="15.75" customHeight="1">
      <c r="A86" s="44" t="str">
        <f>Tiendas!$A85</f>
        <v/>
      </c>
      <c r="B86" s="45" t="str">
        <f>Tiendas!$B85</f>
        <v/>
      </c>
      <c r="C86" s="45">
        <f>COUNTIFS('DATA ENVIOS'!$B$4:$B$1000,$A86,'DATA ENVIOS'!$D$4:$D$1000,"Entregado")</f>
        <v>0</v>
      </c>
      <c r="D86" s="45" t="str">
        <f>IF($B86='INFO VENDEDOR'!$B$3,COUNTIFS($B$4:$B$177,'INFO VENDEDOR'!$B$3,$C$4:$C$177,"&gt;"&amp;$C86)+COUNTIFS($B$4:$B86,'INFO VENDEDOR'!$B$3,$C$4:$C86,$C86),"")</f>
        <v/>
      </c>
    </row>
    <row r="87" ht="15.75" customHeight="1">
      <c r="A87" s="44" t="str">
        <f>Tiendas!$A86</f>
        <v/>
      </c>
      <c r="B87" s="45" t="str">
        <f>Tiendas!$B86</f>
        <v/>
      </c>
      <c r="C87" s="45">
        <f>COUNTIFS('DATA ENVIOS'!$B$4:$B$1000,$A87,'DATA ENVIOS'!$D$4:$D$1000,"Entregado")</f>
        <v>0</v>
      </c>
      <c r="D87" s="45" t="str">
        <f>IF($B87='INFO VENDEDOR'!$B$3,COUNTIFS($B$4:$B$177,'INFO VENDEDOR'!$B$3,$C$4:$C$177,"&gt;"&amp;$C87)+COUNTIFS($B$4:$B87,'INFO VENDEDOR'!$B$3,$C$4:$C87,$C87),"")</f>
        <v/>
      </c>
    </row>
    <row r="88" ht="15.75" customHeight="1">
      <c r="A88" s="44" t="str">
        <f>Tiendas!$A87</f>
        <v/>
      </c>
      <c r="B88" s="45" t="str">
        <f>Tiendas!$B87</f>
        <v/>
      </c>
      <c r="C88" s="45">
        <f>COUNTIFS('DATA ENVIOS'!$B$4:$B$1000,$A88,'DATA ENVIOS'!$D$4:$D$1000,"Entregado")</f>
        <v>0</v>
      </c>
      <c r="D88" s="45" t="str">
        <f>IF($B88='INFO VENDEDOR'!$B$3,COUNTIFS($B$4:$B$177,'INFO VENDEDOR'!$B$3,$C$4:$C$177,"&gt;"&amp;$C88)+COUNTIFS($B$4:$B88,'INFO VENDEDOR'!$B$3,$C$4:$C88,$C88),"")</f>
        <v/>
      </c>
    </row>
    <row r="89" ht="15.75" customHeight="1">
      <c r="A89" s="44" t="str">
        <f>Tiendas!$A88</f>
        <v/>
      </c>
      <c r="B89" s="45" t="str">
        <f>Tiendas!$B88</f>
        <v/>
      </c>
      <c r="C89" s="45">
        <f>COUNTIFS('DATA ENVIOS'!$B$4:$B$1000,$A89,'DATA ENVIOS'!$D$4:$D$1000,"Entregado")</f>
        <v>0</v>
      </c>
      <c r="D89" s="45" t="str">
        <f>IF($B89='INFO VENDEDOR'!$B$3,COUNTIFS($B$4:$B$177,'INFO VENDEDOR'!$B$3,$C$4:$C$177,"&gt;"&amp;$C89)+COUNTIFS($B$4:$B89,'INFO VENDEDOR'!$B$3,$C$4:$C89,$C89),"")</f>
        <v/>
      </c>
    </row>
    <row r="90" ht="15.75" customHeight="1">
      <c r="A90" s="44" t="str">
        <f>Tiendas!$A89</f>
        <v/>
      </c>
      <c r="B90" s="45" t="str">
        <f>Tiendas!$B89</f>
        <v/>
      </c>
      <c r="C90" s="45">
        <f>COUNTIFS('DATA ENVIOS'!$B$4:$B$1000,$A90,'DATA ENVIOS'!$D$4:$D$1000,"Entregado")</f>
        <v>0</v>
      </c>
      <c r="D90" s="45" t="str">
        <f>IF($B90='INFO VENDEDOR'!$B$3,COUNTIFS($B$4:$B$177,'INFO VENDEDOR'!$B$3,$C$4:$C$177,"&gt;"&amp;$C90)+COUNTIFS($B$4:$B90,'INFO VENDEDOR'!$B$3,$C$4:$C90,$C90),"")</f>
        <v/>
      </c>
    </row>
    <row r="91" ht="15.75" customHeight="1">
      <c r="A91" s="44" t="str">
        <f>Tiendas!$A90</f>
        <v/>
      </c>
      <c r="B91" s="45" t="str">
        <f>Tiendas!$B90</f>
        <v/>
      </c>
      <c r="C91" s="45">
        <f>COUNTIFS('DATA ENVIOS'!$B$4:$B$1000,$A91,'DATA ENVIOS'!$D$4:$D$1000,"Entregado")</f>
        <v>0</v>
      </c>
      <c r="D91" s="45" t="str">
        <f>IF($B91='INFO VENDEDOR'!$B$3,COUNTIFS($B$4:$B$177,'INFO VENDEDOR'!$B$3,$C$4:$C$177,"&gt;"&amp;$C91)+COUNTIFS($B$4:$B91,'INFO VENDEDOR'!$B$3,$C$4:$C91,$C91),"")</f>
        <v/>
      </c>
    </row>
    <row r="92" ht="15.75" customHeight="1">
      <c r="A92" s="44" t="str">
        <f>Tiendas!$A91</f>
        <v/>
      </c>
      <c r="B92" s="45" t="str">
        <f>Tiendas!$B91</f>
        <v/>
      </c>
      <c r="C92" s="45">
        <f>COUNTIFS('DATA ENVIOS'!$B$4:$B$1000,$A92,'DATA ENVIOS'!$D$4:$D$1000,"Entregado")</f>
        <v>0</v>
      </c>
      <c r="D92" s="45" t="str">
        <f>IF($B92='INFO VENDEDOR'!$B$3,COUNTIFS($B$4:$B$177,'INFO VENDEDOR'!$B$3,$C$4:$C$177,"&gt;"&amp;$C92)+COUNTIFS($B$4:$B92,'INFO VENDEDOR'!$B$3,$C$4:$C92,$C92),"")</f>
        <v/>
      </c>
    </row>
    <row r="93" ht="15.75" customHeight="1">
      <c r="A93" s="44" t="str">
        <f>Tiendas!$A92</f>
        <v/>
      </c>
      <c r="B93" s="45" t="str">
        <f>Tiendas!$B92</f>
        <v/>
      </c>
      <c r="C93" s="45">
        <f>COUNTIFS('DATA ENVIOS'!$B$4:$B$1000,$A93,'DATA ENVIOS'!$D$4:$D$1000,"Entregado")</f>
        <v>0</v>
      </c>
      <c r="D93" s="45" t="str">
        <f>IF($B93='INFO VENDEDOR'!$B$3,COUNTIFS($B$4:$B$177,'INFO VENDEDOR'!$B$3,$C$4:$C$177,"&gt;"&amp;$C93)+COUNTIFS($B$4:$B93,'INFO VENDEDOR'!$B$3,$C$4:$C93,$C93),"")</f>
        <v/>
      </c>
    </row>
    <row r="94" ht="15.75" customHeight="1">
      <c r="A94" s="44" t="str">
        <f>Tiendas!$A93</f>
        <v/>
      </c>
      <c r="B94" s="45" t="str">
        <f>Tiendas!$B93</f>
        <v/>
      </c>
      <c r="C94" s="45">
        <f>COUNTIFS('DATA ENVIOS'!$B$4:$B$1000,$A94,'DATA ENVIOS'!$D$4:$D$1000,"Entregado")</f>
        <v>0</v>
      </c>
      <c r="D94" s="45" t="str">
        <f>IF($B94='INFO VENDEDOR'!$B$3,COUNTIFS($B$4:$B$177,'INFO VENDEDOR'!$B$3,$C$4:$C$177,"&gt;"&amp;$C94)+COUNTIFS($B$4:$B94,'INFO VENDEDOR'!$B$3,$C$4:$C94,$C94),"")</f>
        <v/>
      </c>
    </row>
    <row r="95" ht="15.75" customHeight="1">
      <c r="A95" s="44" t="str">
        <f>Tiendas!$A94</f>
        <v/>
      </c>
      <c r="B95" s="45" t="str">
        <f>Tiendas!$B94</f>
        <v/>
      </c>
      <c r="C95" s="45">
        <f>COUNTIFS('DATA ENVIOS'!$B$4:$B$1000,$A95,'DATA ENVIOS'!$D$4:$D$1000,"Entregado")</f>
        <v>0</v>
      </c>
      <c r="D95" s="45" t="str">
        <f>IF($B95='INFO VENDEDOR'!$B$3,COUNTIFS($B$4:$B$177,'INFO VENDEDOR'!$B$3,$C$4:$C$177,"&gt;"&amp;$C95)+COUNTIFS($B$4:$B95,'INFO VENDEDOR'!$B$3,$C$4:$C95,$C95),"")</f>
        <v/>
      </c>
    </row>
    <row r="96" ht="15.75" customHeight="1">
      <c r="A96" s="44" t="str">
        <f>Tiendas!$A95</f>
        <v/>
      </c>
      <c r="B96" s="45" t="str">
        <f>Tiendas!$B95</f>
        <v/>
      </c>
      <c r="C96" s="45">
        <f>COUNTIFS('DATA ENVIOS'!$B$4:$B$1000,$A96,'DATA ENVIOS'!$D$4:$D$1000,"Entregado")</f>
        <v>0</v>
      </c>
      <c r="D96" s="45" t="str">
        <f>IF($B96='INFO VENDEDOR'!$B$3,COUNTIFS($B$4:$B$177,'INFO VENDEDOR'!$B$3,$C$4:$C$177,"&gt;"&amp;$C96)+COUNTIFS($B$4:$B96,'INFO VENDEDOR'!$B$3,$C$4:$C96,$C96),"")</f>
        <v/>
      </c>
    </row>
    <row r="97" ht="15.75" customHeight="1">
      <c r="A97" s="44" t="str">
        <f>Tiendas!$A96</f>
        <v/>
      </c>
      <c r="B97" s="45" t="str">
        <f>Tiendas!$B96</f>
        <v/>
      </c>
      <c r="C97" s="45">
        <f>COUNTIFS('DATA ENVIOS'!$B$4:$B$1000,$A97,'DATA ENVIOS'!$D$4:$D$1000,"Entregado")</f>
        <v>0</v>
      </c>
      <c r="D97" s="45" t="str">
        <f>IF($B97='INFO VENDEDOR'!$B$3,COUNTIFS($B$4:$B$177,'INFO VENDEDOR'!$B$3,$C$4:$C$177,"&gt;"&amp;$C97)+COUNTIFS($B$4:$B97,'INFO VENDEDOR'!$B$3,$C$4:$C97,$C97),"")</f>
        <v/>
      </c>
    </row>
    <row r="98" ht="15.75" customHeight="1">
      <c r="A98" s="44" t="str">
        <f>Tiendas!$A97</f>
        <v/>
      </c>
      <c r="B98" s="45" t="str">
        <f>Tiendas!$B97</f>
        <v/>
      </c>
      <c r="C98" s="45">
        <f>COUNTIFS('DATA ENVIOS'!$B$4:$B$1000,$A98,'DATA ENVIOS'!$D$4:$D$1000,"Entregado")</f>
        <v>0</v>
      </c>
      <c r="D98" s="45" t="str">
        <f>IF($B98='INFO VENDEDOR'!$B$3,COUNTIFS($B$4:$B$177,'INFO VENDEDOR'!$B$3,$C$4:$C$177,"&gt;"&amp;$C98)+COUNTIFS($B$4:$B98,'INFO VENDEDOR'!$B$3,$C$4:$C98,$C98),"")</f>
        <v/>
      </c>
    </row>
    <row r="99" ht="15.75" customHeight="1">
      <c r="A99" s="44" t="str">
        <f>Tiendas!$A98</f>
        <v/>
      </c>
      <c r="B99" s="45" t="str">
        <f>Tiendas!$B98</f>
        <v/>
      </c>
      <c r="C99" s="45">
        <f>COUNTIFS('DATA ENVIOS'!$B$4:$B$1000,$A99,'DATA ENVIOS'!$D$4:$D$1000,"Entregado")</f>
        <v>0</v>
      </c>
      <c r="D99" s="45" t="str">
        <f>IF($B99='INFO VENDEDOR'!$B$3,COUNTIFS($B$4:$B$177,'INFO VENDEDOR'!$B$3,$C$4:$C$177,"&gt;"&amp;$C99)+COUNTIFS($B$4:$B99,'INFO VENDEDOR'!$B$3,$C$4:$C99,$C99),"")</f>
        <v/>
      </c>
    </row>
    <row r="100" ht="15.75" customHeight="1">
      <c r="A100" s="44" t="str">
        <f>Tiendas!$A99</f>
        <v/>
      </c>
      <c r="B100" s="45" t="str">
        <f>Tiendas!$B99</f>
        <v/>
      </c>
      <c r="C100" s="45">
        <f>COUNTIFS('DATA ENVIOS'!$B$4:$B$1000,$A100,'DATA ENVIOS'!$D$4:$D$1000,"Entregado")</f>
        <v>0</v>
      </c>
      <c r="D100" s="45" t="str">
        <f>IF($B100='INFO VENDEDOR'!$B$3,COUNTIFS($B$4:$B$177,'INFO VENDEDOR'!$B$3,$C$4:$C$177,"&gt;"&amp;$C100)+COUNTIFS($B$4:$B100,'INFO VENDEDOR'!$B$3,$C$4:$C100,$C100),"")</f>
        <v/>
      </c>
    </row>
    <row r="101" ht="15.75" customHeight="1">
      <c r="A101" s="44" t="str">
        <f>Tiendas!$A100</f>
        <v/>
      </c>
      <c r="B101" s="45" t="str">
        <f>Tiendas!$B100</f>
        <v/>
      </c>
      <c r="C101" s="45">
        <f>COUNTIFS('DATA ENVIOS'!$B$4:$B$1000,$A101,'DATA ENVIOS'!$D$4:$D$1000,"Entregado")</f>
        <v>0</v>
      </c>
      <c r="D101" s="45" t="str">
        <f>IF($B101='INFO VENDEDOR'!$B$3,COUNTIFS($B$4:$B$177,'INFO VENDEDOR'!$B$3,$C$4:$C$177,"&gt;"&amp;$C101)+COUNTIFS($B$4:$B101,'INFO VENDEDOR'!$B$3,$C$4:$C101,$C101),"")</f>
        <v/>
      </c>
    </row>
    <row r="102" ht="15.75" customHeight="1">
      <c r="A102" s="44" t="str">
        <f>Tiendas!$A101</f>
        <v/>
      </c>
      <c r="B102" s="45" t="str">
        <f>Tiendas!$B101</f>
        <v/>
      </c>
      <c r="C102" s="45">
        <f>COUNTIFS('DATA ENVIOS'!$B$4:$B$1000,$A102,'DATA ENVIOS'!$D$4:$D$1000,"Entregado")</f>
        <v>0</v>
      </c>
      <c r="D102" s="45" t="str">
        <f>IF($B102='INFO VENDEDOR'!$B$3,COUNTIFS($B$4:$B$177,'INFO VENDEDOR'!$B$3,$C$4:$C$177,"&gt;"&amp;$C102)+COUNTIFS($B$4:$B102,'INFO VENDEDOR'!$B$3,$C$4:$C102,$C102),"")</f>
        <v/>
      </c>
    </row>
    <row r="103" ht="15.75" customHeight="1">
      <c r="A103" s="44" t="str">
        <f>Tiendas!$A102</f>
        <v/>
      </c>
      <c r="B103" s="45" t="str">
        <f>Tiendas!$B102</f>
        <v/>
      </c>
      <c r="C103" s="45">
        <f>COUNTIFS('DATA ENVIOS'!$B$4:$B$1000,$A103,'DATA ENVIOS'!$D$4:$D$1000,"Entregado")</f>
        <v>0</v>
      </c>
      <c r="D103" s="45" t="str">
        <f>IF($B103='INFO VENDEDOR'!$B$3,COUNTIFS($B$4:$B$177,'INFO VENDEDOR'!$B$3,$C$4:$C$177,"&gt;"&amp;$C103)+COUNTIFS($B$4:$B103,'INFO VENDEDOR'!$B$3,$C$4:$C103,$C103),"")</f>
        <v/>
      </c>
    </row>
    <row r="104" ht="15.75" customHeight="1">
      <c r="A104" s="44" t="str">
        <f>Tiendas!$A103</f>
        <v/>
      </c>
      <c r="B104" s="45" t="str">
        <f>Tiendas!$B103</f>
        <v/>
      </c>
      <c r="C104" s="45">
        <f>COUNTIFS('DATA ENVIOS'!$B$4:$B$1000,$A104,'DATA ENVIOS'!$D$4:$D$1000,"Entregado")</f>
        <v>0</v>
      </c>
      <c r="D104" s="45" t="str">
        <f>IF($B104='INFO VENDEDOR'!$B$3,COUNTIFS($B$4:$B$177,'INFO VENDEDOR'!$B$3,$C$4:$C$177,"&gt;"&amp;$C104)+COUNTIFS($B$4:$B104,'INFO VENDEDOR'!$B$3,$C$4:$C104,$C104),"")</f>
        <v/>
      </c>
    </row>
    <row r="105" ht="15.75" customHeight="1">
      <c r="A105" s="44" t="str">
        <f>Tiendas!$A104</f>
        <v/>
      </c>
      <c r="B105" s="45" t="str">
        <f>Tiendas!$B104</f>
        <v/>
      </c>
      <c r="C105" s="45">
        <f>COUNTIFS('DATA ENVIOS'!$B$4:$B$1000,$A105,'DATA ENVIOS'!$D$4:$D$1000,"Entregado")</f>
        <v>0</v>
      </c>
      <c r="D105" s="45" t="str">
        <f>IF($B105='INFO VENDEDOR'!$B$3,COUNTIFS($B$4:$B$177,'INFO VENDEDOR'!$B$3,$C$4:$C$177,"&gt;"&amp;$C105)+COUNTIFS($B$4:$B105,'INFO VENDEDOR'!$B$3,$C$4:$C105,$C105),"")</f>
        <v/>
      </c>
    </row>
    <row r="106" ht="15.75" customHeight="1">
      <c r="A106" s="44" t="str">
        <f>Tiendas!$A105</f>
        <v/>
      </c>
      <c r="B106" s="45" t="str">
        <f>Tiendas!$B105</f>
        <v/>
      </c>
      <c r="C106" s="45">
        <f>COUNTIFS('DATA ENVIOS'!$B$4:$B$1000,$A106,'DATA ENVIOS'!$D$4:$D$1000,"Entregado")</f>
        <v>0</v>
      </c>
      <c r="D106" s="45" t="str">
        <f>IF($B106='INFO VENDEDOR'!$B$3,COUNTIFS($B$4:$B$177,'INFO VENDEDOR'!$B$3,$C$4:$C$177,"&gt;"&amp;$C106)+COUNTIFS($B$4:$B106,'INFO VENDEDOR'!$B$3,$C$4:$C106,$C106),"")</f>
        <v/>
      </c>
    </row>
    <row r="107" ht="15.75" customHeight="1">
      <c r="A107" s="44" t="str">
        <f>Tiendas!$A106</f>
        <v/>
      </c>
      <c r="B107" s="45" t="str">
        <f>Tiendas!$B106</f>
        <v/>
      </c>
      <c r="C107" s="45">
        <f>COUNTIFS('DATA ENVIOS'!$B$4:$B$1000,$A107,'DATA ENVIOS'!$D$4:$D$1000,"Entregado")</f>
        <v>0</v>
      </c>
      <c r="D107" s="45" t="str">
        <f>IF($B107='INFO VENDEDOR'!$B$3,COUNTIFS($B$4:$B$177,'INFO VENDEDOR'!$B$3,$C$4:$C$177,"&gt;"&amp;$C107)+COUNTIFS($B$4:$B107,'INFO VENDEDOR'!$B$3,$C$4:$C107,$C107),"")</f>
        <v/>
      </c>
    </row>
    <row r="108" ht="15.75" customHeight="1">
      <c r="A108" s="44" t="str">
        <f>Tiendas!$A107</f>
        <v/>
      </c>
      <c r="B108" s="45" t="str">
        <f>Tiendas!$B107</f>
        <v/>
      </c>
      <c r="C108" s="45">
        <f>COUNTIFS('DATA ENVIOS'!$B$4:$B$1000,$A108,'DATA ENVIOS'!$D$4:$D$1000,"Entregado")</f>
        <v>0</v>
      </c>
      <c r="D108" s="45" t="str">
        <f>IF($B108='INFO VENDEDOR'!$B$3,COUNTIFS($B$4:$B$177,'INFO VENDEDOR'!$B$3,$C$4:$C$177,"&gt;"&amp;$C108)+COUNTIFS($B$4:$B108,'INFO VENDEDOR'!$B$3,$C$4:$C108,$C108),"")</f>
        <v/>
      </c>
    </row>
    <row r="109" ht="15.75" customHeight="1">
      <c r="A109" s="44" t="str">
        <f>Tiendas!$A108</f>
        <v/>
      </c>
      <c r="B109" s="45" t="str">
        <f>Tiendas!$B108</f>
        <v/>
      </c>
      <c r="C109" s="45">
        <f>COUNTIFS('DATA ENVIOS'!$B$4:$B$1000,$A109,'DATA ENVIOS'!$D$4:$D$1000,"Entregado")</f>
        <v>0</v>
      </c>
      <c r="D109" s="45" t="str">
        <f>IF($B109='INFO VENDEDOR'!$B$3,COUNTIFS($B$4:$B$177,'INFO VENDEDOR'!$B$3,$C$4:$C$177,"&gt;"&amp;$C109)+COUNTIFS($B$4:$B109,'INFO VENDEDOR'!$B$3,$C$4:$C109,$C109),"")</f>
        <v/>
      </c>
    </row>
    <row r="110" ht="15.75" customHeight="1">
      <c r="A110" s="44" t="str">
        <f>Tiendas!$A109</f>
        <v/>
      </c>
      <c r="B110" s="45" t="str">
        <f>Tiendas!$B109</f>
        <v/>
      </c>
      <c r="C110" s="45">
        <f>COUNTIFS('DATA ENVIOS'!$B$4:$B$1000,$A110,'DATA ENVIOS'!$D$4:$D$1000,"Entregado")</f>
        <v>0</v>
      </c>
      <c r="D110" s="45" t="str">
        <f>IF($B110='INFO VENDEDOR'!$B$3,COUNTIFS($B$4:$B$177,'INFO VENDEDOR'!$B$3,$C$4:$C$177,"&gt;"&amp;$C110)+COUNTIFS($B$4:$B110,'INFO VENDEDOR'!$B$3,$C$4:$C110,$C110),"")</f>
        <v/>
      </c>
    </row>
    <row r="111" ht="15.75" customHeight="1">
      <c r="A111" s="44" t="str">
        <f>Tiendas!$A110</f>
        <v/>
      </c>
      <c r="B111" s="45" t="str">
        <f>Tiendas!$B110</f>
        <v/>
      </c>
      <c r="C111" s="45">
        <f>COUNTIFS('DATA ENVIOS'!$B$4:$B$1000,$A111,'DATA ENVIOS'!$D$4:$D$1000,"Entregado")</f>
        <v>0</v>
      </c>
      <c r="D111" s="45" t="str">
        <f>IF($B111='INFO VENDEDOR'!$B$3,COUNTIFS($B$4:$B$177,'INFO VENDEDOR'!$B$3,$C$4:$C$177,"&gt;"&amp;$C111)+COUNTIFS($B$4:$B111,'INFO VENDEDOR'!$B$3,$C$4:$C111,$C111),"")</f>
        <v/>
      </c>
    </row>
    <row r="112" ht="15.75" customHeight="1">
      <c r="A112" s="44" t="str">
        <f>Tiendas!$A111</f>
        <v/>
      </c>
      <c r="B112" s="45" t="str">
        <f>Tiendas!$B111</f>
        <v/>
      </c>
      <c r="C112" s="45">
        <f>COUNTIFS('DATA ENVIOS'!$B$4:$B$1000,$A112,'DATA ENVIOS'!$D$4:$D$1000,"Entregado")</f>
        <v>0</v>
      </c>
      <c r="D112" s="45" t="str">
        <f>IF($B112='INFO VENDEDOR'!$B$3,COUNTIFS($B$4:$B$177,'INFO VENDEDOR'!$B$3,$C$4:$C$177,"&gt;"&amp;$C112)+COUNTIFS($B$4:$B112,'INFO VENDEDOR'!$B$3,$C$4:$C112,$C112),"")</f>
        <v/>
      </c>
    </row>
    <row r="113" ht="15.75" customHeight="1">
      <c r="A113" s="44" t="str">
        <f>Tiendas!$A112</f>
        <v/>
      </c>
      <c r="B113" s="45" t="str">
        <f>Tiendas!$B112</f>
        <v/>
      </c>
      <c r="C113" s="45">
        <f>COUNTIFS('DATA ENVIOS'!$B$4:$B$1000,$A113,'DATA ENVIOS'!$D$4:$D$1000,"Entregado")</f>
        <v>0</v>
      </c>
      <c r="D113" s="45" t="str">
        <f>IF($B113='INFO VENDEDOR'!$B$3,COUNTIFS($B$4:$B$177,'INFO VENDEDOR'!$B$3,$C$4:$C$177,"&gt;"&amp;$C113)+COUNTIFS($B$4:$B113,'INFO VENDEDOR'!$B$3,$C$4:$C113,$C113),"")</f>
        <v/>
      </c>
    </row>
    <row r="114" ht="15.75" customHeight="1">
      <c r="A114" s="44" t="str">
        <f>Tiendas!$A113</f>
        <v/>
      </c>
      <c r="B114" s="45" t="str">
        <f>Tiendas!$B113</f>
        <v/>
      </c>
      <c r="C114" s="45">
        <f>COUNTIFS('DATA ENVIOS'!$B$4:$B$1000,$A114,'DATA ENVIOS'!$D$4:$D$1000,"Entregado")</f>
        <v>0</v>
      </c>
      <c r="D114" s="45" t="str">
        <f>IF($B114='INFO VENDEDOR'!$B$3,COUNTIFS($B$4:$B$177,'INFO VENDEDOR'!$B$3,$C$4:$C$177,"&gt;"&amp;$C114)+COUNTIFS($B$4:$B114,'INFO VENDEDOR'!$B$3,$C$4:$C114,$C114),"")</f>
        <v/>
      </c>
    </row>
    <row r="115" ht="15.75" customHeight="1">
      <c r="A115" s="44" t="str">
        <f>Tiendas!$A114</f>
        <v/>
      </c>
      <c r="B115" s="45" t="str">
        <f>Tiendas!$B114</f>
        <v/>
      </c>
      <c r="C115" s="45">
        <f>COUNTIFS('DATA ENVIOS'!$B$4:$B$1000,$A115,'DATA ENVIOS'!$D$4:$D$1000,"Entregado")</f>
        <v>0</v>
      </c>
      <c r="D115" s="45" t="str">
        <f>IF($B115='INFO VENDEDOR'!$B$3,COUNTIFS($B$4:$B$177,'INFO VENDEDOR'!$B$3,$C$4:$C$177,"&gt;"&amp;$C115)+COUNTIFS($B$4:$B115,'INFO VENDEDOR'!$B$3,$C$4:$C115,$C115),"")</f>
        <v/>
      </c>
    </row>
    <row r="116" ht="15.75" customHeight="1">
      <c r="A116" s="44" t="str">
        <f>Tiendas!$A115</f>
        <v/>
      </c>
      <c r="B116" s="45" t="str">
        <f>Tiendas!$B115</f>
        <v/>
      </c>
      <c r="C116" s="45">
        <f>COUNTIFS('DATA ENVIOS'!$B$4:$B$1000,$A116,'DATA ENVIOS'!$D$4:$D$1000,"Entregado")</f>
        <v>0</v>
      </c>
      <c r="D116" s="45" t="str">
        <f>IF($B116='INFO VENDEDOR'!$B$3,COUNTIFS($B$4:$B$177,'INFO VENDEDOR'!$B$3,$C$4:$C$177,"&gt;"&amp;$C116)+COUNTIFS($B$4:$B116,'INFO VENDEDOR'!$B$3,$C$4:$C116,$C116),"")</f>
        <v/>
      </c>
    </row>
    <row r="117" ht="15.75" customHeight="1">
      <c r="A117" s="44" t="str">
        <f>Tiendas!$A116</f>
        <v/>
      </c>
      <c r="B117" s="45" t="str">
        <f>Tiendas!$B116</f>
        <v/>
      </c>
      <c r="C117" s="45">
        <f>COUNTIFS('DATA ENVIOS'!$B$4:$B$1000,$A117,'DATA ENVIOS'!$D$4:$D$1000,"Entregado")</f>
        <v>0</v>
      </c>
      <c r="D117" s="45" t="str">
        <f>IF($B117='INFO VENDEDOR'!$B$3,COUNTIFS($B$4:$B$177,'INFO VENDEDOR'!$B$3,$C$4:$C$177,"&gt;"&amp;$C117)+COUNTIFS($B$4:$B117,'INFO VENDEDOR'!$B$3,$C$4:$C117,$C117),"")</f>
        <v/>
      </c>
    </row>
    <row r="118" ht="15.75" customHeight="1">
      <c r="A118" s="44" t="str">
        <f>Tiendas!$A117</f>
        <v/>
      </c>
      <c r="B118" s="45" t="str">
        <f>Tiendas!$B117</f>
        <v/>
      </c>
      <c r="C118" s="45">
        <f>COUNTIFS('DATA ENVIOS'!$B$4:$B$1000,$A118,'DATA ENVIOS'!$D$4:$D$1000,"Entregado")</f>
        <v>0</v>
      </c>
      <c r="D118" s="45" t="str">
        <f>IF($B118='INFO VENDEDOR'!$B$3,COUNTIFS($B$4:$B$177,'INFO VENDEDOR'!$B$3,$C$4:$C$177,"&gt;"&amp;$C118)+COUNTIFS($B$4:$B118,'INFO VENDEDOR'!$B$3,$C$4:$C118,$C118),"")</f>
        <v/>
      </c>
    </row>
    <row r="119" ht="15.75" customHeight="1">
      <c r="A119" s="44" t="str">
        <f>Tiendas!$A118</f>
        <v/>
      </c>
      <c r="B119" s="45" t="str">
        <f>Tiendas!$B118</f>
        <v/>
      </c>
      <c r="C119" s="45">
        <f>COUNTIFS('DATA ENVIOS'!$B$4:$B$1000,$A119,'DATA ENVIOS'!$D$4:$D$1000,"Entregado")</f>
        <v>0</v>
      </c>
      <c r="D119" s="45" t="str">
        <f>IF($B119='INFO VENDEDOR'!$B$3,COUNTIFS($B$4:$B$177,'INFO VENDEDOR'!$B$3,$C$4:$C$177,"&gt;"&amp;$C119)+COUNTIFS($B$4:$B119,'INFO VENDEDOR'!$B$3,$C$4:$C119,$C119),"")</f>
        <v/>
      </c>
    </row>
    <row r="120" ht="15.75" customHeight="1">
      <c r="A120" s="44" t="str">
        <f>Tiendas!$A119</f>
        <v/>
      </c>
      <c r="B120" s="45" t="str">
        <f>Tiendas!$B119</f>
        <v/>
      </c>
      <c r="C120" s="45">
        <f>COUNTIFS('DATA ENVIOS'!$B$4:$B$1000,$A120,'DATA ENVIOS'!$D$4:$D$1000,"Entregado")</f>
        <v>0</v>
      </c>
      <c r="D120" s="45" t="str">
        <f>IF($B120='INFO VENDEDOR'!$B$3,COUNTIFS($B$4:$B$177,'INFO VENDEDOR'!$B$3,$C$4:$C$177,"&gt;"&amp;$C120)+COUNTIFS($B$4:$B120,'INFO VENDEDOR'!$B$3,$C$4:$C120,$C120),"")</f>
        <v/>
      </c>
    </row>
    <row r="121" ht="15.75" customHeight="1">
      <c r="A121" s="44" t="str">
        <f>Tiendas!$A120</f>
        <v/>
      </c>
      <c r="B121" s="45" t="str">
        <f>Tiendas!$B120</f>
        <v/>
      </c>
      <c r="C121" s="45">
        <f>COUNTIFS('DATA ENVIOS'!$B$4:$B$1000,$A121,'DATA ENVIOS'!$D$4:$D$1000,"Entregado")</f>
        <v>0</v>
      </c>
      <c r="D121" s="45" t="str">
        <f>IF($B121='INFO VENDEDOR'!$B$3,COUNTIFS($B$4:$B$177,'INFO VENDEDOR'!$B$3,$C$4:$C$177,"&gt;"&amp;$C121)+COUNTIFS($B$4:$B121,'INFO VENDEDOR'!$B$3,$C$4:$C121,$C121),"")</f>
        <v/>
      </c>
    </row>
    <row r="122" ht="15.75" customHeight="1">
      <c r="A122" s="44" t="str">
        <f>Tiendas!$A121</f>
        <v/>
      </c>
      <c r="B122" s="45" t="str">
        <f>Tiendas!$B121</f>
        <v/>
      </c>
      <c r="C122" s="45">
        <f>COUNTIFS('DATA ENVIOS'!$B$4:$B$1000,$A122,'DATA ENVIOS'!$D$4:$D$1000,"Entregado")</f>
        <v>0</v>
      </c>
      <c r="D122" s="45" t="str">
        <f>IF($B122='INFO VENDEDOR'!$B$3,COUNTIFS($B$4:$B$177,'INFO VENDEDOR'!$B$3,$C$4:$C$177,"&gt;"&amp;$C122)+COUNTIFS($B$4:$B122,'INFO VENDEDOR'!$B$3,$C$4:$C122,$C122),"")</f>
        <v/>
      </c>
    </row>
    <row r="123" ht="15.75" customHeight="1">
      <c r="A123" s="44" t="str">
        <f>Tiendas!$A122</f>
        <v/>
      </c>
      <c r="B123" s="45" t="str">
        <f>Tiendas!$B122</f>
        <v/>
      </c>
      <c r="C123" s="45">
        <f>COUNTIFS('DATA ENVIOS'!$B$4:$B$1000,$A123,'DATA ENVIOS'!$D$4:$D$1000,"Entregado")</f>
        <v>0</v>
      </c>
      <c r="D123" s="45" t="str">
        <f>IF($B123='INFO VENDEDOR'!$B$3,COUNTIFS($B$4:$B$177,'INFO VENDEDOR'!$B$3,$C$4:$C$177,"&gt;"&amp;$C123)+COUNTIFS($B$4:$B123,'INFO VENDEDOR'!$B$3,$C$4:$C123,$C123),"")</f>
        <v/>
      </c>
    </row>
    <row r="124" ht="15.75" customHeight="1">
      <c r="A124" s="44" t="str">
        <f>Tiendas!$A123</f>
        <v/>
      </c>
      <c r="B124" s="45" t="str">
        <f>Tiendas!$B123</f>
        <v/>
      </c>
      <c r="C124" s="45">
        <f>COUNTIFS('DATA ENVIOS'!$B$4:$B$1000,$A124,'DATA ENVIOS'!$D$4:$D$1000,"Entregado")</f>
        <v>0</v>
      </c>
      <c r="D124" s="45" t="str">
        <f>IF($B124='INFO VENDEDOR'!$B$3,COUNTIFS($B$4:$B$177,'INFO VENDEDOR'!$B$3,$C$4:$C$177,"&gt;"&amp;$C124)+COUNTIFS($B$4:$B124,'INFO VENDEDOR'!$B$3,$C$4:$C124,$C124),"")</f>
        <v/>
      </c>
    </row>
    <row r="125" ht="15.75" customHeight="1">
      <c r="A125" s="44" t="str">
        <f>Tiendas!$A124</f>
        <v/>
      </c>
      <c r="B125" s="45" t="str">
        <f>Tiendas!$B124</f>
        <v/>
      </c>
      <c r="C125" s="45">
        <f>COUNTIFS('DATA ENVIOS'!$B$4:$B$1000,$A125,'DATA ENVIOS'!$D$4:$D$1000,"Entregado")</f>
        <v>0</v>
      </c>
      <c r="D125" s="45" t="str">
        <f>IF($B125='INFO VENDEDOR'!$B$3,COUNTIFS($B$4:$B$177,'INFO VENDEDOR'!$B$3,$C$4:$C$177,"&gt;"&amp;$C125)+COUNTIFS($B$4:$B125,'INFO VENDEDOR'!$B$3,$C$4:$C125,$C125),"")</f>
        <v/>
      </c>
    </row>
    <row r="126" ht="15.75" customHeight="1">
      <c r="A126" s="44" t="str">
        <f>Tiendas!$A125</f>
        <v/>
      </c>
      <c r="B126" s="45" t="str">
        <f>Tiendas!$B125</f>
        <v/>
      </c>
      <c r="C126" s="45">
        <f>COUNTIFS('DATA ENVIOS'!$B$4:$B$1000,$A126,'DATA ENVIOS'!$D$4:$D$1000,"Entregado")</f>
        <v>0</v>
      </c>
      <c r="D126" s="45" t="str">
        <f>IF($B126='INFO VENDEDOR'!$B$3,COUNTIFS($B$4:$B$177,'INFO VENDEDOR'!$B$3,$C$4:$C$177,"&gt;"&amp;$C126)+COUNTIFS($B$4:$B126,'INFO VENDEDOR'!$B$3,$C$4:$C126,$C126),"")</f>
        <v/>
      </c>
    </row>
    <row r="127" ht="15.75" customHeight="1">
      <c r="A127" s="44" t="str">
        <f>Tiendas!$A126</f>
        <v/>
      </c>
      <c r="B127" s="45" t="str">
        <f>Tiendas!$B126</f>
        <v/>
      </c>
      <c r="C127" s="45">
        <f>COUNTIFS('DATA ENVIOS'!$B$4:$B$1000,$A127,'DATA ENVIOS'!$D$4:$D$1000,"Entregado")</f>
        <v>0</v>
      </c>
      <c r="D127" s="45" t="str">
        <f>IF($B127='INFO VENDEDOR'!$B$3,COUNTIFS($B$4:$B$177,'INFO VENDEDOR'!$B$3,$C$4:$C$177,"&gt;"&amp;$C127)+COUNTIFS($B$4:$B127,'INFO VENDEDOR'!$B$3,$C$4:$C127,$C127),"")</f>
        <v/>
      </c>
    </row>
    <row r="128" ht="15.75" customHeight="1">
      <c r="A128" s="44" t="str">
        <f>Tiendas!$A127</f>
        <v/>
      </c>
      <c r="B128" s="45" t="str">
        <f>Tiendas!$B127</f>
        <v/>
      </c>
      <c r="C128" s="45">
        <f>COUNTIFS('DATA ENVIOS'!$B$4:$B$1000,$A128,'DATA ENVIOS'!$D$4:$D$1000,"Entregado")</f>
        <v>0</v>
      </c>
      <c r="D128" s="45" t="str">
        <f>IF($B128='INFO VENDEDOR'!$B$3,COUNTIFS($B$4:$B$177,'INFO VENDEDOR'!$B$3,$C$4:$C$177,"&gt;"&amp;$C128)+COUNTIFS($B$4:$B128,'INFO VENDEDOR'!$B$3,$C$4:$C128,$C128),"")</f>
        <v/>
      </c>
    </row>
    <row r="129" ht="15.75" customHeight="1">
      <c r="A129" s="44" t="str">
        <f>Tiendas!$A128</f>
        <v/>
      </c>
      <c r="B129" s="45" t="str">
        <f>Tiendas!$B128</f>
        <v/>
      </c>
      <c r="C129" s="45">
        <f>COUNTIFS('DATA ENVIOS'!$B$4:$B$1000,$A129,'DATA ENVIOS'!$D$4:$D$1000,"Entregado")</f>
        <v>0</v>
      </c>
      <c r="D129" s="45" t="str">
        <f>IF($B129='INFO VENDEDOR'!$B$3,COUNTIFS($B$4:$B$177,'INFO VENDEDOR'!$B$3,$C$4:$C$177,"&gt;"&amp;$C129)+COUNTIFS($B$4:$B129,'INFO VENDEDOR'!$B$3,$C$4:$C129,$C129),"")</f>
        <v/>
      </c>
    </row>
    <row r="130" ht="15.75" customHeight="1">
      <c r="A130" s="44" t="str">
        <f>Tiendas!$A129</f>
        <v/>
      </c>
      <c r="B130" s="45" t="str">
        <f>Tiendas!$B129</f>
        <v/>
      </c>
      <c r="C130" s="45">
        <f>COUNTIFS('DATA ENVIOS'!$B$4:$B$1000,$A130,'DATA ENVIOS'!$D$4:$D$1000,"Entregado")</f>
        <v>0</v>
      </c>
      <c r="D130" s="45" t="str">
        <f>IF($B130='INFO VENDEDOR'!$B$3,COUNTIFS($B$4:$B$177,'INFO VENDEDOR'!$B$3,$C$4:$C$177,"&gt;"&amp;$C130)+COUNTIFS($B$4:$B130,'INFO VENDEDOR'!$B$3,$C$4:$C130,$C130),"")</f>
        <v/>
      </c>
    </row>
    <row r="131" ht="15.75" customHeight="1">
      <c r="A131" s="44" t="str">
        <f>Tiendas!$A130</f>
        <v/>
      </c>
      <c r="B131" s="45" t="str">
        <f>Tiendas!$B130</f>
        <v/>
      </c>
      <c r="C131" s="45">
        <f>COUNTIFS('DATA ENVIOS'!$B$4:$B$1000,$A131,'DATA ENVIOS'!$D$4:$D$1000,"Entregado")</f>
        <v>0</v>
      </c>
      <c r="D131" s="45" t="str">
        <f>IF($B131='INFO VENDEDOR'!$B$3,COUNTIFS($B$4:$B$177,'INFO VENDEDOR'!$B$3,$C$4:$C$177,"&gt;"&amp;$C131)+COUNTIFS($B$4:$B131,'INFO VENDEDOR'!$B$3,$C$4:$C131,$C131),"")</f>
        <v/>
      </c>
    </row>
    <row r="132" ht="15.75" customHeight="1">
      <c r="A132" s="44" t="str">
        <f>Tiendas!$A131</f>
        <v/>
      </c>
      <c r="B132" s="45" t="str">
        <f>Tiendas!$B131</f>
        <v/>
      </c>
      <c r="C132" s="45">
        <f>COUNTIFS('DATA ENVIOS'!$B$4:$B$1000,$A132,'DATA ENVIOS'!$D$4:$D$1000,"Entregado")</f>
        <v>0</v>
      </c>
      <c r="D132" s="45" t="str">
        <f>IF($B132='INFO VENDEDOR'!$B$3,COUNTIFS($B$4:$B$177,'INFO VENDEDOR'!$B$3,$C$4:$C$177,"&gt;"&amp;$C132)+COUNTIFS($B$4:$B132,'INFO VENDEDOR'!$B$3,$C$4:$C132,$C132),"")</f>
        <v/>
      </c>
    </row>
    <row r="133" ht="15.75" customHeight="1">
      <c r="A133" s="44" t="str">
        <f>Tiendas!$A132</f>
        <v/>
      </c>
      <c r="B133" s="45" t="str">
        <f>Tiendas!$B132</f>
        <v/>
      </c>
      <c r="C133" s="45">
        <f>COUNTIFS('DATA ENVIOS'!$B$4:$B$1000,$A133,'DATA ENVIOS'!$D$4:$D$1000,"Entregado")</f>
        <v>0</v>
      </c>
      <c r="D133" s="45" t="str">
        <f>IF($B133='INFO VENDEDOR'!$B$3,COUNTIFS($B$4:$B$177,'INFO VENDEDOR'!$B$3,$C$4:$C$177,"&gt;"&amp;$C133)+COUNTIFS($B$4:$B133,'INFO VENDEDOR'!$B$3,$C$4:$C133,$C133),"")</f>
        <v/>
      </c>
    </row>
    <row r="134" ht="15.75" customHeight="1">
      <c r="A134" s="44" t="str">
        <f>Tiendas!$A133</f>
        <v/>
      </c>
      <c r="B134" s="45" t="str">
        <f>Tiendas!$B133</f>
        <v/>
      </c>
      <c r="C134" s="45">
        <f>COUNTIFS('DATA ENVIOS'!$B$4:$B$1000,$A134,'DATA ENVIOS'!$D$4:$D$1000,"Entregado")</f>
        <v>0</v>
      </c>
      <c r="D134" s="45" t="str">
        <f>IF($B134='INFO VENDEDOR'!$B$3,COUNTIFS($B$4:$B$177,'INFO VENDEDOR'!$B$3,$C$4:$C$177,"&gt;"&amp;$C134)+COUNTIFS($B$4:$B134,'INFO VENDEDOR'!$B$3,$C$4:$C134,$C134),"")</f>
        <v/>
      </c>
    </row>
    <row r="135" ht="15.75" customHeight="1">
      <c r="A135" s="44" t="str">
        <f>Tiendas!$A134</f>
        <v/>
      </c>
      <c r="B135" s="45" t="str">
        <f>Tiendas!$B134</f>
        <v/>
      </c>
      <c r="C135" s="45">
        <f>COUNTIFS('DATA ENVIOS'!$B$4:$B$1000,$A135,'DATA ENVIOS'!$D$4:$D$1000,"Entregado")</f>
        <v>0</v>
      </c>
      <c r="D135" s="45" t="str">
        <f>IF($B135='INFO VENDEDOR'!$B$3,COUNTIFS($B$4:$B$177,'INFO VENDEDOR'!$B$3,$C$4:$C$177,"&gt;"&amp;$C135)+COUNTIFS($B$4:$B135,'INFO VENDEDOR'!$B$3,$C$4:$C135,$C135),"")</f>
        <v/>
      </c>
    </row>
    <row r="136" ht="15.75" customHeight="1">
      <c r="A136" s="44" t="str">
        <f>Tiendas!$A135</f>
        <v/>
      </c>
      <c r="B136" s="45" t="str">
        <f>Tiendas!$B135</f>
        <v/>
      </c>
      <c r="C136" s="45">
        <f>COUNTIFS('DATA ENVIOS'!$B$4:$B$1000,$A136,'DATA ENVIOS'!$D$4:$D$1000,"Entregado")</f>
        <v>0</v>
      </c>
      <c r="D136" s="45" t="str">
        <f>IF($B136='INFO VENDEDOR'!$B$3,COUNTIFS($B$4:$B$177,'INFO VENDEDOR'!$B$3,$C$4:$C$177,"&gt;"&amp;$C136)+COUNTIFS($B$4:$B136,'INFO VENDEDOR'!$B$3,$C$4:$C136,$C136),"")</f>
        <v/>
      </c>
    </row>
    <row r="137" ht="15.75" customHeight="1">
      <c r="A137" s="44" t="str">
        <f>Tiendas!$A136</f>
        <v/>
      </c>
      <c r="B137" s="45" t="str">
        <f>Tiendas!$B136</f>
        <v/>
      </c>
      <c r="C137" s="45">
        <f>COUNTIFS('DATA ENVIOS'!$B$4:$B$1000,$A137,'DATA ENVIOS'!$D$4:$D$1000,"Entregado")</f>
        <v>0</v>
      </c>
      <c r="D137" s="45" t="str">
        <f>IF($B137='INFO VENDEDOR'!$B$3,COUNTIFS($B$4:$B$177,'INFO VENDEDOR'!$B$3,$C$4:$C$177,"&gt;"&amp;$C137)+COUNTIFS($B$4:$B137,'INFO VENDEDOR'!$B$3,$C$4:$C137,$C137),"")</f>
        <v/>
      </c>
    </row>
    <row r="138" ht="15.75" customHeight="1">
      <c r="A138" s="44" t="str">
        <f>Tiendas!$A137</f>
        <v/>
      </c>
      <c r="B138" s="45" t="str">
        <f>Tiendas!$B137</f>
        <v/>
      </c>
      <c r="C138" s="45">
        <f>COUNTIFS('DATA ENVIOS'!$B$4:$B$1000,$A138,'DATA ENVIOS'!$D$4:$D$1000,"Entregado")</f>
        <v>0</v>
      </c>
      <c r="D138" s="45" t="str">
        <f>IF($B138='INFO VENDEDOR'!$B$3,COUNTIFS($B$4:$B$177,'INFO VENDEDOR'!$B$3,$C$4:$C$177,"&gt;"&amp;$C138)+COUNTIFS($B$4:$B138,'INFO VENDEDOR'!$B$3,$C$4:$C138,$C138),"")</f>
        <v/>
      </c>
    </row>
    <row r="139" ht="15.75" customHeight="1">
      <c r="A139" s="44" t="str">
        <f>Tiendas!$A138</f>
        <v/>
      </c>
      <c r="B139" s="45" t="str">
        <f>Tiendas!$B138</f>
        <v/>
      </c>
      <c r="C139" s="45">
        <f>COUNTIFS('DATA ENVIOS'!$B$4:$B$1000,$A139,'DATA ENVIOS'!$D$4:$D$1000,"Entregado")</f>
        <v>0</v>
      </c>
      <c r="D139" s="45" t="str">
        <f>IF($B139='INFO VENDEDOR'!$B$3,COUNTIFS($B$4:$B$177,'INFO VENDEDOR'!$B$3,$C$4:$C$177,"&gt;"&amp;$C139)+COUNTIFS($B$4:$B139,'INFO VENDEDOR'!$B$3,$C$4:$C139,$C139),"")</f>
        <v/>
      </c>
    </row>
    <row r="140" ht="15.75" customHeight="1">
      <c r="A140" s="44" t="str">
        <f>Tiendas!$A139</f>
        <v/>
      </c>
      <c r="B140" s="45" t="str">
        <f>Tiendas!$B139</f>
        <v/>
      </c>
      <c r="C140" s="45">
        <f>COUNTIFS('DATA ENVIOS'!$B$4:$B$1000,$A140,'DATA ENVIOS'!$D$4:$D$1000,"Entregado")</f>
        <v>0</v>
      </c>
      <c r="D140" s="45" t="str">
        <f>IF($B140='INFO VENDEDOR'!$B$3,COUNTIFS($B$4:$B$177,'INFO VENDEDOR'!$B$3,$C$4:$C$177,"&gt;"&amp;$C140)+COUNTIFS($B$4:$B140,'INFO VENDEDOR'!$B$3,$C$4:$C140,$C140),"")</f>
        <v/>
      </c>
    </row>
    <row r="141" ht="15.75" customHeight="1">
      <c r="A141" s="44" t="str">
        <f>Tiendas!$A140</f>
        <v/>
      </c>
      <c r="B141" s="45" t="str">
        <f>Tiendas!$B140</f>
        <v/>
      </c>
      <c r="C141" s="45">
        <f>COUNTIFS('DATA ENVIOS'!$B$4:$B$1000,$A141,'DATA ENVIOS'!$D$4:$D$1000,"Entregado")</f>
        <v>0</v>
      </c>
      <c r="D141" s="45" t="str">
        <f>IF($B141='INFO VENDEDOR'!$B$3,COUNTIFS($B$4:$B$177,'INFO VENDEDOR'!$B$3,$C$4:$C$177,"&gt;"&amp;$C141)+COUNTIFS($B$4:$B141,'INFO VENDEDOR'!$B$3,$C$4:$C141,$C141),"")</f>
        <v/>
      </c>
    </row>
    <row r="142" ht="15.75" customHeight="1">
      <c r="A142" s="44" t="str">
        <f>Tiendas!$A141</f>
        <v/>
      </c>
      <c r="B142" s="45" t="str">
        <f>Tiendas!$B141</f>
        <v/>
      </c>
      <c r="C142" s="45">
        <f>COUNTIFS('DATA ENVIOS'!$B$4:$B$1000,$A142,'DATA ENVIOS'!$D$4:$D$1000,"Entregado")</f>
        <v>0</v>
      </c>
      <c r="D142" s="45" t="str">
        <f>IF($B142='INFO VENDEDOR'!$B$3,COUNTIFS($B$4:$B$177,'INFO VENDEDOR'!$B$3,$C$4:$C$177,"&gt;"&amp;$C142)+COUNTIFS($B$4:$B142,'INFO VENDEDOR'!$B$3,$C$4:$C142,$C142),"")</f>
        <v/>
      </c>
    </row>
    <row r="143" ht="15.75" customHeight="1">
      <c r="A143" s="44" t="str">
        <f>Tiendas!$A142</f>
        <v/>
      </c>
      <c r="B143" s="45" t="str">
        <f>Tiendas!$B142</f>
        <v/>
      </c>
      <c r="C143" s="45">
        <f>COUNTIFS('DATA ENVIOS'!$B$4:$B$1000,$A143,'DATA ENVIOS'!$D$4:$D$1000,"Entregado")</f>
        <v>0</v>
      </c>
      <c r="D143" s="45" t="str">
        <f>IF($B143='INFO VENDEDOR'!$B$3,COUNTIFS($B$4:$B$177,'INFO VENDEDOR'!$B$3,$C$4:$C$177,"&gt;"&amp;$C143)+COUNTIFS($B$4:$B143,'INFO VENDEDOR'!$B$3,$C$4:$C143,$C143),"")</f>
        <v/>
      </c>
    </row>
    <row r="144" ht="15.75" customHeight="1">
      <c r="A144" s="44" t="str">
        <f>Tiendas!$A143</f>
        <v/>
      </c>
      <c r="B144" s="45" t="str">
        <f>Tiendas!$B143</f>
        <v/>
      </c>
      <c r="C144" s="45">
        <f>COUNTIFS('DATA ENVIOS'!$B$4:$B$1000,$A144,'DATA ENVIOS'!$D$4:$D$1000,"Entregado")</f>
        <v>0</v>
      </c>
      <c r="D144" s="45" t="str">
        <f>IF($B144='INFO VENDEDOR'!$B$3,COUNTIFS($B$4:$B$177,'INFO VENDEDOR'!$B$3,$C$4:$C$177,"&gt;"&amp;$C144)+COUNTIFS($B$4:$B144,'INFO VENDEDOR'!$B$3,$C$4:$C144,$C144),"")</f>
        <v/>
      </c>
    </row>
    <row r="145" ht="15.75" customHeight="1">
      <c r="A145" s="44" t="str">
        <f>Tiendas!$A144</f>
        <v/>
      </c>
      <c r="B145" s="45" t="str">
        <f>Tiendas!$B144</f>
        <v/>
      </c>
      <c r="C145" s="45">
        <f>COUNTIFS('DATA ENVIOS'!$B$4:$B$1000,$A145,'DATA ENVIOS'!$D$4:$D$1000,"Entregado")</f>
        <v>0</v>
      </c>
      <c r="D145" s="45" t="str">
        <f>IF($B145='INFO VENDEDOR'!$B$3,COUNTIFS($B$4:$B$177,'INFO VENDEDOR'!$B$3,$C$4:$C$177,"&gt;"&amp;$C145)+COUNTIFS($B$4:$B145,'INFO VENDEDOR'!$B$3,$C$4:$C145,$C145),"")</f>
        <v/>
      </c>
    </row>
    <row r="146" ht="15.75" customHeight="1">
      <c r="A146" s="44" t="str">
        <f>Tiendas!$A145</f>
        <v/>
      </c>
      <c r="B146" s="45" t="str">
        <f>Tiendas!$B145</f>
        <v/>
      </c>
      <c r="C146" s="45">
        <f>COUNTIFS('DATA ENVIOS'!$B$4:$B$1000,$A146,'DATA ENVIOS'!$D$4:$D$1000,"Entregado")</f>
        <v>0</v>
      </c>
      <c r="D146" s="45" t="str">
        <f>IF($B146='INFO VENDEDOR'!$B$3,COUNTIFS($B$4:$B$177,'INFO VENDEDOR'!$B$3,$C$4:$C$177,"&gt;"&amp;$C146)+COUNTIFS($B$4:$B146,'INFO VENDEDOR'!$B$3,$C$4:$C146,$C146),"")</f>
        <v/>
      </c>
    </row>
    <row r="147" ht="15.75" customHeight="1">
      <c r="A147" s="44" t="str">
        <f>Tiendas!$A146</f>
        <v/>
      </c>
      <c r="B147" s="45" t="str">
        <f>Tiendas!$B146</f>
        <v/>
      </c>
      <c r="C147" s="45">
        <f>COUNTIFS('DATA ENVIOS'!$B$4:$B$1000,$A147,'DATA ENVIOS'!$D$4:$D$1000,"Entregado")</f>
        <v>0</v>
      </c>
      <c r="D147" s="45" t="str">
        <f>IF($B147='INFO VENDEDOR'!$B$3,COUNTIFS($B$4:$B$177,'INFO VENDEDOR'!$B$3,$C$4:$C$177,"&gt;"&amp;$C147)+COUNTIFS($B$4:$B147,'INFO VENDEDOR'!$B$3,$C$4:$C147,$C147),"")</f>
        <v/>
      </c>
    </row>
    <row r="148" ht="15.75" customHeight="1">
      <c r="A148" s="44" t="str">
        <f>Tiendas!$A147</f>
        <v/>
      </c>
      <c r="B148" s="45" t="str">
        <f>Tiendas!$B147</f>
        <v/>
      </c>
      <c r="C148" s="45">
        <f>COUNTIFS('DATA ENVIOS'!$B$4:$B$1000,$A148,'DATA ENVIOS'!$D$4:$D$1000,"Entregado")</f>
        <v>0</v>
      </c>
      <c r="D148" s="45" t="str">
        <f>IF($B148='INFO VENDEDOR'!$B$3,COUNTIFS($B$4:$B$177,'INFO VENDEDOR'!$B$3,$C$4:$C$177,"&gt;"&amp;$C148)+COUNTIFS($B$4:$B148,'INFO VENDEDOR'!$B$3,$C$4:$C148,$C148),"")</f>
        <v/>
      </c>
    </row>
    <row r="149" ht="15.75" customHeight="1">
      <c r="A149" s="44" t="str">
        <f>Tiendas!$A148</f>
        <v/>
      </c>
      <c r="B149" s="45" t="str">
        <f>Tiendas!$B148</f>
        <v/>
      </c>
      <c r="C149" s="45">
        <f>COUNTIFS('DATA ENVIOS'!$B$4:$B$1000,$A149,'DATA ENVIOS'!$D$4:$D$1000,"Entregado")</f>
        <v>0</v>
      </c>
      <c r="D149" s="45" t="str">
        <f>IF($B149='INFO VENDEDOR'!$B$3,COUNTIFS($B$4:$B$177,'INFO VENDEDOR'!$B$3,$C$4:$C$177,"&gt;"&amp;$C149)+COUNTIFS($B$4:$B149,'INFO VENDEDOR'!$B$3,$C$4:$C149,$C149),"")</f>
        <v/>
      </c>
    </row>
    <row r="150" ht="15.75" customHeight="1">
      <c r="A150" s="44" t="str">
        <f>Tiendas!$A149</f>
        <v/>
      </c>
      <c r="B150" s="45" t="str">
        <f>Tiendas!$B149</f>
        <v/>
      </c>
      <c r="C150" s="45">
        <f>COUNTIFS('DATA ENVIOS'!$B$4:$B$1000,$A150,'DATA ENVIOS'!$D$4:$D$1000,"Entregado")</f>
        <v>0</v>
      </c>
      <c r="D150" s="45" t="str">
        <f>IF($B150='INFO VENDEDOR'!$B$3,COUNTIFS($B$4:$B$177,'INFO VENDEDOR'!$B$3,$C$4:$C$177,"&gt;"&amp;$C150)+COUNTIFS($B$4:$B150,'INFO VENDEDOR'!$B$3,$C$4:$C150,$C150),"")</f>
        <v/>
      </c>
    </row>
    <row r="151" ht="15.75" customHeight="1">
      <c r="A151" s="44" t="str">
        <f>Tiendas!$A150</f>
        <v/>
      </c>
      <c r="B151" s="45" t="str">
        <f>Tiendas!$B150</f>
        <v/>
      </c>
      <c r="C151" s="45">
        <f>COUNTIFS('DATA ENVIOS'!$B$4:$B$1000,$A151,'DATA ENVIOS'!$D$4:$D$1000,"Entregado")</f>
        <v>0</v>
      </c>
      <c r="D151" s="45" t="str">
        <f>IF($B151='INFO VENDEDOR'!$B$3,COUNTIFS($B$4:$B$177,'INFO VENDEDOR'!$B$3,$C$4:$C$177,"&gt;"&amp;$C151)+COUNTIFS($B$4:$B151,'INFO VENDEDOR'!$B$3,$C$4:$C151,$C151),"")</f>
        <v/>
      </c>
    </row>
    <row r="152" ht="15.75" customHeight="1">
      <c r="A152" s="44" t="str">
        <f>Tiendas!$A151</f>
        <v/>
      </c>
      <c r="B152" s="45" t="str">
        <f>Tiendas!$B151</f>
        <v/>
      </c>
      <c r="C152" s="45">
        <f>COUNTIFS('DATA ENVIOS'!$B$4:$B$1000,$A152,'DATA ENVIOS'!$D$4:$D$1000,"Entregado")</f>
        <v>0</v>
      </c>
      <c r="D152" s="45" t="str">
        <f>IF($B152='INFO VENDEDOR'!$B$3,COUNTIFS($B$4:$B$177,'INFO VENDEDOR'!$B$3,$C$4:$C$177,"&gt;"&amp;$C152)+COUNTIFS($B$4:$B152,'INFO VENDEDOR'!$B$3,$C$4:$C152,$C152),"")</f>
        <v/>
      </c>
    </row>
    <row r="153" ht="15.75" customHeight="1">
      <c r="A153" s="44" t="str">
        <f>Tiendas!$A152</f>
        <v/>
      </c>
      <c r="B153" s="45" t="str">
        <f>Tiendas!$B152</f>
        <v/>
      </c>
      <c r="C153" s="45">
        <f>COUNTIFS('DATA ENVIOS'!$B$4:$B$1000,$A153,'DATA ENVIOS'!$D$4:$D$1000,"Entregado")</f>
        <v>0</v>
      </c>
      <c r="D153" s="45" t="str">
        <f>IF($B153='INFO VENDEDOR'!$B$3,COUNTIFS($B$4:$B$177,'INFO VENDEDOR'!$B$3,$C$4:$C$177,"&gt;"&amp;$C153)+COUNTIFS($B$4:$B153,'INFO VENDEDOR'!$B$3,$C$4:$C153,$C153),"")</f>
        <v/>
      </c>
    </row>
    <row r="154" ht="15.75" customHeight="1">
      <c r="A154" s="44" t="str">
        <f>Tiendas!$A153</f>
        <v/>
      </c>
      <c r="B154" s="45" t="str">
        <f>Tiendas!$B153</f>
        <v/>
      </c>
      <c r="C154" s="45">
        <f>COUNTIFS('DATA ENVIOS'!$B$4:$B$1000,$A154,'DATA ENVIOS'!$D$4:$D$1000,"Entregado")</f>
        <v>0</v>
      </c>
      <c r="D154" s="45" t="str">
        <f>IF($B154='INFO VENDEDOR'!$B$3,COUNTIFS($B$4:$B$177,'INFO VENDEDOR'!$B$3,$C$4:$C$177,"&gt;"&amp;$C154)+COUNTIFS($B$4:$B154,'INFO VENDEDOR'!$B$3,$C$4:$C154,$C154),"")</f>
        <v/>
      </c>
    </row>
    <row r="155" ht="15.75" customHeight="1">
      <c r="A155" s="44" t="str">
        <f>Tiendas!$A154</f>
        <v/>
      </c>
      <c r="B155" s="45" t="str">
        <f>Tiendas!$B154</f>
        <v/>
      </c>
      <c r="C155" s="45">
        <f>COUNTIFS('DATA ENVIOS'!$B$4:$B$1000,$A155,'DATA ENVIOS'!$D$4:$D$1000,"Entregado")</f>
        <v>0</v>
      </c>
      <c r="D155" s="45" t="str">
        <f>IF($B155='INFO VENDEDOR'!$B$3,COUNTIFS($B$4:$B$177,'INFO VENDEDOR'!$B$3,$C$4:$C$177,"&gt;"&amp;$C155)+COUNTIFS($B$4:$B155,'INFO VENDEDOR'!$B$3,$C$4:$C155,$C155),"")</f>
        <v/>
      </c>
    </row>
    <row r="156" ht="15.75" customHeight="1">
      <c r="A156" s="44" t="str">
        <f>Tiendas!$A155</f>
        <v/>
      </c>
      <c r="B156" s="45" t="str">
        <f>Tiendas!$B155</f>
        <v/>
      </c>
      <c r="C156" s="45">
        <f>COUNTIFS('DATA ENVIOS'!$B$4:$B$1000,$A156,'DATA ENVIOS'!$D$4:$D$1000,"Entregado")</f>
        <v>0</v>
      </c>
      <c r="D156" s="45" t="str">
        <f>IF($B156='INFO VENDEDOR'!$B$3,COUNTIFS($B$4:$B$177,'INFO VENDEDOR'!$B$3,$C$4:$C$177,"&gt;"&amp;$C156)+COUNTIFS($B$4:$B156,'INFO VENDEDOR'!$B$3,$C$4:$C156,$C156),"")</f>
        <v/>
      </c>
    </row>
    <row r="157" ht="15.75" customHeight="1">
      <c r="A157" s="44" t="str">
        <f>Tiendas!$A156</f>
        <v/>
      </c>
      <c r="B157" s="45" t="str">
        <f>Tiendas!$B156</f>
        <v/>
      </c>
      <c r="C157" s="45">
        <f>COUNTIFS('DATA ENVIOS'!$B$4:$B$1000,$A157,'DATA ENVIOS'!$D$4:$D$1000,"Entregado")</f>
        <v>0</v>
      </c>
      <c r="D157" s="45" t="str">
        <f>IF($B157='INFO VENDEDOR'!$B$3,COUNTIFS($B$4:$B$177,'INFO VENDEDOR'!$B$3,$C$4:$C$177,"&gt;"&amp;$C157)+COUNTIFS($B$4:$B157,'INFO VENDEDOR'!$B$3,$C$4:$C157,$C157),"")</f>
        <v/>
      </c>
    </row>
    <row r="158" ht="15.75" customHeight="1">
      <c r="A158" s="44" t="str">
        <f>Tiendas!$A157</f>
        <v/>
      </c>
      <c r="B158" s="45" t="str">
        <f>Tiendas!$B157</f>
        <v/>
      </c>
      <c r="C158" s="45">
        <f>COUNTIFS('DATA ENVIOS'!$B$4:$B$1000,$A158,'DATA ENVIOS'!$D$4:$D$1000,"Entregado")</f>
        <v>0</v>
      </c>
      <c r="D158" s="45" t="str">
        <f>IF($B158='INFO VENDEDOR'!$B$3,COUNTIFS($B$4:$B$177,'INFO VENDEDOR'!$B$3,$C$4:$C$177,"&gt;"&amp;$C158)+COUNTIFS($B$4:$B158,'INFO VENDEDOR'!$B$3,$C$4:$C158,$C158),"")</f>
        <v/>
      </c>
    </row>
    <row r="159" ht="15.75" customHeight="1">
      <c r="A159" s="44" t="str">
        <f>Tiendas!$A158</f>
        <v/>
      </c>
      <c r="B159" s="45" t="str">
        <f>Tiendas!$B158</f>
        <v/>
      </c>
      <c r="C159" s="45">
        <f>COUNTIFS('DATA ENVIOS'!$B$4:$B$1000,$A159,'DATA ENVIOS'!$D$4:$D$1000,"Entregado")</f>
        <v>0</v>
      </c>
      <c r="D159" s="45" t="str">
        <f>IF($B159='INFO VENDEDOR'!$B$3,COUNTIFS($B$4:$B$177,'INFO VENDEDOR'!$B$3,$C$4:$C$177,"&gt;"&amp;$C159)+COUNTIFS($B$4:$B159,'INFO VENDEDOR'!$B$3,$C$4:$C159,$C159),"")</f>
        <v/>
      </c>
    </row>
    <row r="160" ht="15.75" customHeight="1">
      <c r="A160" s="44" t="str">
        <f>Tiendas!$A159</f>
        <v/>
      </c>
      <c r="B160" s="45" t="str">
        <f>Tiendas!$B159</f>
        <v/>
      </c>
      <c r="C160" s="45">
        <f>COUNTIFS('DATA ENVIOS'!$B$4:$B$1000,$A160,'DATA ENVIOS'!$D$4:$D$1000,"Entregado")</f>
        <v>0</v>
      </c>
      <c r="D160" s="45" t="str">
        <f>IF($B160='INFO VENDEDOR'!$B$3,COUNTIFS($B$4:$B$177,'INFO VENDEDOR'!$B$3,$C$4:$C$177,"&gt;"&amp;$C160)+COUNTIFS($B$4:$B160,'INFO VENDEDOR'!$B$3,$C$4:$C160,$C160),"")</f>
        <v/>
      </c>
    </row>
    <row r="161" ht="15.75" customHeight="1">
      <c r="A161" s="44" t="str">
        <f>Tiendas!$A160</f>
        <v/>
      </c>
      <c r="B161" s="45" t="str">
        <f>Tiendas!$B160</f>
        <v/>
      </c>
      <c r="C161" s="45">
        <f>COUNTIFS('DATA ENVIOS'!$B$4:$B$1000,$A161,'DATA ENVIOS'!$D$4:$D$1000,"Entregado")</f>
        <v>0</v>
      </c>
      <c r="D161" s="45" t="str">
        <f>IF($B161='INFO VENDEDOR'!$B$3,COUNTIFS($B$4:$B$177,'INFO VENDEDOR'!$B$3,$C$4:$C$177,"&gt;"&amp;$C161)+COUNTIFS($B$4:$B161,'INFO VENDEDOR'!$B$3,$C$4:$C161,$C161),"")</f>
        <v/>
      </c>
    </row>
    <row r="162" ht="15.75" customHeight="1">
      <c r="A162" s="44" t="str">
        <f>Tiendas!$A161</f>
        <v/>
      </c>
      <c r="B162" s="45" t="str">
        <f>Tiendas!$B161</f>
        <v/>
      </c>
      <c r="C162" s="45">
        <f>COUNTIFS('DATA ENVIOS'!$B$4:$B$1000,$A162,'DATA ENVIOS'!$D$4:$D$1000,"Entregado")</f>
        <v>0</v>
      </c>
      <c r="D162" s="45" t="str">
        <f>IF($B162='INFO VENDEDOR'!$B$3,COUNTIFS($B$4:$B$177,'INFO VENDEDOR'!$B$3,$C$4:$C$177,"&gt;"&amp;$C162)+COUNTIFS($B$4:$B162,'INFO VENDEDOR'!$B$3,$C$4:$C162,$C162),"")</f>
        <v/>
      </c>
    </row>
    <row r="163" ht="15.75" customHeight="1">
      <c r="A163" s="44" t="str">
        <f>Tiendas!$A162</f>
        <v/>
      </c>
      <c r="B163" s="45" t="str">
        <f>Tiendas!$B162</f>
        <v/>
      </c>
      <c r="C163" s="45">
        <f>COUNTIFS('DATA ENVIOS'!$B$4:$B$1000,$A163,'DATA ENVIOS'!$D$4:$D$1000,"Entregado")</f>
        <v>0</v>
      </c>
      <c r="D163" s="45" t="str">
        <f>IF($B163='INFO VENDEDOR'!$B$3,COUNTIFS($B$4:$B$177,'INFO VENDEDOR'!$B$3,$C$4:$C$177,"&gt;"&amp;$C163)+COUNTIFS($B$4:$B163,'INFO VENDEDOR'!$B$3,$C$4:$C163,$C163),"")</f>
        <v/>
      </c>
    </row>
    <row r="164" ht="15.75" customHeight="1">
      <c r="A164" s="44" t="str">
        <f>Tiendas!$A163</f>
        <v/>
      </c>
      <c r="B164" s="45" t="str">
        <f>Tiendas!$B163</f>
        <v/>
      </c>
      <c r="C164" s="45">
        <f>COUNTIFS('DATA ENVIOS'!$B$4:$B$1000,$A164,'DATA ENVIOS'!$D$4:$D$1000,"Entregado")</f>
        <v>0</v>
      </c>
      <c r="D164" s="45" t="str">
        <f>IF($B164='INFO VENDEDOR'!$B$3,COUNTIFS($B$4:$B$177,'INFO VENDEDOR'!$B$3,$C$4:$C$177,"&gt;"&amp;$C164)+COUNTIFS($B$4:$B164,'INFO VENDEDOR'!$B$3,$C$4:$C164,$C164),"")</f>
        <v/>
      </c>
    </row>
    <row r="165" ht="15.75" customHeight="1">
      <c r="A165" s="44" t="str">
        <f>Tiendas!$A164</f>
        <v/>
      </c>
      <c r="B165" s="45" t="str">
        <f>Tiendas!$B164</f>
        <v/>
      </c>
      <c r="C165" s="45">
        <f>COUNTIFS('DATA ENVIOS'!$B$4:$B$1000,$A165,'DATA ENVIOS'!$D$4:$D$1000,"Entregado")</f>
        <v>0</v>
      </c>
      <c r="D165" s="45" t="str">
        <f>IF($B165='INFO VENDEDOR'!$B$3,COUNTIFS($B$4:$B$177,'INFO VENDEDOR'!$B$3,$C$4:$C$177,"&gt;"&amp;$C165)+COUNTIFS($B$4:$B165,'INFO VENDEDOR'!$B$3,$C$4:$C165,$C165),"")</f>
        <v/>
      </c>
    </row>
    <row r="166" ht="15.75" customHeight="1">
      <c r="A166" s="44" t="str">
        <f>Tiendas!$A165</f>
        <v/>
      </c>
      <c r="B166" s="45" t="str">
        <f>Tiendas!$B165</f>
        <v/>
      </c>
      <c r="C166" s="45">
        <f>COUNTIFS('DATA ENVIOS'!$B$4:$B$1000,$A166,'DATA ENVIOS'!$D$4:$D$1000,"Entregado")</f>
        <v>0</v>
      </c>
      <c r="D166" s="45" t="str">
        <f>IF($B166='INFO VENDEDOR'!$B$3,COUNTIFS($B$4:$B$177,'INFO VENDEDOR'!$B$3,$C$4:$C$177,"&gt;"&amp;$C166)+COUNTIFS($B$4:$B166,'INFO VENDEDOR'!$B$3,$C$4:$C166,$C166),"")</f>
        <v/>
      </c>
    </row>
    <row r="167" ht="15.75" customHeight="1">
      <c r="A167" s="44" t="str">
        <f>Tiendas!$A166</f>
        <v/>
      </c>
      <c r="B167" s="45" t="str">
        <f>Tiendas!$B166</f>
        <v/>
      </c>
      <c r="C167" s="45">
        <f>COUNTIFS('DATA ENVIOS'!$B$4:$B$1000,$A167,'DATA ENVIOS'!$D$4:$D$1000,"Entregado")</f>
        <v>0</v>
      </c>
      <c r="D167" s="45" t="str">
        <f>IF($B167='INFO VENDEDOR'!$B$3,COUNTIFS($B$4:$B$177,'INFO VENDEDOR'!$B$3,$C$4:$C$177,"&gt;"&amp;$C167)+COUNTIFS($B$4:$B167,'INFO VENDEDOR'!$B$3,$C$4:$C167,$C167),"")</f>
        <v/>
      </c>
    </row>
    <row r="168" ht="15.75" customHeight="1">
      <c r="A168" s="44" t="str">
        <f>Tiendas!$A167</f>
        <v/>
      </c>
      <c r="B168" s="45" t="str">
        <f>Tiendas!$B167</f>
        <v/>
      </c>
      <c r="C168" s="45">
        <f>COUNTIFS('DATA ENVIOS'!$B$4:$B$1000,$A168,'DATA ENVIOS'!$D$4:$D$1000,"Entregado")</f>
        <v>0</v>
      </c>
      <c r="D168" s="45" t="str">
        <f>IF($B168='INFO VENDEDOR'!$B$3,COUNTIFS($B$4:$B$177,'INFO VENDEDOR'!$B$3,$C$4:$C$177,"&gt;"&amp;$C168)+COUNTIFS($B$4:$B168,'INFO VENDEDOR'!$B$3,$C$4:$C168,$C168),"")</f>
        <v/>
      </c>
    </row>
    <row r="169" ht="15.75" customHeight="1">
      <c r="A169" s="44" t="str">
        <f>Tiendas!$A168</f>
        <v/>
      </c>
      <c r="B169" s="45" t="str">
        <f>Tiendas!$B168</f>
        <v/>
      </c>
      <c r="C169" s="45">
        <f>COUNTIFS('DATA ENVIOS'!$B$4:$B$1000,$A169,'DATA ENVIOS'!$D$4:$D$1000,"Entregado")</f>
        <v>0</v>
      </c>
      <c r="D169" s="45" t="str">
        <f>IF($B169='INFO VENDEDOR'!$B$3,COUNTIFS($B$4:$B$177,'INFO VENDEDOR'!$B$3,$C$4:$C$177,"&gt;"&amp;$C169)+COUNTIFS($B$4:$B169,'INFO VENDEDOR'!$B$3,$C$4:$C169,$C169),"")</f>
        <v/>
      </c>
    </row>
    <row r="170" ht="15.75" customHeight="1">
      <c r="A170" s="44" t="str">
        <f>Tiendas!$A169</f>
        <v/>
      </c>
      <c r="B170" s="45" t="str">
        <f>Tiendas!$B169</f>
        <v/>
      </c>
      <c r="C170" s="45">
        <f>COUNTIFS('DATA ENVIOS'!$B$4:$B$1000,$A170,'DATA ENVIOS'!$D$4:$D$1000,"Entregado")</f>
        <v>0</v>
      </c>
      <c r="D170" s="45" t="str">
        <f>IF($B170='INFO VENDEDOR'!$B$3,COUNTIFS($B$4:$B$177,'INFO VENDEDOR'!$B$3,$C$4:$C$177,"&gt;"&amp;$C170)+COUNTIFS($B$4:$B170,'INFO VENDEDOR'!$B$3,$C$4:$C170,$C170),"")</f>
        <v/>
      </c>
    </row>
    <row r="171" ht="15.75" customHeight="1">
      <c r="A171" s="44" t="str">
        <f>Tiendas!$A170</f>
        <v/>
      </c>
      <c r="B171" s="45" t="str">
        <f>Tiendas!$B170</f>
        <v/>
      </c>
      <c r="C171" s="45">
        <f>COUNTIFS('DATA ENVIOS'!$B$4:$B$1000,$A171,'DATA ENVIOS'!$D$4:$D$1000,"Entregado")</f>
        <v>0</v>
      </c>
      <c r="D171" s="45" t="str">
        <f>IF($B171='INFO VENDEDOR'!$B$3,COUNTIFS($B$4:$B$177,'INFO VENDEDOR'!$B$3,$C$4:$C$177,"&gt;"&amp;$C171)+COUNTIFS($B$4:$B171,'INFO VENDEDOR'!$B$3,$C$4:$C171,$C171),"")</f>
        <v/>
      </c>
    </row>
    <row r="172" ht="15.75" customHeight="1">
      <c r="A172" s="44" t="str">
        <f>Tiendas!$A171</f>
        <v/>
      </c>
      <c r="B172" s="45" t="str">
        <f>Tiendas!$B171</f>
        <v/>
      </c>
      <c r="C172" s="45">
        <f>COUNTIFS('DATA ENVIOS'!$B$4:$B$1000,$A172,'DATA ENVIOS'!$D$4:$D$1000,"Entregado")</f>
        <v>0</v>
      </c>
      <c r="D172" s="45" t="str">
        <f>IF($B172='INFO VENDEDOR'!$B$3,COUNTIFS($B$4:$B$177,'INFO VENDEDOR'!$B$3,$C$4:$C$177,"&gt;"&amp;$C172)+COUNTIFS($B$4:$B172,'INFO VENDEDOR'!$B$3,$C$4:$C172,$C172),"")</f>
        <v/>
      </c>
    </row>
    <row r="173" ht="15.75" customHeight="1">
      <c r="A173" s="44" t="str">
        <f>Tiendas!$A172</f>
        <v/>
      </c>
      <c r="B173" s="45" t="str">
        <f>Tiendas!$B172</f>
        <v/>
      </c>
      <c r="C173" s="45">
        <f>COUNTIFS('DATA ENVIOS'!$B$4:$B$1000,$A173,'DATA ENVIOS'!$D$4:$D$1000,"Entregado")</f>
        <v>0</v>
      </c>
      <c r="D173" s="45" t="str">
        <f>IF($B173='INFO VENDEDOR'!$B$3,COUNTIFS($B$4:$B$177,'INFO VENDEDOR'!$B$3,$C$4:$C$177,"&gt;"&amp;$C173)+COUNTIFS($B$4:$B173,'INFO VENDEDOR'!$B$3,$C$4:$C173,$C173),"")</f>
        <v/>
      </c>
    </row>
    <row r="174" ht="15.75" customHeight="1">
      <c r="A174" s="44" t="str">
        <f>Tiendas!$A173</f>
        <v/>
      </c>
      <c r="B174" s="45" t="str">
        <f>Tiendas!$B173</f>
        <v/>
      </c>
      <c r="C174" s="45">
        <f>COUNTIFS('DATA ENVIOS'!$B$4:$B$1000,$A174,'DATA ENVIOS'!$D$4:$D$1000,"Entregado")</f>
        <v>0</v>
      </c>
      <c r="D174" s="45" t="str">
        <f>IF($B174='INFO VENDEDOR'!$B$3,COUNTIFS($B$4:$B$177,'INFO VENDEDOR'!$B$3,$C$4:$C$177,"&gt;"&amp;$C174)+COUNTIFS($B$4:$B174,'INFO VENDEDOR'!$B$3,$C$4:$C174,$C174),"")</f>
        <v/>
      </c>
    </row>
    <row r="175" ht="15.75" customHeight="1">
      <c r="A175" s="44" t="str">
        <f>Tiendas!$A174</f>
        <v/>
      </c>
      <c r="B175" s="45" t="str">
        <f>Tiendas!$B174</f>
        <v/>
      </c>
      <c r="C175" s="45">
        <f>COUNTIFS('DATA ENVIOS'!$B$4:$B$1000,$A175,'DATA ENVIOS'!$D$4:$D$1000,"Entregado")</f>
        <v>0</v>
      </c>
      <c r="D175" s="45" t="str">
        <f>IF($B175='INFO VENDEDOR'!$B$3,COUNTIFS($B$4:$B$177,'INFO VENDEDOR'!$B$3,$C$4:$C$177,"&gt;"&amp;$C175)+COUNTIFS($B$4:$B175,'INFO VENDEDOR'!$B$3,$C$4:$C175,$C175),"")</f>
        <v/>
      </c>
    </row>
    <row r="176" ht="15.75" customHeight="1">
      <c r="A176" s="44" t="str">
        <f>Tiendas!$A175</f>
        <v/>
      </c>
      <c r="B176" s="45" t="str">
        <f>Tiendas!$B175</f>
        <v/>
      </c>
      <c r="C176" s="45">
        <f>COUNTIFS('DATA ENVIOS'!$B$4:$B$1000,$A176,'DATA ENVIOS'!$D$4:$D$1000,"Entregado")</f>
        <v>0</v>
      </c>
      <c r="D176" s="45" t="str">
        <f>IF($B176='INFO VENDEDOR'!$B$3,COUNTIFS($B$4:$B$177,'INFO VENDEDOR'!$B$3,$C$4:$C$177,"&gt;"&amp;$C176)+COUNTIFS($B$4:$B176,'INFO VENDEDOR'!$B$3,$C$4:$C176,$C176),"")</f>
        <v/>
      </c>
    </row>
    <row r="177" ht="15.75" customHeight="1">
      <c r="A177" s="44" t="str">
        <f>Tiendas!$A176</f>
        <v/>
      </c>
      <c r="B177" s="45" t="str">
        <f>Tiendas!$B176</f>
        <v/>
      </c>
      <c r="C177" s="45">
        <f>COUNTIFS('DATA ENVIOS'!$B$4:$B$1000,$A177,'DATA ENVIOS'!$D$4:$D$1000,"Entregado")</f>
        <v>0</v>
      </c>
      <c r="D177" s="45" t="str">
        <f>IF($B177='INFO VENDEDOR'!$B$3,COUNTIFS($B$4:$B$177,'INFO VENDEDOR'!$B$3,$C$4:$C$177,"&gt;"&amp;$C177)+COUNTIFS($B$4:$B177,'INFO VENDEDOR'!$B$3,$C$4:$C177,$C177),"")</f>
        <v/>
      </c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</sheetData>
  <autoFilter ref="$A$3:$D$177">
    <sortState ref="A3:D177">
      <sortCondition descending="1" ref="C3:C177"/>
      <sortCondition ref="D3:D177"/>
    </sortState>
  </autoFilter>
  <mergeCells count="1">
    <mergeCell ref="A1:D1"/>
  </mergeCells>
  <printOptions/>
  <pageMargins bottom="0.75" footer="0.0" header="0.0" left="0.7" right="0.7" top="0.75"/>
  <pageSetup orientation="landscape"/>
  <drawing r:id="rId1"/>
</worksheet>
</file>